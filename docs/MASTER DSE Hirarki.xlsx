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SA\request\oktober\2026\"/>
    </mc:Choice>
  </mc:AlternateContent>
  <xr:revisionPtr revIDLastSave="0" documentId="13_ncr:1_{F0A6E710-0300-46FF-B551-56976FD2E7E2}" xr6:coauthVersionLast="47" xr6:coauthVersionMax="47" xr10:uidLastSave="{00000000-0000-0000-0000-000000000000}"/>
  <bookViews>
    <workbookView xWindow="-110" yWindow="-110" windowWidth="19420" windowHeight="10300" firstSheet="2" activeTab="2" xr2:uid="{A834D912-10E1-704C-9388-00BFB4DB264A}"/>
  </bookViews>
  <sheets>
    <sheet name="Request New User Hybrid" sheetId="1" state="hidden" r:id="rId1"/>
    <sheet name="SUMMARY" sheetId="16" state="hidden" r:id="rId2"/>
    <sheet name="MASTER DSE BSM HOA" sheetId="17" r:id="rId3"/>
    <sheet name="dari web teleport" sheetId="19" state="hidden" r:id="rId4"/>
    <sheet name="Sheet4" sheetId="18" state="hidden" r:id="rId5"/>
    <sheet name="MASTER DSE OCT Inn" sheetId="9" state="hidden" r:id="rId6"/>
    <sheet name="IM3_CREATE" sheetId="14" state="hidden" r:id="rId7"/>
    <sheet name="3ID_CREATE" sheetId="15" state="hidden" r:id="rId8"/>
    <sheet name="Sheet1" sheetId="10" state="hidden" r:id="rId9"/>
    <sheet name="Sheet2" sheetId="11" state="hidden" r:id="rId10"/>
    <sheet name="MASTER DSE OCT Inner" sheetId="7" state="hidden" r:id="rId11"/>
    <sheet name="Kolom info id dse &amp; part cd" sheetId="8" state="hidden" r:id="rId12"/>
  </sheets>
  <externalReferences>
    <externalReference r:id="rId13"/>
  </externalReferences>
  <definedNames>
    <definedName name="_xlnm._FilterDatabase" localSheetId="3" hidden="1">'dari web teleport'!$A$2:$K$2365</definedName>
    <definedName name="_xlnm._FilterDatabase" localSheetId="2" hidden="1">'MASTER DSE BSM HOA'!$A$4:$T$276</definedName>
    <definedName name="_xlnm._FilterDatabase" localSheetId="5" hidden="1">'MASTER DSE OCT Inn'!$A$4:$BP$276</definedName>
    <definedName name="_xlnm._FilterDatabase" localSheetId="10" hidden="1">'MASTER DSE OCT Inner'!$A$1:$AK$276</definedName>
    <definedName name="_xlnm._FilterDatabase" localSheetId="0" hidden="1">'Request New User Hybrid'!$A$4:$S$4</definedName>
    <definedName name="_xlnm._FilterDatabase" localSheetId="1" hidden="1">SUMMARY!$A$13:$N$52</definedName>
    <definedName name="aa">days+weeks*7</definedName>
    <definedName name="asadasd">aa+[0]!firstdate-WEEKDAY([0]!firstdate)-weekday_option</definedName>
    <definedName name="assigntype">#REF!</definedName>
    <definedName name="calendar" localSheetId="0">'Request New User Hybrid'!daygrid+'Request New User Hybrid'!firstdate-WEEKDAY('Request New User Hybrid'!firstdate)-'Request New User Hybrid'!weekday_option</definedName>
    <definedName name="calendar">daygrid+[0]!firstdate-WEEKDAY([0]!firstdate)-weekday_option</definedName>
    <definedName name="channel">#REF!</definedName>
    <definedName name="daygrid" localSheetId="0">'Request New User Hybrid'!days+'Request New User Hybrid'!weeks*7</definedName>
    <definedName name="daygrid">days+weeks*7</definedName>
    <definedName name="daypattern" localSheetId="0">{1,1,2,2,3,3,4,4,5,5,6,6,7}</definedName>
    <definedName name="daypattern">{1,1,2,2,3,3,4,4,5,5,6,6,7}</definedName>
    <definedName name="days" localSheetId="0">{0,1,2,3,4,5,6}</definedName>
    <definedName name="days">{0,1,2,3,4,5,6}</definedName>
    <definedName name="DayToStart">#REF!</definedName>
    <definedName name="Display_Week">#REF!</definedName>
    <definedName name="firstdate" localSheetId="0">DATE([0]!YearToDisplay,'Request New User Hybrid'!month,1)</definedName>
    <definedName name="firstdate">DATE([0]!YearToDisplay,[0]!month,1)</definedName>
    <definedName name="month" localSheetId="0">MATCH([0]!MonthToDisplay,'Request New User Hybrid'!months,0)</definedName>
    <definedName name="month">MATCH([0]!MonthToDisplay,months,0)</definedName>
    <definedName name="months" localSheetId="0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MonthToDisplay">#REF!</definedName>
    <definedName name="MonthToDisplayNumber" localSheetId="0">MATCH([0]!MonthToDisplay,'Request New User Hybrid'!months,0)</definedName>
    <definedName name="MonthToDisplayNumber">MATCH([0]!MonthToDisplay,months,0)</definedName>
    <definedName name="nasional">#REF!</definedName>
    <definedName name="position">#REF!</definedName>
    <definedName name="prefnotchnl">#REF!</definedName>
    <definedName name="Project_Start">#REF!</definedName>
    <definedName name="roles">#REF!</definedName>
    <definedName name="weekday_option" localSheetId="0">MATCH([0]!DayToStart,'Request New User Hybrid'!weekdays_reversed,0)-2</definedName>
    <definedName name="weekday_option">MATCH(DayToStart,weekdays_reversed,0)-2</definedName>
    <definedName name="weekdays" localSheetId="0">{"Monday","Tuesday","Wednesday","Thursday","Friday","Saturday","Sunday"}</definedName>
    <definedName name="weekdays">{"Monday","Tuesday","Wednesday","Thursday","Friday","Saturday","Sunday"}</definedName>
    <definedName name="weekdays_reversed" localSheetId="0">{"Sunday","Saturday","Friday","Thursday","Wednesday","Tuesday","Monday"}</definedName>
    <definedName name="weekdays_reversed">{"Sunday","Saturday","Friday","Thursday","Wednesday","Tuesday","Monday"}</definedName>
    <definedName name="weeks" localSheetId="0">{0;1;2;3;4;5;6}</definedName>
    <definedName name="weeks">{0;1;2;3;4;5;6}</definedName>
    <definedName name="YearToDisplay">#REF!</definedName>
    <definedName name="yor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15" i="16" l="1"/>
  <c r="G15" i="16"/>
  <c r="H15" i="16"/>
  <c r="I15" i="16"/>
  <c r="F16" i="16"/>
  <c r="G16" i="16"/>
  <c r="H16" i="16"/>
  <c r="I16" i="16"/>
  <c r="F17" i="16"/>
  <c r="G17" i="16"/>
  <c r="H17" i="16"/>
  <c r="I17" i="16"/>
  <c r="F18" i="16"/>
  <c r="G18" i="16"/>
  <c r="H18" i="16"/>
  <c r="I18" i="16"/>
  <c r="F19" i="16"/>
  <c r="G19" i="16"/>
  <c r="H19" i="16"/>
  <c r="I19" i="16"/>
  <c r="F20" i="16"/>
  <c r="G20" i="16"/>
  <c r="H20" i="16"/>
  <c r="I20" i="16"/>
  <c r="F21" i="16"/>
  <c r="G21" i="16"/>
  <c r="H21" i="16"/>
  <c r="I21" i="16"/>
  <c r="F22" i="16"/>
  <c r="G22" i="16"/>
  <c r="H22" i="16"/>
  <c r="I22" i="16"/>
  <c r="F23" i="16"/>
  <c r="G23" i="16"/>
  <c r="H23" i="16"/>
  <c r="I23" i="16"/>
  <c r="F24" i="16"/>
  <c r="G24" i="16"/>
  <c r="H24" i="16"/>
  <c r="I24" i="16"/>
  <c r="F25" i="16"/>
  <c r="G25" i="16"/>
  <c r="H25" i="16"/>
  <c r="I25" i="16"/>
  <c r="F26" i="16"/>
  <c r="G26" i="16"/>
  <c r="H26" i="16"/>
  <c r="I26" i="16"/>
  <c r="F27" i="16"/>
  <c r="G27" i="16"/>
  <c r="H27" i="16"/>
  <c r="I27" i="16"/>
  <c r="F28" i="16"/>
  <c r="G28" i="16"/>
  <c r="H28" i="16"/>
  <c r="I28" i="16"/>
  <c r="F29" i="16"/>
  <c r="G29" i="16"/>
  <c r="H29" i="16"/>
  <c r="I29" i="16"/>
  <c r="F30" i="16"/>
  <c r="G30" i="16"/>
  <c r="H30" i="16"/>
  <c r="I30" i="16"/>
  <c r="F31" i="16"/>
  <c r="G31" i="16"/>
  <c r="H31" i="16"/>
  <c r="I31" i="16"/>
  <c r="F32" i="16"/>
  <c r="G32" i="16"/>
  <c r="H32" i="16"/>
  <c r="I32" i="16"/>
  <c r="F33" i="16"/>
  <c r="G33" i="16"/>
  <c r="H33" i="16"/>
  <c r="I33" i="16"/>
  <c r="F34" i="16"/>
  <c r="G34" i="16"/>
  <c r="H34" i="16"/>
  <c r="I34" i="16"/>
  <c r="F35" i="16"/>
  <c r="G35" i="16"/>
  <c r="H35" i="16"/>
  <c r="I35" i="16"/>
  <c r="F36" i="16"/>
  <c r="G36" i="16"/>
  <c r="H36" i="16"/>
  <c r="I36" i="16"/>
  <c r="F37" i="16"/>
  <c r="G37" i="16"/>
  <c r="H37" i="16"/>
  <c r="I37" i="16"/>
  <c r="F38" i="16"/>
  <c r="G38" i="16"/>
  <c r="H38" i="16"/>
  <c r="I38" i="16"/>
  <c r="F39" i="16"/>
  <c r="G39" i="16"/>
  <c r="H39" i="16"/>
  <c r="I39" i="16"/>
  <c r="F40" i="16"/>
  <c r="G40" i="16"/>
  <c r="H40" i="16"/>
  <c r="I40" i="16"/>
  <c r="F41" i="16"/>
  <c r="G41" i="16"/>
  <c r="H41" i="16"/>
  <c r="I41" i="16"/>
  <c r="F42" i="16"/>
  <c r="G42" i="16"/>
  <c r="H42" i="16"/>
  <c r="I42" i="16"/>
  <c r="F43" i="16"/>
  <c r="G43" i="16"/>
  <c r="H43" i="16"/>
  <c r="I43" i="16"/>
  <c r="F44" i="16"/>
  <c r="G44" i="16"/>
  <c r="H44" i="16"/>
  <c r="I44" i="16"/>
  <c r="F45" i="16"/>
  <c r="G45" i="16"/>
  <c r="H45" i="16"/>
  <c r="I45" i="16"/>
  <c r="F46" i="16"/>
  <c r="G46" i="16"/>
  <c r="H46" i="16"/>
  <c r="I46" i="16"/>
  <c r="F47" i="16"/>
  <c r="G47" i="16"/>
  <c r="H47" i="16"/>
  <c r="I47" i="16"/>
  <c r="F48" i="16"/>
  <c r="G48" i="16"/>
  <c r="H48" i="16"/>
  <c r="I48" i="16"/>
  <c r="F49" i="16"/>
  <c r="G49" i="16"/>
  <c r="H49" i="16"/>
  <c r="I49" i="16"/>
  <c r="F50" i="16"/>
  <c r="G50" i="16"/>
  <c r="H50" i="16"/>
  <c r="I50" i="16"/>
  <c r="F51" i="16"/>
  <c r="G51" i="16"/>
  <c r="H51" i="16"/>
  <c r="I51" i="16"/>
  <c r="F52" i="16"/>
  <c r="G52" i="16"/>
  <c r="H52" i="16"/>
  <c r="I52" i="16"/>
  <c r="I14" i="16"/>
  <c r="H14" i="16"/>
  <c r="H3" i="16" s="1"/>
  <c r="G14" i="16"/>
  <c r="G3" i="16" s="1"/>
  <c r="F14" i="16"/>
  <c r="F3" i="16" s="1"/>
  <c r="H7" i="16"/>
  <c r="G7" i="16"/>
  <c r="I6" i="16"/>
  <c r="H6" i="16"/>
  <c r="G6" i="16"/>
  <c r="F6" i="16"/>
  <c r="I4" i="16"/>
  <c r="H4" i="16"/>
  <c r="G4" i="16"/>
  <c r="F4" i="16"/>
  <c r="N52" i="16"/>
  <c r="M52" i="16"/>
  <c r="L52" i="16"/>
  <c r="K52" i="16"/>
  <c r="N51" i="16"/>
  <c r="M51" i="16"/>
  <c r="L51" i="16"/>
  <c r="K51" i="16"/>
  <c r="N50" i="16"/>
  <c r="M50" i="16"/>
  <c r="L50" i="16"/>
  <c r="K50" i="16"/>
  <c r="N49" i="16"/>
  <c r="M49" i="16"/>
  <c r="L49" i="16"/>
  <c r="K49" i="16"/>
  <c r="N48" i="16"/>
  <c r="M48" i="16"/>
  <c r="L48" i="16"/>
  <c r="K48" i="16"/>
  <c r="N47" i="16"/>
  <c r="M47" i="16"/>
  <c r="L47" i="16"/>
  <c r="K47" i="16"/>
  <c r="N46" i="16"/>
  <c r="M46" i="16"/>
  <c r="L46" i="16"/>
  <c r="K46" i="16"/>
  <c r="N45" i="16"/>
  <c r="M45" i="16"/>
  <c r="L45" i="16"/>
  <c r="K45" i="16"/>
  <c r="N44" i="16"/>
  <c r="M44" i="16"/>
  <c r="L44" i="16"/>
  <c r="K44" i="16"/>
  <c r="N43" i="16"/>
  <c r="M43" i="16"/>
  <c r="L43" i="16"/>
  <c r="K43" i="16"/>
  <c r="N42" i="16"/>
  <c r="M42" i="16"/>
  <c r="L42" i="16"/>
  <c r="K42" i="16"/>
  <c r="N41" i="16"/>
  <c r="M41" i="16"/>
  <c r="L41" i="16"/>
  <c r="K41" i="16"/>
  <c r="N40" i="16"/>
  <c r="M40" i="16"/>
  <c r="L40" i="16"/>
  <c r="K40" i="16"/>
  <c r="N39" i="16"/>
  <c r="M39" i="16"/>
  <c r="L39" i="16"/>
  <c r="K39" i="16"/>
  <c r="N38" i="16"/>
  <c r="M38" i="16"/>
  <c r="L38" i="16"/>
  <c r="K38" i="16"/>
  <c r="N37" i="16"/>
  <c r="M37" i="16"/>
  <c r="L37" i="16"/>
  <c r="K37" i="16"/>
  <c r="N36" i="16"/>
  <c r="M36" i="16"/>
  <c r="L36" i="16"/>
  <c r="K36" i="16"/>
  <c r="N35" i="16"/>
  <c r="M35" i="16"/>
  <c r="L35" i="16"/>
  <c r="K35" i="16"/>
  <c r="N34" i="16"/>
  <c r="M34" i="16"/>
  <c r="L34" i="16"/>
  <c r="K34" i="16"/>
  <c r="N33" i="16"/>
  <c r="M33" i="16"/>
  <c r="L33" i="16"/>
  <c r="K33" i="16"/>
  <c r="N32" i="16"/>
  <c r="M32" i="16"/>
  <c r="L32" i="16"/>
  <c r="K32" i="16"/>
  <c r="N31" i="16"/>
  <c r="M31" i="16"/>
  <c r="L31" i="16"/>
  <c r="K31" i="16"/>
  <c r="N30" i="16"/>
  <c r="M30" i="16"/>
  <c r="L30" i="16"/>
  <c r="K30" i="16"/>
  <c r="N29" i="16"/>
  <c r="M29" i="16"/>
  <c r="L29" i="16"/>
  <c r="K29" i="16"/>
  <c r="N28" i="16"/>
  <c r="M28" i="16"/>
  <c r="L28" i="16"/>
  <c r="K28" i="16"/>
  <c r="N27" i="16"/>
  <c r="M27" i="16"/>
  <c r="L27" i="16"/>
  <c r="K27" i="16"/>
  <c r="N26" i="16"/>
  <c r="M26" i="16"/>
  <c r="L26" i="16"/>
  <c r="K26" i="16"/>
  <c r="N25" i="16"/>
  <c r="M25" i="16"/>
  <c r="L25" i="16"/>
  <c r="K25" i="16"/>
  <c r="N24" i="16"/>
  <c r="M24" i="16"/>
  <c r="L24" i="16"/>
  <c r="K24" i="16"/>
  <c r="N23" i="16"/>
  <c r="M23" i="16"/>
  <c r="L23" i="16"/>
  <c r="K23" i="16"/>
  <c r="N22" i="16"/>
  <c r="M22" i="16"/>
  <c r="L22" i="16"/>
  <c r="K22" i="16"/>
  <c r="N21" i="16"/>
  <c r="M21" i="16"/>
  <c r="L21" i="16"/>
  <c r="K21" i="16"/>
  <c r="N20" i="16"/>
  <c r="M20" i="16"/>
  <c r="L20" i="16"/>
  <c r="K20" i="16"/>
  <c r="N19" i="16"/>
  <c r="M19" i="16"/>
  <c r="L19" i="16"/>
  <c r="K19" i="16"/>
  <c r="N18" i="16"/>
  <c r="M18" i="16"/>
  <c r="L18" i="16"/>
  <c r="K18" i="16"/>
  <c r="N17" i="16"/>
  <c r="M17" i="16"/>
  <c r="L17" i="16"/>
  <c r="K17" i="16"/>
  <c r="N16" i="16"/>
  <c r="M16" i="16"/>
  <c r="L16" i="16"/>
  <c r="K16" i="16"/>
  <c r="N15" i="16"/>
  <c r="M15" i="16"/>
  <c r="L15" i="16"/>
  <c r="K15" i="16"/>
  <c r="N14" i="16"/>
  <c r="M14" i="16"/>
  <c r="L14" i="16"/>
  <c r="K14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O38" i="14"/>
  <c r="O37" i="14"/>
  <c r="O36" i="14"/>
  <c r="O35" i="14"/>
  <c r="O34" i="14"/>
  <c r="O33" i="14"/>
  <c r="O32" i="14"/>
  <c r="O31" i="14"/>
  <c r="O30" i="14"/>
  <c r="O29" i="14"/>
  <c r="O28" i="14"/>
  <c r="O27" i="14"/>
  <c r="I7" i="16" l="1"/>
  <c r="I9" i="16"/>
  <c r="N9" i="16"/>
  <c r="L5" i="16"/>
  <c r="L6" i="16"/>
  <c r="L7" i="16"/>
  <c r="L8" i="16"/>
  <c r="I5" i="16"/>
  <c r="K5" i="16"/>
  <c r="K6" i="16"/>
  <c r="G8" i="16"/>
  <c r="G5" i="16"/>
  <c r="N5" i="16"/>
  <c r="N6" i="16"/>
  <c r="N7" i="16"/>
  <c r="N8" i="16"/>
  <c r="L3" i="16"/>
  <c r="L4" i="16"/>
  <c r="L9" i="16"/>
  <c r="N3" i="16"/>
  <c r="D6" i="16"/>
  <c r="M5" i="16"/>
  <c r="M6" i="16"/>
  <c r="M7" i="16"/>
  <c r="M8" i="16"/>
  <c r="K9" i="16"/>
  <c r="N4" i="16"/>
  <c r="I8" i="16"/>
  <c r="K3" i="16"/>
  <c r="K4" i="16"/>
  <c r="K7" i="16"/>
  <c r="K8" i="16"/>
  <c r="D3" i="16"/>
  <c r="D5" i="16"/>
  <c r="D7" i="16"/>
  <c r="D8" i="16"/>
  <c r="M3" i="16"/>
  <c r="M4" i="16"/>
  <c r="M9" i="16"/>
  <c r="F7" i="16"/>
  <c r="D4" i="16"/>
  <c r="D9" i="16"/>
  <c r="G9" i="16"/>
  <c r="F8" i="16"/>
  <c r="F9" i="16"/>
  <c r="F5" i="16"/>
  <c r="H9" i="16"/>
  <c r="H5" i="16"/>
  <c r="H8" i="16"/>
  <c r="I3" i="16"/>
  <c r="U276" i="9"/>
  <c r="U275" i="9"/>
  <c r="U274" i="9"/>
  <c r="U273" i="9"/>
  <c r="U272" i="9"/>
  <c r="U271" i="9"/>
  <c r="U270" i="9"/>
  <c r="U269" i="9"/>
  <c r="U268" i="9"/>
  <c r="U267" i="9"/>
  <c r="U266" i="9"/>
  <c r="U265" i="9"/>
  <c r="U264" i="9"/>
  <c r="U263" i="9"/>
  <c r="U262" i="9"/>
  <c r="U261" i="9"/>
  <c r="U260" i="9"/>
  <c r="U259" i="9"/>
  <c r="U258" i="9"/>
  <c r="U257" i="9"/>
  <c r="U256" i="9"/>
  <c r="U255" i="9"/>
  <c r="U254" i="9"/>
  <c r="U253" i="9"/>
  <c r="U252" i="9"/>
  <c r="U251" i="9"/>
  <c r="U250" i="9"/>
  <c r="U249" i="9"/>
  <c r="U248" i="9"/>
  <c r="U247" i="9"/>
  <c r="U246" i="9"/>
  <c r="U245" i="9"/>
  <c r="U244" i="9"/>
  <c r="U243" i="9"/>
  <c r="U242" i="9"/>
  <c r="U241" i="9"/>
  <c r="U240" i="9"/>
  <c r="U239" i="9"/>
  <c r="U238" i="9"/>
  <c r="U237" i="9"/>
  <c r="U236" i="9"/>
  <c r="U235" i="9"/>
  <c r="U234" i="9"/>
  <c r="U233" i="9"/>
  <c r="U232" i="9"/>
  <c r="U231" i="9"/>
  <c r="U230" i="9"/>
  <c r="U229" i="9"/>
  <c r="U228" i="9"/>
  <c r="U227" i="9"/>
  <c r="U226" i="9"/>
  <c r="U225" i="9"/>
  <c r="U224" i="9"/>
  <c r="U223" i="9"/>
  <c r="U222" i="9"/>
  <c r="U221" i="9"/>
  <c r="U220" i="9"/>
  <c r="U219" i="9"/>
  <c r="U218" i="9"/>
  <c r="U217" i="9"/>
  <c r="U216" i="9"/>
  <c r="U215" i="9"/>
  <c r="U214" i="9"/>
  <c r="U213" i="9"/>
  <c r="U212" i="9"/>
  <c r="U211" i="9"/>
  <c r="U210" i="9"/>
  <c r="U209" i="9"/>
  <c r="U208" i="9"/>
  <c r="U207" i="9"/>
  <c r="U206" i="9"/>
  <c r="U205" i="9"/>
  <c r="U204" i="9"/>
  <c r="U203" i="9"/>
  <c r="U202" i="9"/>
  <c r="U201" i="9"/>
  <c r="U200" i="9"/>
  <c r="U199" i="9"/>
  <c r="U198" i="9"/>
  <c r="U197" i="9"/>
  <c r="U196" i="9"/>
  <c r="U195" i="9"/>
  <c r="U194" i="9"/>
  <c r="U193" i="9"/>
  <c r="U192" i="9"/>
  <c r="U191" i="9"/>
  <c r="U190" i="9"/>
  <c r="U189" i="9"/>
  <c r="U188" i="9"/>
  <c r="U187" i="9"/>
  <c r="U186" i="9"/>
  <c r="U185" i="9"/>
  <c r="U184" i="9"/>
  <c r="U183" i="9"/>
  <c r="U182" i="9"/>
  <c r="U181" i="9"/>
  <c r="U180" i="9"/>
  <c r="U179" i="9"/>
  <c r="U178" i="9"/>
  <c r="U177" i="9"/>
  <c r="U176" i="9"/>
  <c r="U175" i="9"/>
  <c r="U174" i="9"/>
  <c r="U173" i="9"/>
  <c r="U172" i="9"/>
  <c r="U171" i="9"/>
  <c r="U170" i="9"/>
  <c r="U169" i="9"/>
  <c r="U168" i="9"/>
  <c r="U167" i="9"/>
  <c r="U166" i="9"/>
  <c r="U165" i="9"/>
  <c r="U164" i="9"/>
  <c r="U163" i="9"/>
  <c r="U162" i="9"/>
  <c r="U161" i="9"/>
  <c r="U160" i="9"/>
  <c r="U159" i="9"/>
  <c r="U158" i="9"/>
  <c r="U157" i="9"/>
  <c r="U156" i="9"/>
  <c r="U155" i="9"/>
  <c r="U154" i="9"/>
  <c r="U153" i="9"/>
  <c r="U152" i="9"/>
  <c r="U151" i="9"/>
  <c r="U150" i="9"/>
  <c r="U149" i="9"/>
  <c r="U148" i="9"/>
  <c r="U147" i="9"/>
  <c r="U146" i="9"/>
  <c r="U145" i="9"/>
  <c r="U144" i="9"/>
  <c r="U143" i="9"/>
  <c r="U142" i="9"/>
  <c r="U141" i="9"/>
  <c r="U140" i="9"/>
  <c r="U139" i="9"/>
  <c r="U138" i="9"/>
  <c r="U137" i="9"/>
  <c r="U136" i="9"/>
  <c r="U135" i="9"/>
  <c r="U134" i="9"/>
  <c r="U133" i="9"/>
  <c r="U132" i="9"/>
  <c r="U131" i="9"/>
  <c r="U130" i="9"/>
  <c r="U129" i="9"/>
  <c r="U128" i="9"/>
  <c r="U127" i="9"/>
  <c r="U126" i="9"/>
  <c r="U125" i="9"/>
  <c r="U124" i="9"/>
  <c r="U123" i="9"/>
  <c r="U122" i="9"/>
  <c r="U121" i="9"/>
  <c r="U120" i="9"/>
  <c r="U119" i="9"/>
  <c r="U118" i="9"/>
  <c r="U117" i="9"/>
  <c r="U116" i="9"/>
  <c r="U115" i="9"/>
  <c r="U114" i="9"/>
  <c r="U113" i="9"/>
  <c r="U112" i="9"/>
  <c r="U111" i="9"/>
  <c r="U110" i="9"/>
  <c r="U109" i="9"/>
  <c r="U108" i="9"/>
  <c r="U107" i="9"/>
  <c r="U106" i="9"/>
  <c r="U105" i="9"/>
  <c r="U104" i="9"/>
  <c r="U103" i="9"/>
  <c r="U102" i="9"/>
  <c r="U101" i="9"/>
  <c r="U100" i="9"/>
  <c r="U99" i="9"/>
  <c r="U98" i="9"/>
  <c r="U97" i="9"/>
  <c r="U96" i="9"/>
  <c r="U95" i="9"/>
  <c r="U94" i="9"/>
  <c r="U93" i="9"/>
  <c r="U92" i="9"/>
  <c r="U91" i="9"/>
  <c r="U90" i="9"/>
  <c r="U89" i="9"/>
  <c r="U88" i="9"/>
  <c r="U87" i="9"/>
  <c r="U86" i="9"/>
  <c r="U85" i="9"/>
  <c r="U84" i="9"/>
  <c r="U83" i="9"/>
  <c r="U82" i="9"/>
  <c r="U81" i="9"/>
  <c r="U80" i="9"/>
  <c r="U79" i="9"/>
  <c r="U78" i="9"/>
  <c r="U77" i="9"/>
  <c r="U76" i="9"/>
  <c r="U75" i="9"/>
  <c r="U74" i="9"/>
  <c r="U73" i="9"/>
  <c r="U72" i="9"/>
  <c r="U71" i="9"/>
  <c r="U70" i="9"/>
  <c r="U69" i="9"/>
  <c r="U68" i="9"/>
  <c r="U67" i="9"/>
  <c r="U66" i="9"/>
  <c r="U65" i="9"/>
  <c r="U64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5" i="9"/>
  <c r="S186" i="9"/>
  <c r="S14" i="9"/>
  <c r="S9" i="9"/>
  <c r="S8" i="9"/>
  <c r="S13" i="9"/>
  <c r="S37" i="9"/>
  <c r="S69" i="9"/>
  <c r="S5" i="9"/>
  <c r="S6" i="9"/>
  <c r="S7" i="9"/>
  <c r="S10" i="9"/>
  <c r="S11" i="9"/>
  <c r="S12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G10" i="16" l="1"/>
  <c r="L10" i="16"/>
  <c r="N10" i="16"/>
  <c r="M10" i="16"/>
  <c r="D10" i="16"/>
  <c r="I10" i="16"/>
  <c r="H10" i="16"/>
  <c r="K10" i="16"/>
  <c r="F10" i="16"/>
  <c r="AJ214" i="9"/>
  <c r="K214" i="9"/>
  <c r="I214" i="9"/>
  <c r="AJ186" i="9"/>
  <c r="K186" i="9"/>
  <c r="I186" i="9"/>
  <c r="E6" i="11" l="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5" i="11"/>
  <c r="AS2" i="7"/>
  <c r="AR2" i="7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R108" i="7"/>
  <c r="AR109" i="7"/>
  <c r="AR110" i="7"/>
  <c r="AR111" i="7"/>
  <c r="AR112" i="7"/>
  <c r="AR113" i="7"/>
  <c r="AR114" i="7"/>
  <c r="AR115" i="7"/>
  <c r="AR116" i="7"/>
  <c r="AR117" i="7"/>
  <c r="AR118" i="7"/>
  <c r="AR119" i="7"/>
  <c r="AR120" i="7"/>
  <c r="AR121" i="7"/>
  <c r="AR122" i="7"/>
  <c r="AR123" i="7"/>
  <c r="AR124" i="7"/>
  <c r="AR125" i="7"/>
  <c r="AR126" i="7"/>
  <c r="AR127" i="7"/>
  <c r="AR128" i="7"/>
  <c r="AR129" i="7"/>
  <c r="AR130" i="7"/>
  <c r="AR131" i="7"/>
  <c r="AR132" i="7"/>
  <c r="AR133" i="7"/>
  <c r="AR134" i="7"/>
  <c r="AR135" i="7"/>
  <c r="AR136" i="7"/>
  <c r="AR137" i="7"/>
  <c r="AR138" i="7"/>
  <c r="AR139" i="7"/>
  <c r="AR140" i="7"/>
  <c r="AR141" i="7"/>
  <c r="AR142" i="7"/>
  <c r="AR143" i="7"/>
  <c r="AR144" i="7"/>
  <c r="AR145" i="7"/>
  <c r="AR146" i="7"/>
  <c r="AR147" i="7"/>
  <c r="AR148" i="7"/>
  <c r="AR149" i="7"/>
  <c r="AR150" i="7"/>
  <c r="AR151" i="7"/>
  <c r="AR152" i="7"/>
  <c r="AR153" i="7"/>
  <c r="AR154" i="7"/>
  <c r="AR155" i="7"/>
  <c r="AR156" i="7"/>
  <c r="AR157" i="7"/>
  <c r="AR158" i="7"/>
  <c r="AR159" i="7"/>
  <c r="AR160" i="7"/>
  <c r="AR161" i="7"/>
  <c r="AR162" i="7"/>
  <c r="AR163" i="7"/>
  <c r="AR164" i="7"/>
  <c r="AR165" i="7"/>
  <c r="AR166" i="7"/>
  <c r="AR167" i="7"/>
  <c r="AR168" i="7"/>
  <c r="AR169" i="7"/>
  <c r="AR170" i="7"/>
  <c r="AR171" i="7"/>
  <c r="AR172" i="7"/>
  <c r="AR173" i="7"/>
  <c r="AR174" i="7"/>
  <c r="AR175" i="7"/>
  <c r="AR176" i="7"/>
  <c r="AR177" i="7"/>
  <c r="AR178" i="7"/>
  <c r="AR179" i="7"/>
  <c r="AR180" i="7"/>
  <c r="AR181" i="7"/>
  <c r="AR182" i="7"/>
  <c r="AR183" i="7"/>
  <c r="AR184" i="7"/>
  <c r="AR185" i="7"/>
  <c r="AR186" i="7"/>
  <c r="AR187" i="7"/>
  <c r="AR188" i="7"/>
  <c r="AR189" i="7"/>
  <c r="AR190" i="7"/>
  <c r="AR191" i="7"/>
  <c r="AR192" i="7"/>
  <c r="AR193" i="7"/>
  <c r="AR194" i="7"/>
  <c r="AR195" i="7"/>
  <c r="AR196" i="7"/>
  <c r="AR197" i="7"/>
  <c r="AR198" i="7"/>
  <c r="AR199" i="7"/>
  <c r="AR200" i="7"/>
  <c r="AR201" i="7"/>
  <c r="AR202" i="7"/>
  <c r="AR203" i="7"/>
  <c r="AR204" i="7"/>
  <c r="AR205" i="7"/>
  <c r="AR206" i="7"/>
  <c r="AR207" i="7"/>
  <c r="AR208" i="7"/>
  <c r="AR209" i="7"/>
  <c r="AR210" i="7"/>
  <c r="AR211" i="7"/>
  <c r="AR212" i="7"/>
  <c r="AR213" i="7"/>
  <c r="AR214" i="7"/>
  <c r="AR215" i="7"/>
  <c r="AR216" i="7"/>
  <c r="AR217" i="7"/>
  <c r="AR218" i="7"/>
  <c r="AR219" i="7"/>
  <c r="AR220" i="7"/>
  <c r="AR221" i="7"/>
  <c r="AR222" i="7"/>
  <c r="AR223" i="7"/>
  <c r="AR224" i="7"/>
  <c r="AR225" i="7"/>
  <c r="AR226" i="7"/>
  <c r="AR227" i="7"/>
  <c r="AR228" i="7"/>
  <c r="AR229" i="7"/>
  <c r="AR230" i="7"/>
  <c r="AR231" i="7"/>
  <c r="AR232" i="7"/>
  <c r="AR233" i="7"/>
  <c r="AR234" i="7"/>
  <c r="AR235" i="7"/>
  <c r="AR236" i="7"/>
  <c r="AR237" i="7"/>
  <c r="AR238" i="7"/>
  <c r="AR239" i="7"/>
  <c r="AR240" i="7"/>
  <c r="AR241" i="7"/>
  <c r="AR242" i="7"/>
  <c r="AR243" i="7"/>
  <c r="AR244" i="7"/>
  <c r="AR245" i="7"/>
  <c r="AR246" i="7"/>
  <c r="AR247" i="7"/>
  <c r="AR248" i="7"/>
  <c r="AR249" i="7"/>
  <c r="AR250" i="7"/>
  <c r="AR251" i="7"/>
  <c r="AR252" i="7"/>
  <c r="AR253" i="7"/>
  <c r="AR254" i="7"/>
  <c r="AR255" i="7"/>
  <c r="AR256" i="7"/>
  <c r="AR257" i="7"/>
  <c r="AR258" i="7"/>
  <c r="AR259" i="7"/>
  <c r="AR260" i="7"/>
  <c r="AR261" i="7"/>
  <c r="AR262" i="7"/>
  <c r="AR263" i="7"/>
  <c r="AR264" i="7"/>
  <c r="AR265" i="7"/>
  <c r="AR266" i="7"/>
  <c r="AR267" i="7"/>
  <c r="AR268" i="7"/>
  <c r="AR269" i="7"/>
  <c r="AR270" i="7"/>
  <c r="AR271" i="7"/>
  <c r="AR272" i="7"/>
  <c r="AR273" i="7"/>
  <c r="AR274" i="7"/>
  <c r="AR275" i="7"/>
  <c r="AR276" i="7"/>
  <c r="AP3" i="7"/>
  <c r="AQ3" i="7" s="1"/>
  <c r="AP4" i="7"/>
  <c r="AQ4" i="7" s="1"/>
  <c r="AP5" i="7"/>
  <c r="AQ5" i="7" s="1"/>
  <c r="AP6" i="7"/>
  <c r="AQ6" i="7" s="1"/>
  <c r="AP7" i="7"/>
  <c r="AQ7" i="7" s="1"/>
  <c r="AP8" i="7"/>
  <c r="AQ8" i="7" s="1"/>
  <c r="AP9" i="7"/>
  <c r="AQ9" i="7" s="1"/>
  <c r="AP10" i="7"/>
  <c r="AQ10" i="7" s="1"/>
  <c r="AP11" i="7"/>
  <c r="AQ11" i="7" s="1"/>
  <c r="AP12" i="7"/>
  <c r="AQ12" i="7" s="1"/>
  <c r="AP13" i="7"/>
  <c r="AQ13" i="7" s="1"/>
  <c r="AP14" i="7"/>
  <c r="AQ14" i="7" s="1"/>
  <c r="AP15" i="7"/>
  <c r="AQ15" i="7" s="1"/>
  <c r="AP16" i="7"/>
  <c r="AQ16" i="7" s="1"/>
  <c r="AP17" i="7"/>
  <c r="AQ17" i="7" s="1"/>
  <c r="AP18" i="7"/>
  <c r="AQ18" i="7" s="1"/>
  <c r="AP19" i="7"/>
  <c r="AQ19" i="7" s="1"/>
  <c r="AP20" i="7"/>
  <c r="AQ20" i="7" s="1"/>
  <c r="AP21" i="7"/>
  <c r="AQ21" i="7" s="1"/>
  <c r="AP22" i="7"/>
  <c r="AQ22" i="7" s="1"/>
  <c r="AP23" i="7"/>
  <c r="AQ23" i="7" s="1"/>
  <c r="AP24" i="7"/>
  <c r="AQ24" i="7" s="1"/>
  <c r="AP25" i="7"/>
  <c r="AQ25" i="7" s="1"/>
  <c r="AP26" i="7"/>
  <c r="AQ26" i="7" s="1"/>
  <c r="AP27" i="7"/>
  <c r="AQ27" i="7" s="1"/>
  <c r="AP28" i="7"/>
  <c r="AQ28" i="7" s="1"/>
  <c r="AP29" i="7"/>
  <c r="AQ29" i="7" s="1"/>
  <c r="AP30" i="7"/>
  <c r="AQ30" i="7" s="1"/>
  <c r="AP31" i="7"/>
  <c r="AQ31" i="7" s="1"/>
  <c r="AP32" i="7"/>
  <c r="AQ32" i="7" s="1"/>
  <c r="AP33" i="7"/>
  <c r="AQ33" i="7" s="1"/>
  <c r="AP34" i="7"/>
  <c r="AQ34" i="7" s="1"/>
  <c r="AP35" i="7"/>
  <c r="AQ35" i="7" s="1"/>
  <c r="AP36" i="7"/>
  <c r="AQ36" i="7" s="1"/>
  <c r="AP37" i="7"/>
  <c r="AQ37" i="7" s="1"/>
  <c r="AP38" i="7"/>
  <c r="AQ38" i="7" s="1"/>
  <c r="AP39" i="7"/>
  <c r="AQ39" i="7" s="1"/>
  <c r="AP40" i="7"/>
  <c r="AQ40" i="7" s="1"/>
  <c r="AP41" i="7"/>
  <c r="AQ41" i="7" s="1"/>
  <c r="AP42" i="7"/>
  <c r="AQ42" i="7" s="1"/>
  <c r="AP43" i="7"/>
  <c r="AQ43" i="7" s="1"/>
  <c r="AP44" i="7"/>
  <c r="AQ44" i="7" s="1"/>
  <c r="AP45" i="7"/>
  <c r="AQ45" i="7" s="1"/>
  <c r="AP46" i="7"/>
  <c r="AQ46" i="7" s="1"/>
  <c r="AP47" i="7"/>
  <c r="AQ47" i="7" s="1"/>
  <c r="AP48" i="7"/>
  <c r="AQ48" i="7" s="1"/>
  <c r="AP49" i="7"/>
  <c r="AQ49" i="7" s="1"/>
  <c r="AP50" i="7"/>
  <c r="AQ50" i="7" s="1"/>
  <c r="AP51" i="7"/>
  <c r="AQ51" i="7" s="1"/>
  <c r="AP52" i="7"/>
  <c r="AQ52" i="7" s="1"/>
  <c r="AP53" i="7"/>
  <c r="AQ53" i="7" s="1"/>
  <c r="AP54" i="7"/>
  <c r="AQ54" i="7" s="1"/>
  <c r="AP55" i="7"/>
  <c r="AQ55" i="7" s="1"/>
  <c r="AP56" i="7"/>
  <c r="AQ56" i="7" s="1"/>
  <c r="AP57" i="7"/>
  <c r="AQ57" i="7" s="1"/>
  <c r="AP58" i="7"/>
  <c r="AQ58" i="7" s="1"/>
  <c r="AP59" i="7"/>
  <c r="AQ59" i="7" s="1"/>
  <c r="AP60" i="7"/>
  <c r="AQ60" i="7" s="1"/>
  <c r="AP61" i="7"/>
  <c r="AQ61" i="7" s="1"/>
  <c r="AP62" i="7"/>
  <c r="AQ62" i="7" s="1"/>
  <c r="AP63" i="7"/>
  <c r="AQ63" i="7" s="1"/>
  <c r="AP64" i="7"/>
  <c r="AQ64" i="7" s="1"/>
  <c r="AP65" i="7"/>
  <c r="AQ65" i="7" s="1"/>
  <c r="AP66" i="7"/>
  <c r="AQ66" i="7" s="1"/>
  <c r="AP67" i="7"/>
  <c r="AQ67" i="7" s="1"/>
  <c r="AP68" i="7"/>
  <c r="AQ68" i="7" s="1"/>
  <c r="AP69" i="7"/>
  <c r="AQ69" i="7" s="1"/>
  <c r="AP70" i="7"/>
  <c r="AQ70" i="7" s="1"/>
  <c r="AP71" i="7"/>
  <c r="AQ71" i="7" s="1"/>
  <c r="AP72" i="7"/>
  <c r="AQ72" i="7" s="1"/>
  <c r="AP73" i="7"/>
  <c r="AQ73" i="7" s="1"/>
  <c r="AP74" i="7"/>
  <c r="AQ74" i="7" s="1"/>
  <c r="AP75" i="7"/>
  <c r="AQ75" i="7" s="1"/>
  <c r="AP76" i="7"/>
  <c r="AQ76" i="7" s="1"/>
  <c r="AP77" i="7"/>
  <c r="AQ77" i="7" s="1"/>
  <c r="AP78" i="7"/>
  <c r="AQ78" i="7" s="1"/>
  <c r="AP79" i="7"/>
  <c r="AQ79" i="7" s="1"/>
  <c r="AP80" i="7"/>
  <c r="AQ80" i="7" s="1"/>
  <c r="AP81" i="7"/>
  <c r="AQ81" i="7" s="1"/>
  <c r="AP82" i="7"/>
  <c r="AQ82" i="7" s="1"/>
  <c r="AP83" i="7"/>
  <c r="AQ83" i="7" s="1"/>
  <c r="AP84" i="7"/>
  <c r="AQ84" i="7" s="1"/>
  <c r="AP85" i="7"/>
  <c r="AQ85" i="7" s="1"/>
  <c r="AP86" i="7"/>
  <c r="AQ86" i="7" s="1"/>
  <c r="AP87" i="7"/>
  <c r="AQ87" i="7" s="1"/>
  <c r="AP88" i="7"/>
  <c r="AQ88" i="7" s="1"/>
  <c r="AP89" i="7"/>
  <c r="AQ89" i="7" s="1"/>
  <c r="AP90" i="7"/>
  <c r="AQ90" i="7" s="1"/>
  <c r="AP91" i="7"/>
  <c r="AQ91" i="7" s="1"/>
  <c r="AP92" i="7"/>
  <c r="AQ92" i="7" s="1"/>
  <c r="AP93" i="7"/>
  <c r="AQ93" i="7" s="1"/>
  <c r="AP94" i="7"/>
  <c r="AQ94" i="7" s="1"/>
  <c r="AP95" i="7"/>
  <c r="AQ95" i="7" s="1"/>
  <c r="AP96" i="7"/>
  <c r="AQ96" i="7" s="1"/>
  <c r="AP97" i="7"/>
  <c r="AQ97" i="7" s="1"/>
  <c r="AP98" i="7"/>
  <c r="AQ98" i="7" s="1"/>
  <c r="AP99" i="7"/>
  <c r="AQ99" i="7" s="1"/>
  <c r="AP100" i="7"/>
  <c r="AQ100" i="7" s="1"/>
  <c r="AP101" i="7"/>
  <c r="AQ101" i="7" s="1"/>
  <c r="AP102" i="7"/>
  <c r="AQ102" i="7" s="1"/>
  <c r="AP103" i="7"/>
  <c r="AQ103" i="7" s="1"/>
  <c r="AP104" i="7"/>
  <c r="AQ104" i="7" s="1"/>
  <c r="AP105" i="7"/>
  <c r="AQ105" i="7" s="1"/>
  <c r="AP106" i="7"/>
  <c r="AQ106" i="7" s="1"/>
  <c r="AP107" i="7"/>
  <c r="AQ107" i="7" s="1"/>
  <c r="AP108" i="7"/>
  <c r="AQ108" i="7" s="1"/>
  <c r="AP109" i="7"/>
  <c r="AQ109" i="7" s="1"/>
  <c r="AP110" i="7"/>
  <c r="AQ110" i="7" s="1"/>
  <c r="AP111" i="7"/>
  <c r="AQ111" i="7" s="1"/>
  <c r="AP112" i="7"/>
  <c r="AQ112" i="7" s="1"/>
  <c r="AP113" i="7"/>
  <c r="AQ113" i="7" s="1"/>
  <c r="AP114" i="7"/>
  <c r="AQ114" i="7" s="1"/>
  <c r="AP115" i="7"/>
  <c r="AQ115" i="7" s="1"/>
  <c r="AP116" i="7"/>
  <c r="AQ116" i="7" s="1"/>
  <c r="AP117" i="7"/>
  <c r="AQ117" i="7" s="1"/>
  <c r="AP118" i="7"/>
  <c r="AQ118" i="7" s="1"/>
  <c r="AP119" i="7"/>
  <c r="AQ119" i="7" s="1"/>
  <c r="AP120" i="7"/>
  <c r="AQ120" i="7" s="1"/>
  <c r="AP121" i="7"/>
  <c r="AQ121" i="7" s="1"/>
  <c r="AP122" i="7"/>
  <c r="AQ122" i="7" s="1"/>
  <c r="AP123" i="7"/>
  <c r="AQ123" i="7" s="1"/>
  <c r="AP124" i="7"/>
  <c r="AQ124" i="7" s="1"/>
  <c r="AP125" i="7"/>
  <c r="AQ125" i="7" s="1"/>
  <c r="AP126" i="7"/>
  <c r="AQ126" i="7" s="1"/>
  <c r="AP127" i="7"/>
  <c r="AQ127" i="7" s="1"/>
  <c r="AP128" i="7"/>
  <c r="AQ128" i="7" s="1"/>
  <c r="AP129" i="7"/>
  <c r="AQ129" i="7" s="1"/>
  <c r="AP130" i="7"/>
  <c r="AQ130" i="7" s="1"/>
  <c r="AP131" i="7"/>
  <c r="AQ131" i="7" s="1"/>
  <c r="AP132" i="7"/>
  <c r="AQ132" i="7" s="1"/>
  <c r="AP133" i="7"/>
  <c r="AQ133" i="7" s="1"/>
  <c r="AP134" i="7"/>
  <c r="AQ134" i="7" s="1"/>
  <c r="AP135" i="7"/>
  <c r="AQ135" i="7" s="1"/>
  <c r="AP136" i="7"/>
  <c r="AQ136" i="7" s="1"/>
  <c r="AP137" i="7"/>
  <c r="AQ137" i="7" s="1"/>
  <c r="AP138" i="7"/>
  <c r="AQ138" i="7" s="1"/>
  <c r="AP139" i="7"/>
  <c r="AQ139" i="7" s="1"/>
  <c r="AP140" i="7"/>
  <c r="AQ140" i="7" s="1"/>
  <c r="AP141" i="7"/>
  <c r="AQ141" i="7" s="1"/>
  <c r="AP142" i="7"/>
  <c r="AQ142" i="7" s="1"/>
  <c r="AP143" i="7"/>
  <c r="AQ143" i="7" s="1"/>
  <c r="AP144" i="7"/>
  <c r="AQ144" i="7" s="1"/>
  <c r="AP145" i="7"/>
  <c r="AQ145" i="7" s="1"/>
  <c r="AP146" i="7"/>
  <c r="AQ146" i="7" s="1"/>
  <c r="AP147" i="7"/>
  <c r="AQ147" i="7" s="1"/>
  <c r="AP148" i="7"/>
  <c r="AQ148" i="7" s="1"/>
  <c r="AP149" i="7"/>
  <c r="AQ149" i="7" s="1"/>
  <c r="AP150" i="7"/>
  <c r="AQ150" i="7" s="1"/>
  <c r="AP151" i="7"/>
  <c r="AQ151" i="7" s="1"/>
  <c r="AP152" i="7"/>
  <c r="AQ152" i="7" s="1"/>
  <c r="AP153" i="7"/>
  <c r="AQ153" i="7" s="1"/>
  <c r="AP154" i="7"/>
  <c r="AQ154" i="7" s="1"/>
  <c r="AP155" i="7"/>
  <c r="AQ155" i="7" s="1"/>
  <c r="AP156" i="7"/>
  <c r="AQ156" i="7" s="1"/>
  <c r="AP157" i="7"/>
  <c r="AQ157" i="7" s="1"/>
  <c r="AP158" i="7"/>
  <c r="AQ158" i="7" s="1"/>
  <c r="AP159" i="7"/>
  <c r="AQ159" i="7" s="1"/>
  <c r="AP160" i="7"/>
  <c r="AQ160" i="7" s="1"/>
  <c r="AP161" i="7"/>
  <c r="AQ161" i="7" s="1"/>
  <c r="AP162" i="7"/>
  <c r="AQ162" i="7" s="1"/>
  <c r="AP163" i="7"/>
  <c r="AQ163" i="7" s="1"/>
  <c r="AP164" i="7"/>
  <c r="AQ164" i="7" s="1"/>
  <c r="AP165" i="7"/>
  <c r="AQ165" i="7" s="1"/>
  <c r="AP166" i="7"/>
  <c r="AQ166" i="7" s="1"/>
  <c r="AP167" i="7"/>
  <c r="AQ167" i="7" s="1"/>
  <c r="AP168" i="7"/>
  <c r="AQ168" i="7" s="1"/>
  <c r="AP169" i="7"/>
  <c r="AQ169" i="7" s="1"/>
  <c r="AP170" i="7"/>
  <c r="AQ170" i="7" s="1"/>
  <c r="AP171" i="7"/>
  <c r="AQ171" i="7" s="1"/>
  <c r="AP172" i="7"/>
  <c r="AQ172" i="7" s="1"/>
  <c r="AP173" i="7"/>
  <c r="AQ173" i="7" s="1"/>
  <c r="AP174" i="7"/>
  <c r="AQ174" i="7" s="1"/>
  <c r="AP175" i="7"/>
  <c r="AQ175" i="7" s="1"/>
  <c r="AP176" i="7"/>
  <c r="AQ176" i="7" s="1"/>
  <c r="AP177" i="7"/>
  <c r="AQ177" i="7" s="1"/>
  <c r="AP178" i="7"/>
  <c r="AQ178" i="7" s="1"/>
  <c r="AP179" i="7"/>
  <c r="AQ179" i="7" s="1"/>
  <c r="AP180" i="7"/>
  <c r="AQ180" i="7" s="1"/>
  <c r="AP181" i="7"/>
  <c r="AQ181" i="7" s="1"/>
  <c r="AP182" i="7"/>
  <c r="AQ182" i="7" s="1"/>
  <c r="AP183" i="7"/>
  <c r="AQ183" i="7" s="1"/>
  <c r="AP184" i="7"/>
  <c r="AQ184" i="7" s="1"/>
  <c r="AP185" i="7"/>
  <c r="AQ185" i="7" s="1"/>
  <c r="AP186" i="7"/>
  <c r="AQ186" i="7" s="1"/>
  <c r="AP187" i="7"/>
  <c r="AQ187" i="7" s="1"/>
  <c r="AP188" i="7"/>
  <c r="AQ188" i="7" s="1"/>
  <c r="AP189" i="7"/>
  <c r="AQ189" i="7" s="1"/>
  <c r="AP190" i="7"/>
  <c r="AQ190" i="7" s="1"/>
  <c r="AP191" i="7"/>
  <c r="AQ191" i="7" s="1"/>
  <c r="AP192" i="7"/>
  <c r="AQ192" i="7" s="1"/>
  <c r="AP193" i="7"/>
  <c r="AQ193" i="7" s="1"/>
  <c r="AP194" i="7"/>
  <c r="AQ194" i="7" s="1"/>
  <c r="AP195" i="7"/>
  <c r="AQ195" i="7" s="1"/>
  <c r="AP196" i="7"/>
  <c r="AQ196" i="7" s="1"/>
  <c r="AP197" i="7"/>
  <c r="AQ197" i="7" s="1"/>
  <c r="AP198" i="7"/>
  <c r="AQ198" i="7" s="1"/>
  <c r="AP199" i="7"/>
  <c r="AQ199" i="7" s="1"/>
  <c r="AP200" i="7"/>
  <c r="AQ200" i="7" s="1"/>
  <c r="AP201" i="7"/>
  <c r="AQ201" i="7" s="1"/>
  <c r="AP202" i="7"/>
  <c r="AQ202" i="7" s="1"/>
  <c r="AP203" i="7"/>
  <c r="AQ203" i="7" s="1"/>
  <c r="AP204" i="7"/>
  <c r="AQ204" i="7" s="1"/>
  <c r="AP205" i="7"/>
  <c r="AQ205" i="7" s="1"/>
  <c r="AP206" i="7"/>
  <c r="AQ206" i="7" s="1"/>
  <c r="AP207" i="7"/>
  <c r="AQ207" i="7" s="1"/>
  <c r="AP208" i="7"/>
  <c r="AQ208" i="7" s="1"/>
  <c r="AP209" i="7"/>
  <c r="AQ209" i="7" s="1"/>
  <c r="AP210" i="7"/>
  <c r="AQ210" i="7" s="1"/>
  <c r="AP211" i="7"/>
  <c r="AQ211" i="7" s="1"/>
  <c r="AP212" i="7"/>
  <c r="AQ212" i="7" s="1"/>
  <c r="AP213" i="7"/>
  <c r="AQ213" i="7" s="1"/>
  <c r="AP214" i="7"/>
  <c r="AQ214" i="7" s="1"/>
  <c r="AP215" i="7"/>
  <c r="AQ215" i="7" s="1"/>
  <c r="AP216" i="7"/>
  <c r="AQ216" i="7" s="1"/>
  <c r="AP217" i="7"/>
  <c r="AQ217" i="7" s="1"/>
  <c r="AP218" i="7"/>
  <c r="AQ218" i="7" s="1"/>
  <c r="AP219" i="7"/>
  <c r="AQ219" i="7" s="1"/>
  <c r="AP220" i="7"/>
  <c r="AQ220" i="7" s="1"/>
  <c r="AP221" i="7"/>
  <c r="AQ221" i="7" s="1"/>
  <c r="AP222" i="7"/>
  <c r="AQ222" i="7" s="1"/>
  <c r="AP223" i="7"/>
  <c r="AQ223" i="7" s="1"/>
  <c r="AP224" i="7"/>
  <c r="AQ224" i="7" s="1"/>
  <c r="AP225" i="7"/>
  <c r="AQ225" i="7" s="1"/>
  <c r="AP226" i="7"/>
  <c r="AQ226" i="7" s="1"/>
  <c r="AP227" i="7"/>
  <c r="AQ227" i="7" s="1"/>
  <c r="AP228" i="7"/>
  <c r="AQ228" i="7" s="1"/>
  <c r="AP229" i="7"/>
  <c r="AQ229" i="7" s="1"/>
  <c r="AP230" i="7"/>
  <c r="AQ230" i="7" s="1"/>
  <c r="AP231" i="7"/>
  <c r="AQ231" i="7" s="1"/>
  <c r="AP232" i="7"/>
  <c r="AQ232" i="7" s="1"/>
  <c r="AP233" i="7"/>
  <c r="AQ233" i="7" s="1"/>
  <c r="AP234" i="7"/>
  <c r="AQ234" i="7" s="1"/>
  <c r="AP235" i="7"/>
  <c r="AQ235" i="7" s="1"/>
  <c r="AP236" i="7"/>
  <c r="AQ236" i="7" s="1"/>
  <c r="AP237" i="7"/>
  <c r="AQ237" i="7" s="1"/>
  <c r="AP238" i="7"/>
  <c r="AQ238" i="7" s="1"/>
  <c r="AP239" i="7"/>
  <c r="AQ239" i="7" s="1"/>
  <c r="AP240" i="7"/>
  <c r="AQ240" i="7" s="1"/>
  <c r="AP241" i="7"/>
  <c r="AQ241" i="7" s="1"/>
  <c r="AP242" i="7"/>
  <c r="AQ242" i="7" s="1"/>
  <c r="AP243" i="7"/>
  <c r="AQ243" i="7" s="1"/>
  <c r="AP244" i="7"/>
  <c r="AQ244" i="7" s="1"/>
  <c r="AP245" i="7"/>
  <c r="AQ245" i="7" s="1"/>
  <c r="AP246" i="7"/>
  <c r="AQ246" i="7" s="1"/>
  <c r="AP247" i="7"/>
  <c r="AQ247" i="7" s="1"/>
  <c r="AP248" i="7"/>
  <c r="AQ248" i="7" s="1"/>
  <c r="AP249" i="7"/>
  <c r="AQ249" i="7" s="1"/>
  <c r="AP250" i="7"/>
  <c r="AQ250" i="7" s="1"/>
  <c r="AP251" i="7"/>
  <c r="AQ251" i="7" s="1"/>
  <c r="AP252" i="7"/>
  <c r="AQ252" i="7" s="1"/>
  <c r="AP253" i="7"/>
  <c r="AQ253" i="7" s="1"/>
  <c r="AP254" i="7"/>
  <c r="AQ254" i="7" s="1"/>
  <c r="AP255" i="7"/>
  <c r="AQ255" i="7" s="1"/>
  <c r="AP256" i="7"/>
  <c r="AQ256" i="7" s="1"/>
  <c r="AP257" i="7"/>
  <c r="AQ257" i="7" s="1"/>
  <c r="AP258" i="7"/>
  <c r="AQ258" i="7" s="1"/>
  <c r="AP259" i="7"/>
  <c r="AQ259" i="7" s="1"/>
  <c r="AP260" i="7"/>
  <c r="AQ260" i="7" s="1"/>
  <c r="AP261" i="7"/>
  <c r="AQ261" i="7" s="1"/>
  <c r="AP262" i="7"/>
  <c r="AQ262" i="7" s="1"/>
  <c r="AP263" i="7"/>
  <c r="AQ263" i="7" s="1"/>
  <c r="AP264" i="7"/>
  <c r="AQ264" i="7" s="1"/>
  <c r="AP265" i="7"/>
  <c r="AQ265" i="7" s="1"/>
  <c r="AP266" i="7"/>
  <c r="AQ266" i="7" s="1"/>
  <c r="AP267" i="7"/>
  <c r="AQ267" i="7" s="1"/>
  <c r="AP268" i="7"/>
  <c r="AQ268" i="7" s="1"/>
  <c r="AP269" i="7"/>
  <c r="AQ269" i="7" s="1"/>
  <c r="AP270" i="7"/>
  <c r="AQ270" i="7" s="1"/>
  <c r="AP271" i="7"/>
  <c r="AQ271" i="7" s="1"/>
  <c r="AP272" i="7"/>
  <c r="AQ272" i="7" s="1"/>
  <c r="AP273" i="7"/>
  <c r="AQ273" i="7" s="1"/>
  <c r="AP274" i="7"/>
  <c r="AQ274" i="7" s="1"/>
  <c r="AP275" i="7"/>
  <c r="AQ275" i="7" s="1"/>
  <c r="AP276" i="7"/>
  <c r="AQ276" i="7" s="1"/>
  <c r="AP2" i="7"/>
  <c r="AQ2" i="7" s="1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7" i="8"/>
  <c r="AO19" i="7"/>
  <c r="AO20" i="7"/>
  <c r="AO21" i="7"/>
  <c r="AO22" i="7"/>
  <c r="AO18" i="7"/>
  <c r="AN19" i="7"/>
  <c r="AN20" i="7"/>
  <c r="AN21" i="7"/>
  <c r="AN22" i="7"/>
  <c r="AN18" i="7"/>
  <c r="AM20" i="7"/>
  <c r="AM22" i="7"/>
  <c r="AM21" i="7"/>
  <c r="AM19" i="7"/>
  <c r="AM18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79" i="7"/>
  <c r="AL80" i="7"/>
  <c r="AL81" i="7"/>
  <c r="AL82" i="7"/>
  <c r="AL83" i="7"/>
  <c r="AL84" i="7"/>
  <c r="AL85" i="7"/>
  <c r="AL86" i="7"/>
  <c r="AL87" i="7"/>
  <c r="AL88" i="7"/>
  <c r="AL89" i="7"/>
  <c r="AL90" i="7"/>
  <c r="AL91" i="7"/>
  <c r="AL92" i="7"/>
  <c r="AL93" i="7"/>
  <c r="AL94" i="7"/>
  <c r="AL95" i="7"/>
  <c r="AL96" i="7"/>
  <c r="AL97" i="7"/>
  <c r="AL98" i="7"/>
  <c r="AL99" i="7"/>
  <c r="AL100" i="7"/>
  <c r="AL101" i="7"/>
  <c r="AL102" i="7"/>
  <c r="AL103" i="7"/>
  <c r="AL11" i="7"/>
  <c r="AL2" i="7"/>
  <c r="AL3" i="7"/>
  <c r="AL4" i="7"/>
  <c r="AL104" i="7"/>
  <c r="AL18" i="7"/>
  <c r="AL19" i="7"/>
  <c r="AL105" i="7"/>
  <c r="AL106" i="7"/>
  <c r="AL107" i="7"/>
  <c r="AL108" i="7"/>
  <c r="AL109" i="7"/>
  <c r="AL110" i="7"/>
  <c r="AL111" i="7"/>
  <c r="AL112" i="7"/>
  <c r="AL113" i="7"/>
  <c r="AL114" i="7"/>
  <c r="AL115" i="7"/>
  <c r="AL116" i="7"/>
  <c r="AL117" i="7"/>
  <c r="AL118" i="7"/>
  <c r="AL119" i="7"/>
  <c r="AL120" i="7"/>
  <c r="AL121" i="7"/>
  <c r="AL122" i="7"/>
  <c r="AL123" i="7"/>
  <c r="AL124" i="7"/>
  <c r="AL125" i="7"/>
  <c r="AL126" i="7"/>
  <c r="AL127" i="7"/>
  <c r="AL128" i="7"/>
  <c r="AL129" i="7"/>
  <c r="AL130" i="7"/>
  <c r="AL131" i="7"/>
  <c r="AL132" i="7"/>
  <c r="AL133" i="7"/>
  <c r="AL5" i="7"/>
  <c r="AL134" i="7"/>
  <c r="AL135" i="7"/>
  <c r="AL136" i="7"/>
  <c r="AL137" i="7"/>
  <c r="AL138" i="7"/>
  <c r="AL139" i="7"/>
  <c r="AL140" i="7"/>
  <c r="AL141" i="7"/>
  <c r="AL142" i="7"/>
  <c r="AL143" i="7"/>
  <c r="AL144" i="7"/>
  <c r="AL145" i="7"/>
  <c r="AL146" i="7"/>
  <c r="AL147" i="7"/>
  <c r="AL148" i="7"/>
  <c r="AL149" i="7"/>
  <c r="AL150" i="7"/>
  <c r="AL151" i="7"/>
  <c r="AL152" i="7"/>
  <c r="AL153" i="7"/>
  <c r="AL154" i="7"/>
  <c r="AL155" i="7"/>
  <c r="AL156" i="7"/>
  <c r="AL157" i="7"/>
  <c r="AL158" i="7"/>
  <c r="AL159" i="7"/>
  <c r="AL160" i="7"/>
  <c r="AL161" i="7"/>
  <c r="AL162" i="7"/>
  <c r="AL163" i="7"/>
  <c r="AL164" i="7"/>
  <c r="AL165" i="7"/>
  <c r="AL166" i="7"/>
  <c r="AL167" i="7"/>
  <c r="AL168" i="7"/>
  <c r="AL169" i="7"/>
  <c r="AL170" i="7"/>
  <c r="AL171" i="7"/>
  <c r="AL172" i="7"/>
  <c r="AL173" i="7"/>
  <c r="AL174" i="7"/>
  <c r="AL175" i="7"/>
  <c r="AL176" i="7"/>
  <c r="AL177" i="7"/>
  <c r="AL178" i="7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2" i="7"/>
  <c r="AL13" i="7"/>
  <c r="AL6" i="7"/>
  <c r="AL7" i="7"/>
  <c r="AL8" i="7"/>
  <c r="AL9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14" i="7"/>
  <c r="AL221" i="7"/>
  <c r="AL15" i="7"/>
  <c r="AL222" i="7"/>
  <c r="AL223" i="7"/>
  <c r="AL224" i="7"/>
  <c r="AL225" i="7"/>
  <c r="AL226" i="7"/>
  <c r="AL227" i="7"/>
  <c r="AL16" i="7"/>
  <c r="AL228" i="7"/>
  <c r="AL229" i="7"/>
  <c r="AL10" i="7"/>
  <c r="AL230" i="7"/>
  <c r="AL231" i="7"/>
  <c r="AL232" i="7"/>
  <c r="AL233" i="7"/>
  <c r="AL17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AL251" i="7"/>
  <c r="AL252" i="7"/>
  <c r="AL20" i="7"/>
  <c r="AL253" i="7"/>
  <c r="AL21" i="7"/>
  <c r="AL254" i="7"/>
  <c r="AL255" i="7"/>
  <c r="AL256" i="7"/>
  <c r="AL257" i="7"/>
  <c r="AL258" i="7"/>
  <c r="AL259" i="7"/>
  <c r="AL260" i="7"/>
  <c r="AL261" i="7"/>
  <c r="AL262" i="7"/>
  <c r="AL263" i="7"/>
  <c r="AL264" i="7"/>
  <c r="AL265" i="7"/>
  <c r="AL266" i="7"/>
  <c r="AL267" i="7"/>
  <c r="AL268" i="7"/>
  <c r="AL269" i="7"/>
  <c r="AL270" i="7"/>
  <c r="AL271" i="7"/>
  <c r="AL272" i="7"/>
  <c r="AL273" i="7"/>
  <c r="AL22" i="7"/>
  <c r="AL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1" i="7"/>
  <c r="AK2" i="7"/>
  <c r="AK3" i="7"/>
  <c r="AK4" i="7"/>
  <c r="AK104" i="7"/>
  <c r="AK18" i="7"/>
  <c r="AK19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19" i="7"/>
  <c r="AK120" i="7"/>
  <c r="AK121" i="7"/>
  <c r="AK122" i="7"/>
  <c r="AK123" i="7"/>
  <c r="AK124" i="7"/>
  <c r="AK125" i="7"/>
  <c r="AK126" i="7"/>
  <c r="AK127" i="7"/>
  <c r="AK128" i="7"/>
  <c r="AK129" i="7"/>
  <c r="AK130" i="7"/>
  <c r="AK131" i="7"/>
  <c r="AK132" i="7"/>
  <c r="AK133" i="7"/>
  <c r="AK5" i="7"/>
  <c r="AK134" i="7"/>
  <c r="AK135" i="7"/>
  <c r="AK136" i="7"/>
  <c r="AK137" i="7"/>
  <c r="AK138" i="7"/>
  <c r="AK139" i="7"/>
  <c r="AK140" i="7"/>
  <c r="AK141" i="7"/>
  <c r="AK142" i="7"/>
  <c r="AK143" i="7"/>
  <c r="AK144" i="7"/>
  <c r="AK145" i="7"/>
  <c r="AK146" i="7"/>
  <c r="AK147" i="7"/>
  <c r="AK148" i="7"/>
  <c r="AK149" i="7"/>
  <c r="AK150" i="7"/>
  <c r="AK151" i="7"/>
  <c r="AK152" i="7"/>
  <c r="AK153" i="7"/>
  <c r="AK154" i="7"/>
  <c r="AK155" i="7"/>
  <c r="AK156" i="7"/>
  <c r="AK157" i="7"/>
  <c r="AK158" i="7"/>
  <c r="AK159" i="7"/>
  <c r="AK160" i="7"/>
  <c r="AK161" i="7"/>
  <c r="AK162" i="7"/>
  <c r="AK163" i="7"/>
  <c r="AK164" i="7"/>
  <c r="AK165" i="7"/>
  <c r="AK166" i="7"/>
  <c r="AK167" i="7"/>
  <c r="AK168" i="7"/>
  <c r="AK169" i="7"/>
  <c r="AK170" i="7"/>
  <c r="AK171" i="7"/>
  <c r="AK172" i="7"/>
  <c r="AK173" i="7"/>
  <c r="AK174" i="7"/>
  <c r="AK175" i="7"/>
  <c r="AK176" i="7"/>
  <c r="AK177" i="7"/>
  <c r="AK178" i="7"/>
  <c r="AK179" i="7"/>
  <c r="AK180" i="7"/>
  <c r="AK181" i="7"/>
  <c r="AK182" i="7"/>
  <c r="AK183" i="7"/>
  <c r="AK184" i="7"/>
  <c r="AK185" i="7"/>
  <c r="AK186" i="7"/>
  <c r="AK187" i="7"/>
  <c r="AK188" i="7"/>
  <c r="AK189" i="7"/>
  <c r="AK190" i="7"/>
  <c r="AK191" i="7"/>
  <c r="AK192" i="7"/>
  <c r="AK193" i="7"/>
  <c r="AK194" i="7"/>
  <c r="AK195" i="7"/>
  <c r="AK196" i="7"/>
  <c r="AK12" i="7"/>
  <c r="AK13" i="7"/>
  <c r="AK6" i="7"/>
  <c r="AK7" i="7"/>
  <c r="AK8" i="7"/>
  <c r="AK9" i="7"/>
  <c r="AK197" i="7"/>
  <c r="AK198" i="7"/>
  <c r="AK199" i="7"/>
  <c r="AK200" i="7"/>
  <c r="AK201" i="7"/>
  <c r="AK202" i="7"/>
  <c r="AK203" i="7"/>
  <c r="AK204" i="7"/>
  <c r="AK205" i="7"/>
  <c r="AK206" i="7"/>
  <c r="AK207" i="7"/>
  <c r="AK208" i="7"/>
  <c r="AK209" i="7"/>
  <c r="AK210" i="7"/>
  <c r="AK211" i="7"/>
  <c r="AK212" i="7"/>
  <c r="AK213" i="7"/>
  <c r="AK214" i="7"/>
  <c r="AK215" i="7"/>
  <c r="AK216" i="7"/>
  <c r="AK217" i="7"/>
  <c r="AK218" i="7"/>
  <c r="AK219" i="7"/>
  <c r="AK220" i="7"/>
  <c r="AK14" i="7"/>
  <c r="AK221" i="7"/>
  <c r="AK15" i="7"/>
  <c r="AK222" i="7"/>
  <c r="AK223" i="7"/>
  <c r="AK224" i="7"/>
  <c r="AK225" i="7"/>
  <c r="AK226" i="7"/>
  <c r="AK227" i="7"/>
  <c r="AK16" i="7"/>
  <c r="AK228" i="7"/>
  <c r="AK229" i="7"/>
  <c r="AK10" i="7"/>
  <c r="AK230" i="7"/>
  <c r="AK231" i="7"/>
  <c r="AK232" i="7"/>
  <c r="AK233" i="7"/>
  <c r="AK17" i="7"/>
  <c r="AK234" i="7"/>
  <c r="AK235" i="7"/>
  <c r="AK236" i="7"/>
  <c r="AK237" i="7"/>
  <c r="AK238" i="7"/>
  <c r="AK239" i="7"/>
  <c r="AK240" i="7"/>
  <c r="AK241" i="7"/>
  <c r="AK242" i="7"/>
  <c r="AK243" i="7"/>
  <c r="AK244" i="7"/>
  <c r="AK245" i="7"/>
  <c r="AK246" i="7"/>
  <c r="AK247" i="7"/>
  <c r="AK248" i="7"/>
  <c r="AK249" i="7"/>
  <c r="AK250" i="7"/>
  <c r="AK251" i="7"/>
  <c r="AK252" i="7"/>
  <c r="AK20" i="7"/>
  <c r="AK253" i="7"/>
  <c r="AK21" i="7"/>
  <c r="AK254" i="7"/>
  <c r="AK255" i="7"/>
  <c r="AK256" i="7"/>
  <c r="AK257" i="7"/>
  <c r="AK258" i="7"/>
  <c r="AK259" i="7"/>
  <c r="AK260" i="7"/>
  <c r="AK261" i="7"/>
  <c r="AK262" i="7"/>
  <c r="AK263" i="7"/>
  <c r="AK264" i="7"/>
  <c r="AK265" i="7"/>
  <c r="AK266" i="7"/>
  <c r="AK267" i="7"/>
  <c r="AK268" i="7"/>
  <c r="AK269" i="7"/>
  <c r="AK270" i="7"/>
  <c r="AK271" i="7"/>
  <c r="AK272" i="7"/>
  <c r="AK273" i="7"/>
  <c r="AK22" i="7"/>
  <c r="AK23" i="7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A17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A14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A11" i="1"/>
  <c r="I6" i="1" l="1"/>
  <c r="I5" i="1"/>
  <c r="F11" i="11" l="1"/>
  <c r="F35" i="11"/>
  <c r="F20" i="11"/>
  <c r="F6" i="11"/>
  <c r="F13" i="11"/>
  <c r="F42" i="11"/>
  <c r="F32" i="11"/>
  <c r="F40" i="11"/>
  <c r="F17" i="11"/>
  <c r="F43" i="11"/>
  <c r="F28" i="11"/>
  <c r="F14" i="11"/>
  <c r="F31" i="11"/>
  <c r="F27" i="11"/>
  <c r="F37" i="11"/>
  <c r="F25" i="11"/>
  <c r="F36" i="11"/>
  <c r="F22" i="11"/>
  <c r="F15" i="11"/>
  <c r="F33" i="11"/>
  <c r="F10" i="11"/>
  <c r="F5" i="11"/>
  <c r="F30" i="11"/>
  <c r="F8" i="11"/>
  <c r="F24" i="11"/>
  <c r="F12" i="11"/>
  <c r="F9" i="11"/>
  <c r="F23" i="11"/>
  <c r="F41" i="11"/>
  <c r="F18" i="11"/>
  <c r="F38" i="11"/>
  <c r="F29" i="11"/>
  <c r="F21" i="11"/>
  <c r="F26" i="11"/>
  <c r="F39" i="11"/>
  <c r="F16" i="11"/>
  <c r="F34" i="11"/>
  <c r="F19" i="11"/>
  <c r="F7" i="11"/>
  <c r="G5" i="11" l="1"/>
  <c r="G21" i="11"/>
  <c r="G13" i="11"/>
  <c r="G29" i="11"/>
  <c r="G37" i="11"/>
  <c r="G20" i="11"/>
  <c r="G6" i="11"/>
  <c r="G40" i="11"/>
  <c r="G17" i="11"/>
  <c r="G43" i="11"/>
  <c r="G28" i="11"/>
  <c r="G14" i="11"/>
  <c r="G36" i="11"/>
  <c r="G22" i="11"/>
  <c r="G7" i="11"/>
  <c r="G33" i="11"/>
  <c r="G10" i="11"/>
  <c r="G30" i="11"/>
  <c r="G15" i="11"/>
  <c r="G41" i="11"/>
  <c r="G18" i="11"/>
  <c r="G27" i="11"/>
  <c r="G9" i="11"/>
  <c r="G25" i="11"/>
  <c r="G38" i="11"/>
  <c r="G23" i="11"/>
  <c r="G8" i="11"/>
  <c r="G26" i="11"/>
  <c r="G11" i="11"/>
  <c r="G42" i="11"/>
  <c r="G35" i="11"/>
  <c r="G31" i="11"/>
  <c r="G16" i="11"/>
  <c r="G34" i="11"/>
  <c r="G19" i="11"/>
  <c r="G39" i="11"/>
  <c r="G24" i="11"/>
  <c r="G12" i="11"/>
  <c r="G32" i="11"/>
</calcChain>
</file>

<file path=xl/sharedStrings.xml><?xml version="1.0" encoding="utf-8"?>
<sst xmlns="http://schemas.openxmlformats.org/spreadsheetml/2006/main" count="37775" uniqueCount="3687">
  <si>
    <t xml:space="preserve"> DSE MOVEMENT TEMPLATE</t>
  </si>
  <si>
    <t>BRAND (IM3/3ID)</t>
  </si>
  <si>
    <t>REGION</t>
  </si>
  <si>
    <t>BRANCH</t>
  </si>
  <si>
    <t>MICRO CLUSTER</t>
  </si>
  <si>
    <t>PARTNER TERRITORY</t>
  </si>
  <si>
    <t>MPX Im3</t>
  </si>
  <si>
    <t>MPX 3ID</t>
  </si>
  <si>
    <t>ID DSE Im3</t>
  </si>
  <si>
    <t>ID DSE 3ID</t>
  </si>
  <si>
    <t>AGENCY NAME</t>
  </si>
  <si>
    <t>NAMA DSE</t>
  </si>
  <si>
    <t>ALAMAT</t>
  </si>
  <si>
    <t>NO KTP</t>
  </si>
  <si>
    <t>JENIS KELAMIN</t>
  </si>
  <si>
    <t>ROLE (SPV/CSO)</t>
  </si>
  <si>
    <t>MSISDN (YG DIDAFTARKAN MOBO)</t>
  </si>
  <si>
    <t>EMAIL</t>
  </si>
  <si>
    <t>REMARKS</t>
  </si>
  <si>
    <t>RAYON</t>
  </si>
  <si>
    <t>IOH</t>
  </si>
  <si>
    <t>INNER JAKARTA</t>
  </si>
  <si>
    <t>WEST JAKARTA</t>
  </si>
  <si>
    <t>CS CENGKARENG</t>
  </si>
  <si>
    <t>PT-CENGKARENG</t>
  </si>
  <si>
    <t>SDP22310006</t>
  </si>
  <si>
    <t>KSK52606209</t>
  </si>
  <si>
    <t>DSETTE1</t>
  </si>
  <si>
    <t>PERMATA</t>
  </si>
  <si>
    <t>Rizki Ramdhani</t>
  </si>
  <si>
    <t>JL MANGGIS NO 36  RT.003/RW.005 KOTA JAKARTA BARAT 11630</t>
  </si>
  <si>
    <t>LAKI-LAKI</t>
  </si>
  <si>
    <t>CSO</t>
  </si>
  <si>
    <t>62895396012060</t>
  </si>
  <si>
    <t>kiki290391@gmail.com</t>
  </si>
  <si>
    <t>DONE</t>
  </si>
  <si>
    <t>DSE123</t>
  </si>
  <si>
    <t>Indra</t>
  </si>
  <si>
    <t>CSO-SDEW</t>
  </si>
  <si>
    <t>1-23423423</t>
  </si>
  <si>
    <t>DSE-DSNH</t>
  </si>
  <si>
    <t>2342342343ID</t>
  </si>
  <si>
    <t>Rayon</t>
  </si>
  <si>
    <t>Create 3ID</t>
  </si>
  <si>
    <t>Ada</t>
  </si>
  <si>
    <t>Tidak Ada</t>
  </si>
  <si>
    <t>MPC Baru</t>
  </si>
  <si>
    <t>MP3 Baru</t>
  </si>
  <si>
    <t>Cek IM3</t>
  </si>
  <si>
    <t>Cek 3ID</t>
  </si>
  <si>
    <t>Propose DSE ID Im3</t>
  </si>
  <si>
    <t>Propose DSE ID 3ID</t>
  </si>
  <si>
    <t>Action</t>
  </si>
  <si>
    <t>MSISDN ada</t>
  </si>
  <si>
    <t xml:space="preserve">Re- check Nama DSE </t>
  </si>
  <si>
    <t>Status</t>
  </si>
  <si>
    <t>NIK AGENCY</t>
  </si>
  <si>
    <t>Note</t>
  </si>
  <si>
    <t>EAST JAKARTA</t>
  </si>
  <si>
    <t>MC-KRAMATJATI</t>
  </si>
  <si>
    <t>PT-KRAMATJATI</t>
  </si>
  <si>
    <t>D426102035</t>
  </si>
  <si>
    <t>D526102032</t>
  </si>
  <si>
    <t>TRIMINDO JAYA MANDIRI</t>
  </si>
  <si>
    <t>26130504673ID</t>
  </si>
  <si>
    <t>RIXAN ABDUL AFIF</t>
  </si>
  <si>
    <t xml:space="preserve">  DUTAMEKARASRI RT.02/RW.18 KABUPATEN BOGOR 16820</t>
  </si>
  <si>
    <t>3201072504850005</t>
  </si>
  <si>
    <t>PRIA</t>
  </si>
  <si>
    <t>EJ_CR_23</t>
  </si>
  <si>
    <t>CENTRAL NORTH JAKARTA</t>
  </si>
  <si>
    <t>MC-KELAPA GADING</t>
  </si>
  <si>
    <t>PT-KELAPA GADING</t>
  </si>
  <si>
    <t>D3202501001</t>
  </si>
  <si>
    <t>1-163309552352</t>
  </si>
  <si>
    <t>BUANA TELEKOMINDO</t>
  </si>
  <si>
    <t>26130504743ID</t>
  </si>
  <si>
    <t>M. Alzikri</t>
  </si>
  <si>
    <t>JL KAMPUNG PULO  RT.014/RW.003 KOTA JAKARTA TIMUR 13320</t>
  </si>
  <si>
    <t>3175030306000002</t>
  </si>
  <si>
    <t>CNJ_KG_15</t>
  </si>
  <si>
    <t>SOUTH KARAWANG</t>
  </si>
  <si>
    <t>MC-KARAWANG</t>
  </si>
  <si>
    <t>PT-KARAWANG</t>
  </si>
  <si>
    <t>D3202409001</t>
  </si>
  <si>
    <t>2-0012341899</t>
  </si>
  <si>
    <t>KAWAN DATA NUSANTARA</t>
  </si>
  <si>
    <t>26130507053ID</t>
  </si>
  <si>
    <t>STAFFINC</t>
  </si>
  <si>
    <t>GALIH KUSUMADISASTRA</t>
  </si>
  <si>
    <t>griya mas lestari B3 no 9</t>
  </si>
  <si>
    <t>3215030204990001</t>
  </si>
  <si>
    <t>SKRW_KR_1</t>
  </si>
  <si>
    <t>MC-CIRACAS</t>
  </si>
  <si>
    <t>PT-CIRACAS</t>
  </si>
  <si>
    <t>D42609202</t>
  </si>
  <si>
    <t>1-163319981144</t>
  </si>
  <si>
    <t>26130507423ID</t>
  </si>
  <si>
    <t>ERWIN SANTOSO</t>
  </si>
  <si>
    <t>KP.SETU TAMBUN  RT.004/RW.009 KOTA BEKASI 17136</t>
  </si>
  <si>
    <t>3275092404860019</t>
  </si>
  <si>
    <t>EJ_CR_19</t>
  </si>
  <si>
    <t>MC-TANJUNG PRIOK</t>
  </si>
  <si>
    <t>PT-TANJUNG PRIOK</t>
  </si>
  <si>
    <t>D3202501002</t>
  </si>
  <si>
    <t>1-163320592961</t>
  </si>
  <si>
    <t>26130524733ID</t>
  </si>
  <si>
    <t>MUHAMAD AMARUDIN</t>
  </si>
  <si>
    <t>PERUM GRAMA PURI PERSADA BLOK F9.NO26 RT.004/RW.007 KABUPATEN BEKASI 17530</t>
  </si>
  <si>
    <t>3172022807910000</t>
  </si>
  <si>
    <t>CNJ_TP_26</t>
  </si>
  <si>
    <t>MC-PADEMANGAN</t>
  </si>
  <si>
    <t>PT-PADEMANGAN</t>
  </si>
  <si>
    <t>D426102089</t>
  </si>
  <si>
    <t>D526102097</t>
  </si>
  <si>
    <t>26130509543ID</t>
  </si>
  <si>
    <t>SYARIFAH WANDA KHADIJAH ALKAFF</t>
  </si>
  <si>
    <t>BALAI PUSTAKA BARU NO 16B RT.004/RW.015 KOTA JAKARTA TIMUR 13220</t>
  </si>
  <si>
    <t>3175025311010012</t>
  </si>
  <si>
    <t>WANITA</t>
  </si>
  <si>
    <t>CNJ_TP_27</t>
  </si>
  <si>
    <t>MC-CEMPAKA PUTIH</t>
  </si>
  <si>
    <t>PT-CEMPAKA PUTIH</t>
  </si>
  <si>
    <t>D426102067</t>
  </si>
  <si>
    <t>D526102074</t>
  </si>
  <si>
    <t>26130509773ID</t>
  </si>
  <si>
    <t>EKI LIFYANTO</t>
  </si>
  <si>
    <t>JALAN SUNTER GEDUNG RUBUH RT.010/RW.002 KOTA JAKARTA UTARA 14360</t>
  </si>
  <si>
    <t>3172022209800012</t>
  </si>
  <si>
    <t>CNJ_JP_1</t>
  </si>
  <si>
    <t>NORTH KARAWANG</t>
  </si>
  <si>
    <t>MC-WEST CIKAMPEK</t>
  </si>
  <si>
    <t>PT-WEST CIKAMPEK</t>
  </si>
  <si>
    <t>D42606201</t>
  </si>
  <si>
    <t>D52606201</t>
  </si>
  <si>
    <t>SAKALAGUNA SEMESTA</t>
  </si>
  <si>
    <t>26130509803ID</t>
  </si>
  <si>
    <t>MIRA MILENIA</t>
  </si>
  <si>
    <t>kp. warung kebon rt 001 rw 005</t>
  </si>
  <si>
    <t>3215294101000003</t>
  </si>
  <si>
    <t>NKRW_WC_23</t>
  </si>
  <si>
    <t>26130509813ID</t>
  </si>
  <si>
    <t>MAMAN SUHERMAN</t>
  </si>
  <si>
    <t>dsn. mekarjati Rt. 01/02 desa cikampek timur</t>
  </si>
  <si>
    <t>3215131002780002</t>
  </si>
  <si>
    <t>NKRW_WC_24</t>
  </si>
  <si>
    <t>26130509823ID</t>
  </si>
  <si>
    <t>ADIA ERES RUANTINO</t>
  </si>
  <si>
    <t>dsn babakan jati Rt 01/04, ds cikampek timur,kec cikampek, kab karawang, pos 41373</t>
  </si>
  <si>
    <t>3215130505820012</t>
  </si>
  <si>
    <t>NKRW_WC_25</t>
  </si>
  <si>
    <t>MC-EAST CIKAMPEK</t>
  </si>
  <si>
    <t>PT-EAST CIKAMPEK</t>
  </si>
  <si>
    <t>D320260401</t>
  </si>
  <si>
    <t>2-0012363736</t>
  </si>
  <si>
    <t>26130509833ID</t>
  </si>
  <si>
    <t>BAMBANG HERI PRASETYO</t>
  </si>
  <si>
    <t>JL. VETERAN PERUM BUKIT PANORAMA INDAH RT 007 / RW 013, KEL. CISEUREUH, KAB. PURWAKARTA</t>
  </si>
  <si>
    <t>3214010404800003</t>
  </si>
  <si>
    <t>NKRW_EC_1</t>
  </si>
  <si>
    <t>SOUTH JAKARTA</t>
  </si>
  <si>
    <t>MC-PASAR MINGGU</t>
  </si>
  <si>
    <t>PT-PASAR MINGGU</t>
  </si>
  <si>
    <t>D320240405</t>
  </si>
  <si>
    <t>1-163309552360</t>
  </si>
  <si>
    <t>SANNIN BROTHER MEGAH</t>
  </si>
  <si>
    <t>26130510033ID</t>
  </si>
  <si>
    <t>Trias Yanuar Isnaeni</t>
  </si>
  <si>
    <t>GANG WARGA RT.011/RW.009 KOTA JAKARTA TIMUR 13810</t>
  </si>
  <si>
    <t>3175100501860003</t>
  </si>
  <si>
    <t>SJ_PM_25</t>
  </si>
  <si>
    <t>26130510043ID</t>
  </si>
  <si>
    <t>Andika</t>
  </si>
  <si>
    <t>KP SINDANGKARSA  RT.003/RW.008 KOTA DEPOK 16455</t>
  </si>
  <si>
    <t>1609032703010001</t>
  </si>
  <si>
    <t>SJ_PM_27</t>
  </si>
  <si>
    <t>26130510053ID</t>
  </si>
  <si>
    <t>Aldi Thamrin</t>
  </si>
  <si>
    <t>JL. JENDRAL SUDIRMAN GG SERAYU NO 2 RT.003/RW.001 KABUPATEN INDRAMAYU 45211</t>
  </si>
  <si>
    <t>7601021908900003</t>
  </si>
  <si>
    <t>SJ_PM_30</t>
  </si>
  <si>
    <t>MC-PANCORAN</t>
  </si>
  <si>
    <t>PT-PANCORAN</t>
  </si>
  <si>
    <t>D320240406</t>
  </si>
  <si>
    <t>1-163320593161</t>
  </si>
  <si>
    <t>26130510103ID</t>
  </si>
  <si>
    <t>Purnomo</t>
  </si>
  <si>
    <t>JL. BULAK SARI RT.14/RW.09 KOTA JAKARTA TIMUR 13790</t>
  </si>
  <si>
    <t>3175051810830012</t>
  </si>
  <si>
    <t>SJ_PC_18</t>
  </si>
  <si>
    <t>26130510113ID</t>
  </si>
  <si>
    <t>Riza Juliansyah</t>
  </si>
  <si>
    <t>JL. ABIMANYU 4 NO 25 BLOK B PERUM PEMDA RT.006/RW.001 KOTA BEKASI 17423</t>
  </si>
  <si>
    <t>3275090907800021</t>
  </si>
  <si>
    <t>SJ_PC_11</t>
  </si>
  <si>
    <t>26130510123ID</t>
  </si>
  <si>
    <t>Tri Atmoko</t>
  </si>
  <si>
    <t>KOMP BDN BLOK B5 NO 22 RT.002/RW.007 KOTA DEPOK 16434</t>
  </si>
  <si>
    <t>3276012704810007</t>
  </si>
  <si>
    <t>SJ_PM_20</t>
  </si>
  <si>
    <t>26130510373ID</t>
  </si>
  <si>
    <t>Aldi Gerald Heryana</t>
  </si>
  <si>
    <t>BULAK INDAH RT.006/RW.005 KOTA JAKARTA TIMUR 13910</t>
  </si>
  <si>
    <t>3175062310941002</t>
  </si>
  <si>
    <t>SJ_PM_21</t>
  </si>
  <si>
    <t>26130510393ID</t>
  </si>
  <si>
    <t>Derrys Saputra</t>
  </si>
  <si>
    <t>JL. MASUMAMBANG RT 004/002/ F52/ 15 KEL PENGASINAN</t>
  </si>
  <si>
    <t>3275051205890007</t>
  </si>
  <si>
    <t>SJ_PC_10</t>
  </si>
  <si>
    <t>26130510403ID</t>
  </si>
  <si>
    <t>Reza Akbar</t>
  </si>
  <si>
    <t>KALIBATA SELATAN RT.012/RW.009 KOTA JAKARTA SELATAN 12740</t>
  </si>
  <si>
    <t>3174080202860009</t>
  </si>
  <si>
    <t>SJ_PC_13</t>
  </si>
  <si>
    <t>26130510763ID</t>
  </si>
  <si>
    <t>ASWAD</t>
  </si>
  <si>
    <t>PULOGEBANG  RT.001/RW.004 KOTA JAKARTA TIMUR 13950</t>
  </si>
  <si>
    <t>3175062201800009</t>
  </si>
  <si>
    <t>SJ_PM_22</t>
  </si>
  <si>
    <t>26130523983ID</t>
  </si>
  <si>
    <t>SANDRA</t>
  </si>
  <si>
    <t>MERUYA UTARA RT 03/ RW 04</t>
  </si>
  <si>
    <t>3173080412921000</t>
  </si>
  <si>
    <t>CNJ_JP_2</t>
  </si>
  <si>
    <t>26130510923ID</t>
  </si>
  <si>
    <t>YAHYA MUHAIMIN</t>
  </si>
  <si>
    <t>JL. TIPAR CAKUNG RT.005/RW.005 KOTA JAKARTA UTARA 14130</t>
  </si>
  <si>
    <t>3172042108970004</t>
  </si>
  <si>
    <t>CNJ_KG_16</t>
  </si>
  <si>
    <t>26130510933ID</t>
  </si>
  <si>
    <t>Herry Apriyanto</t>
  </si>
  <si>
    <t>JL.KALIBARU TIMUR IX RT.006/RW.014 KOTA JAKARTA UTARA 14110</t>
  </si>
  <si>
    <t>3172040604960004</t>
  </si>
  <si>
    <t>CNJ_KG_17</t>
  </si>
  <si>
    <t>26130510973ID</t>
  </si>
  <si>
    <t>ADNAN AL AP GHANI</t>
  </si>
  <si>
    <t>ADNAN</t>
  </si>
  <si>
    <t>NEW</t>
  </si>
  <si>
    <t>SKRW_KR_5</t>
  </si>
  <si>
    <t>Nama Tdk sesuai</t>
  </si>
  <si>
    <t>26130510983ID</t>
  </si>
  <si>
    <t>CECEP HIDAYAT</t>
  </si>
  <si>
    <t>Rawagempol Wetan, Cilamaya Wetan, Karawang, West Java, Indonesia</t>
  </si>
  <si>
    <t>3215151509920001</t>
  </si>
  <si>
    <t>SKRW_KR_7</t>
  </si>
  <si>
    <t>26130511413ID</t>
  </si>
  <si>
    <t>Budiansyah</t>
  </si>
  <si>
    <t>JL MUNDU DALAM TIMUR BLOK K NO 25  RT.003/RW.013 KOTA JAKARTA UTARA 14270</t>
  </si>
  <si>
    <t>3216011804900004</t>
  </si>
  <si>
    <t>SJ_PC_15</t>
  </si>
  <si>
    <t>MC-KEBAYORAN</t>
  </si>
  <si>
    <t>PT-KEBAYORAN</t>
  </si>
  <si>
    <t>D320240404</t>
  </si>
  <si>
    <t>1-163319981148</t>
  </si>
  <si>
    <t>26130511963ID</t>
  </si>
  <si>
    <t>Indah Kurniawati</t>
  </si>
  <si>
    <t>KP BINTARO RT.005/RW.003 KOTA JAKARTA SELATAN 12320</t>
  </si>
  <si>
    <t>3304116206950003</t>
  </si>
  <si>
    <t>SJ_KB_3</t>
  </si>
  <si>
    <t>26130511973ID</t>
  </si>
  <si>
    <t>Indra Al Fajar Ramadoni</t>
  </si>
  <si>
    <t>KALITORONG  RT.02/RW.03 KABUPATEN PEMALANG 52353</t>
  </si>
  <si>
    <t>3327072101980022</t>
  </si>
  <si>
    <t>SJ_KB_7</t>
  </si>
  <si>
    <t>26130513713ID</t>
  </si>
  <si>
    <t>Irwan Sumaryanto</t>
  </si>
  <si>
    <t>KP. BABAKAN RT.001/RW.003 KABUPATEN CIANJUR 43253</t>
  </si>
  <si>
    <t>3203102210880006</t>
  </si>
  <si>
    <t>SJ_KB_9</t>
  </si>
  <si>
    <t>26130514133ID</t>
  </si>
  <si>
    <t>Ade Muhidin</t>
  </si>
  <si>
    <t>KMP.BAHARI 4 NO13 RT.002/RW.009 KOTA JAKARTA UTARA 14310</t>
  </si>
  <si>
    <t>3172021107900013</t>
  </si>
  <si>
    <t>CNJ_KG_18</t>
  </si>
  <si>
    <t>26130518723ID</t>
  </si>
  <si>
    <t>MOH IQBAL</t>
  </si>
  <si>
    <t>JL TELUK PUCUNG RT001 RW002 KELURAHAN TELUK PUCUNG KE, BEKASI UTARA</t>
  </si>
  <si>
    <t>3275031805840016</t>
  </si>
  <si>
    <t>CNJ_KG_19</t>
  </si>
  <si>
    <t>Tidak ada ID maupun nama DSE</t>
  </si>
  <si>
    <t>DEPOK</t>
  </si>
  <si>
    <t>MC-BEJI</t>
  </si>
  <si>
    <t>PT-BEJI</t>
  </si>
  <si>
    <t>D426102066</t>
  </si>
  <si>
    <t>D526102073</t>
  </si>
  <si>
    <t>26130522613ID</t>
  </si>
  <si>
    <t>Laraswati Indah Anggraeni</t>
  </si>
  <si>
    <t>JL. Raya Lapangan Tembak RT 02/RW 02 Kel. Cibubur, Jakarta Timur</t>
  </si>
  <si>
    <t>3308194501930002</t>
  </si>
  <si>
    <t>DPK_DB_2</t>
  </si>
  <si>
    <t>ID DSE tidak sesuai</t>
  </si>
  <si>
    <t>MC-TEGALWARU</t>
  </si>
  <si>
    <t>PT-PANGKALAN</t>
  </si>
  <si>
    <t>D320250105</t>
  </si>
  <si>
    <t>2-0012341901</t>
  </si>
  <si>
    <t>26130522773ID</t>
  </si>
  <si>
    <t>TEGUH RACHMAT NOER</t>
  </si>
  <si>
    <t>TEGUH</t>
  </si>
  <si>
    <t>DSN SARENGSENGI</t>
  </si>
  <si>
    <t>3215262403820002</t>
  </si>
  <si>
    <t>SKRW_TW_11</t>
  </si>
  <si>
    <t>26130524723ID</t>
  </si>
  <si>
    <t>Danar Guna Pratama</t>
  </si>
  <si>
    <t>SJ_KB_8</t>
  </si>
  <si>
    <t>26130531643ID</t>
  </si>
  <si>
    <t>RONI JUNIO ADHA</t>
  </si>
  <si>
    <t>RONI</t>
  </si>
  <si>
    <t>perum de keraton blok L 10 no.27</t>
  </si>
  <si>
    <t>3204110206930001</t>
  </si>
  <si>
    <t>Male</t>
  </si>
  <si>
    <t>ronycell0124@gmail.com</t>
  </si>
  <si>
    <t>Active</t>
  </si>
  <si>
    <t>NKRW_WC_26</t>
  </si>
  <si>
    <t>BEKASI</t>
  </si>
  <si>
    <t>MC-PONDOK GEDE</t>
  </si>
  <si>
    <t>PT-PONDOK GEDE</t>
  </si>
  <si>
    <t>D2023077</t>
  </si>
  <si>
    <t>D52609208</t>
  </si>
  <si>
    <t xml:space="preserve">DISTRIBUSI VOUCHER NUSANTARA </t>
  </si>
  <si>
    <t>CSOBKSB-04</t>
  </si>
  <si>
    <t>CSOBKSB-043ID</t>
  </si>
  <si>
    <t>NURHAEDI</t>
  </si>
  <si>
    <t>Jl. Kp. Cikunir, RT/RW.002/008, No.29, Kel. Jatikramat, Kec. Jatiasih 17421</t>
  </si>
  <si>
    <t>3201170809850002</t>
  </si>
  <si>
    <t>BKS_PG_26</t>
  </si>
  <si>
    <t>CSOBKSB-08</t>
  </si>
  <si>
    <t>CSOBKSB-083ID</t>
  </si>
  <si>
    <t>SUSANTO</t>
  </si>
  <si>
    <t>jl. pisang kepok lll FD3 NO.2 RT.002/RW.012 KEL.KOTA BARU KEC.BEKASI BARAT KOTA BEKASI</t>
  </si>
  <si>
    <t>3275081611870017</t>
  </si>
  <si>
    <t>BKS_PG_32</t>
  </si>
  <si>
    <t>CSOBKSB-09</t>
  </si>
  <si>
    <t>CSOBKSB-093ID</t>
  </si>
  <si>
    <t>HERMANSYAH</t>
  </si>
  <si>
    <t>Jl. H. Ahyar, RW.5, Duren Sawit, Kec. Duren Sawit, Kota Jakarta Timur, Daerah Khusus Ibukota Jakarta 13440, Indonesia</t>
  </si>
  <si>
    <t>3175071504820010</t>
  </si>
  <si>
    <t>BKS_PG_27</t>
  </si>
  <si>
    <t>CSOBKSB-10</t>
  </si>
  <si>
    <t>CSOBKSB-103ID</t>
  </si>
  <si>
    <t>MULYADI</t>
  </si>
  <si>
    <t>jln. kp sumur klender rt. 006 rw. 017 no. 02 jakarta timur</t>
  </si>
  <si>
    <t>3175072710880014</t>
  </si>
  <si>
    <t>BKS_PG_33</t>
  </si>
  <si>
    <t>CSOBKSB-11</t>
  </si>
  <si>
    <t>CSOBKSB-113ID</t>
  </si>
  <si>
    <t>AGUNG PURWOKO</t>
  </si>
  <si>
    <t>jl.kramataris no.128 RT.07 RW 03 Setu ,cipayung</t>
  </si>
  <si>
    <t>3175100901780002</t>
  </si>
  <si>
    <t>BKS_PG_31</t>
  </si>
  <si>
    <t>CSOBKSB-16</t>
  </si>
  <si>
    <t>CSOBKSB-163ID</t>
  </si>
  <si>
    <t>MUHAMMAD RIZALDI</t>
  </si>
  <si>
    <t>jalan celepuk 1 rt 003 rw012, jatimakmur,pondok gede, bekasi</t>
  </si>
  <si>
    <t>3275082107920008</t>
  </si>
  <si>
    <t>BKS_PG_25</t>
  </si>
  <si>
    <t>MC-MUSTIKA JAYA</t>
  </si>
  <si>
    <t>PT-MUSTIKA JAYA</t>
  </si>
  <si>
    <t>D426102088</t>
  </si>
  <si>
    <t>D526102096</t>
  </si>
  <si>
    <t>CSOBKSS-04</t>
  </si>
  <si>
    <t>CSOBKSS-043ID</t>
  </si>
  <si>
    <t>MUKTIARTO</t>
  </si>
  <si>
    <t>jl setia 4 no 43 RT 006/012 Jatiwaringin pondok gede</t>
  </si>
  <si>
    <t>3275081602940025</t>
  </si>
  <si>
    <t>BKS_BS_12</t>
  </si>
  <si>
    <t>CSOBKSS-05</t>
  </si>
  <si>
    <t>CSOBKSS-053ID</t>
  </si>
  <si>
    <t>TOFIK HIDAYAT</t>
  </si>
  <si>
    <t>Jl Sejahtera Rt 004 Rw 003 Kel Jatiwaringin Kec Pondokgede No.0 Rtrw.0 Kel.- Kec.-</t>
  </si>
  <si>
    <t>3275082608810007</t>
  </si>
  <si>
    <t>topiko78@gmail.com</t>
  </si>
  <si>
    <t>BKS_BS_11</t>
  </si>
  <si>
    <t>Nama tidak sesuai</t>
  </si>
  <si>
    <t>CSOBKSS-12</t>
  </si>
  <si>
    <t>CSOBKSS-123ID</t>
  </si>
  <si>
    <t>TOMMY SAIFUL ATNAN</t>
  </si>
  <si>
    <t>Kel Makasar No 7 Rt 006 Rw 002 Kel Makasar Kec Makasar No.0 Rtrw.0 Kel.- Kec.-</t>
  </si>
  <si>
    <t>3175081507900004</t>
  </si>
  <si>
    <t>tommy.gembul16@gmail.com</t>
  </si>
  <si>
    <t>BKS_BS_5</t>
  </si>
  <si>
    <t>MC-BEKASI TENGAH</t>
  </si>
  <si>
    <t>PT-BEKASI TENGAH</t>
  </si>
  <si>
    <t>D426102024</t>
  </si>
  <si>
    <t>D526102035</t>
  </si>
  <si>
    <t>CSOBKST-01</t>
  </si>
  <si>
    <t>CSOBKST-013ID</t>
  </si>
  <si>
    <t>DODI SETIONO</t>
  </si>
  <si>
    <t>perumahan puri lestari 
gang seroja 11 blok f32/07 sukajaya</t>
  </si>
  <si>
    <t>3275050312790011</t>
  </si>
  <si>
    <t>BKS_BU_13</t>
  </si>
  <si>
    <t>CSOBKST-02</t>
  </si>
  <si>
    <t>CSOBKST-023ID</t>
  </si>
  <si>
    <t>RESTU SAMBUDI</t>
  </si>
  <si>
    <t>jalan ujunga harapan gg sejahtera rt002/017 kel bahagia kec babelan depan gg sejahtera 2</t>
  </si>
  <si>
    <t>3216020401940014</t>
  </si>
  <si>
    <t>BKS_BU_17</t>
  </si>
  <si>
    <t>MC-BEKASI UTARA</t>
  </si>
  <si>
    <t>PT-BEKASI UTARA</t>
  </si>
  <si>
    <t>D42609204</t>
  </si>
  <si>
    <t>1-28824058447</t>
  </si>
  <si>
    <t>CSOBKST-06</t>
  </si>
  <si>
    <t>CSOBKST-063ID</t>
  </si>
  <si>
    <t>AAN KOSSUNJAMINARA</t>
  </si>
  <si>
    <t>Kp Rawa Bambu Rt 003/16 Kel Harapan Jaya Kec Bekasi Utara No.0 Rtrw.0 Kel.- Kec.-</t>
  </si>
  <si>
    <t>3275032209740019</t>
  </si>
  <si>
    <t>ankoss2209@gmail.com</t>
  </si>
  <si>
    <t>BKS_BU_18</t>
  </si>
  <si>
    <t>CSOBKST-08</t>
  </si>
  <si>
    <t>CSOBKST-083ID</t>
  </si>
  <si>
    <t>TRI ADI PRASETYO</t>
  </si>
  <si>
    <t>Jl. Cempaka 9 Bs.11 No. 16 Rt.007/013 Jatisampurna Bekasi</t>
  </si>
  <si>
    <t>3275100503920011</t>
  </si>
  <si>
    <t>adhyprasetyo0031@gmail.com</t>
  </si>
  <si>
    <t>BKS_BU_21</t>
  </si>
  <si>
    <t>CSOBKST-09</t>
  </si>
  <si>
    <t>CSOBKST-093ID</t>
  </si>
  <si>
    <t>MOHAMMAD SLAMET</t>
  </si>
  <si>
    <t>Desa Karanganyar Rt. 001/005 Kel Karanganyar Kec Pagerbarang No.0 Rtrw.0 Kel.- Kec.-</t>
  </si>
  <si>
    <t>3328051710820006</t>
  </si>
  <si>
    <t>slametmuhamad927@gmail.com</t>
  </si>
  <si>
    <t>BKS_BU_23</t>
  </si>
  <si>
    <t>CSOBKST-10</t>
  </si>
  <si>
    <t>CSOBKST-103ID</t>
  </si>
  <si>
    <t>MUHAMMAD DEDI SAPUTRA</t>
  </si>
  <si>
    <t>Rawa Silam 1 Rt. 008/006 Kel. Kaliabang Tengah Kec Bekasi Utara No.0 Rtrw.0 Kel.- Kec.-</t>
  </si>
  <si>
    <t>3275032505940032</t>
  </si>
  <si>
    <t>dedysahputra45@gmail.com</t>
  </si>
  <si>
    <t>BKS_BU_24</t>
  </si>
  <si>
    <t>CSOBKST-11</t>
  </si>
  <si>
    <t>CSOBKST-113ID</t>
  </si>
  <si>
    <t>SYAIPUL BAHRI</t>
  </si>
  <si>
    <t>Kp. Kebantenan Rt. 002/012 Kel Jatiasih Kec Jatiasih No.0 Rtrw.0 Kel.- Kec.-</t>
  </si>
  <si>
    <t>3275091111900034</t>
  </si>
  <si>
    <t>syaipulabian163@gmail.com</t>
  </si>
  <si>
    <t>BKS_BS_8</t>
  </si>
  <si>
    <t>CSOBKSB-02</t>
  </si>
  <si>
    <t>CSOBKSB-023ID</t>
  </si>
  <si>
    <t>ALFIAN FARDIANSYAH</t>
  </si>
  <si>
    <t>kp.cikunir rt 005/ rw 001 jakamulya Bekasi Selatan</t>
  </si>
  <si>
    <t>3201131912890003</t>
  </si>
  <si>
    <t>alfian.fardiansyah89@gmail.com</t>
  </si>
  <si>
    <t>BKS_BS_10</t>
  </si>
  <si>
    <t>MC-CENGKARENG</t>
  </si>
  <si>
    <t>D202402224</t>
  </si>
  <si>
    <t>D52609204</t>
  </si>
  <si>
    <t>CSOBUANAJKB001</t>
  </si>
  <si>
    <t>CSOBUANAJKB0013ID</t>
  </si>
  <si>
    <t>Nur Ainun</t>
  </si>
  <si>
    <t>PERUM ARYATAMA REGENCY 1 BLOK C NO 15 C RT.005/RW.007 KOTA DEPOK 3276041908100003</t>
  </si>
  <si>
    <t>3276045812910003</t>
  </si>
  <si>
    <t>WJ_CGK_7</t>
  </si>
  <si>
    <t>CSOBUANAJKB0041</t>
  </si>
  <si>
    <t>CSOBUANAJKB00413ID</t>
  </si>
  <si>
    <t>Edi Warsono</t>
  </si>
  <si>
    <t>JL. NUSA INDAH IV/4 NO. 152 RT.004/RW.004 KOTA JAKARTA TIMUR 13460</t>
  </si>
  <si>
    <t>3175070504770010</t>
  </si>
  <si>
    <t>WJ_CGK_8</t>
  </si>
  <si>
    <t>CSOBUANAJKB009</t>
  </si>
  <si>
    <t>CSOBUANAJKB0093ID</t>
  </si>
  <si>
    <t>Nurhariki</t>
  </si>
  <si>
    <t>SRENGSENG GG. BATAKO RT.001/RW.008 KOTA JAKARTA BARAT 11630</t>
  </si>
  <si>
    <t>3173081912930007</t>
  </si>
  <si>
    <t>WJ_CGK_9</t>
  </si>
  <si>
    <t>CSOBUANAJKB0101</t>
  </si>
  <si>
    <t>CSOBUANAJKB01013ID</t>
  </si>
  <si>
    <t>Rizki Wicaksono</t>
  </si>
  <si>
    <t>JL. TANAH SERATUS RT.002/RW.003 KABUPATEN TANGERANG 15151</t>
  </si>
  <si>
    <t>3276020411870001</t>
  </si>
  <si>
    <t>WJ_CGK_10</t>
  </si>
  <si>
    <t>MC-GROGOL</t>
  </si>
  <si>
    <t>PT-GROGOL</t>
  </si>
  <si>
    <t>D202402225</t>
  </si>
  <si>
    <t>D52609205</t>
  </si>
  <si>
    <t>CSOBUANAJKB0191</t>
  </si>
  <si>
    <t>CSOBUANAJKB01913ID</t>
  </si>
  <si>
    <t>Repi Anjani</t>
  </si>
  <si>
    <t>JL.H.MERIN RT.001/RW.004 KOTA JAKARTA BARAT 11650</t>
  </si>
  <si>
    <t>3173081911930007</t>
  </si>
  <si>
    <t>WJ_GR_18</t>
  </si>
  <si>
    <t>CSOBUANAJKB02</t>
  </si>
  <si>
    <t>CSOBUANAJKB023ID</t>
  </si>
  <si>
    <t>Bambang Yudiyanto</t>
  </si>
  <si>
    <t>JL BAHAGIA 4 NO 112  RT.016/RW.008 KOTA JAKARTA BARAT 11520</t>
  </si>
  <si>
    <t>3172051104850001</t>
  </si>
  <si>
    <t>WJ_CGK_11</t>
  </si>
  <si>
    <t>CSOBUANAJKB0201</t>
  </si>
  <si>
    <t>CSOBUANAJKB02013ID</t>
  </si>
  <si>
    <t>Selvi Handayani</t>
  </si>
  <si>
    <t>JL PETAMBURAN RT.005/RW.008 KOTA JAKARTA PUSAT 10260</t>
  </si>
  <si>
    <t>3171074112920002</t>
  </si>
  <si>
    <t>WJ_GR_19</t>
  </si>
  <si>
    <t>CSOBUANAJKB03</t>
  </si>
  <si>
    <t>CSOBUANAJKB033ID</t>
  </si>
  <si>
    <t>Hikmah Ramadhan</t>
  </si>
  <si>
    <t>RAWA BUAYA BLOK A 17  RT.003/RW.002 KOTA JAKARTA BARAT 11740</t>
  </si>
  <si>
    <t>3173011112010007</t>
  </si>
  <si>
    <t>WJ_CGK_12</t>
  </si>
  <si>
    <t>MC-KEMBANGAN</t>
  </si>
  <si>
    <t>PT-KEMBANGAN</t>
  </si>
  <si>
    <t>D426102030</t>
  </si>
  <si>
    <t>D526102042</t>
  </si>
  <si>
    <t>CSOBUANAJKB06</t>
  </si>
  <si>
    <t>CSOBUANAJKB063ID</t>
  </si>
  <si>
    <t>Ega Fitriyansyah Saputra</t>
  </si>
  <si>
    <t>JL. H. NAHARI NO.18 RT.003/RW.009 KOTA TANGERANG 15154</t>
  </si>
  <si>
    <t>3671130902970003</t>
  </si>
  <si>
    <t>WJ_CGK_13</t>
  </si>
  <si>
    <t>CSOBUANAJKB08</t>
  </si>
  <si>
    <t>CSOBUANAJKB083ID</t>
  </si>
  <si>
    <t>Irfan Saptian</t>
  </si>
  <si>
    <t>JL. PESING KONENG  RT.007/RW.008 KOTA JAKARTA BARAT 11520</t>
  </si>
  <si>
    <t>3174062301880001</t>
  </si>
  <si>
    <t>WJ_CGK_14</t>
  </si>
  <si>
    <t>CSOBUANAJKB12</t>
  </si>
  <si>
    <t>CSOBUANAJKB123ID</t>
  </si>
  <si>
    <t>Amin Kurniawan</t>
  </si>
  <si>
    <t>KAPUK RT II 14/RW 010 KOTA JAKARTA BARAT 11720</t>
  </si>
  <si>
    <t>WJ_GR_20</t>
  </si>
  <si>
    <t>Nama Tidak sesuai</t>
  </si>
  <si>
    <t>26130514073ID</t>
  </si>
  <si>
    <t>Ridho Rifai</t>
  </si>
  <si>
    <t xml:space="preserve"> JL KEDOYA RAYA RT.001/RW.007 KOTA JAKARTA BARAT 11520</t>
  </si>
  <si>
    <t>3173051512030003</t>
  </si>
  <si>
    <t>LAKI LAKI</t>
  </si>
  <si>
    <t>WJ_GR_21</t>
  </si>
  <si>
    <t>MC-TANAH ABANG</t>
  </si>
  <si>
    <t>PT-TANAH ABANG</t>
  </si>
  <si>
    <t>D426102029</t>
  </si>
  <si>
    <t>D526102041</t>
  </si>
  <si>
    <t>CSOBUANAJKP01</t>
  </si>
  <si>
    <t>CSOBUANAJKP013ID</t>
  </si>
  <si>
    <t>BAHARUDIN</t>
  </si>
  <si>
    <t>JL. MENTENG JAYA NO 5 RT.015/RW.009 KOTA JAKARTA PUSAT 10310</t>
  </si>
  <si>
    <t>3171062511870001</t>
  </si>
  <si>
    <t>CNJ_JP_3</t>
  </si>
  <si>
    <t>CSOBUANAJKP02</t>
  </si>
  <si>
    <t>CSOBUANAJKP023ID</t>
  </si>
  <si>
    <t>YUDI HARTONO</t>
  </si>
  <si>
    <t>KP RAWA SAWAH RT.009/RW.002 KOTA JAKARTA PUSAT 10550</t>
  </si>
  <si>
    <t>3171080308800003</t>
  </si>
  <si>
    <t>CNJ_JP_4</t>
  </si>
  <si>
    <t>CSOBUANAJKP03</t>
  </si>
  <si>
    <t>CSOBUANAJKP033ID</t>
  </si>
  <si>
    <t>Muhammad Rizki</t>
  </si>
  <si>
    <t>PESING GADOG  RT.010/RW.007 KOTA JAKARTA BARAT 11520</t>
  </si>
  <si>
    <t>3173050903950007</t>
  </si>
  <si>
    <t>CNJ_JP_5</t>
  </si>
  <si>
    <t>CSOBUANAJKP05</t>
  </si>
  <si>
    <t>CSOBUANAJKP053ID</t>
  </si>
  <si>
    <t>RIYANTO</t>
  </si>
  <si>
    <t>JL.SUMUR BATU  RT.008/RW.008 KOTA JAKARTA PUSAT 10640</t>
  </si>
  <si>
    <t>3171031901760008</t>
  </si>
  <si>
    <t>CNJ_JP_6</t>
  </si>
  <si>
    <t>CSOBUANAJKP06</t>
  </si>
  <si>
    <t>CSOBUANAJKP063ID</t>
  </si>
  <si>
    <t>IDRIS MAULANA</t>
  </si>
  <si>
    <t>DUSUN KUNINGAN
 RT.001/RW.008 KABUPATEN LAMPUNG SELATAN 35594</t>
  </si>
  <si>
    <t>1801102301980002</t>
  </si>
  <si>
    <t>CNJ_JP_7</t>
  </si>
  <si>
    <t>CSOBUANAJKP07</t>
  </si>
  <si>
    <t>CSOBUANAJKP073ID</t>
  </si>
  <si>
    <t>DEDE SULAIMAN</t>
  </si>
  <si>
    <t>DUSUN II RT.002/RW.002 KABUPATEN LAMPUNG TENGAH 34158</t>
  </si>
  <si>
    <t>1802260801950002</t>
  </si>
  <si>
    <t>CNJ_JP_8</t>
  </si>
  <si>
    <t>CSOBUANAJKP08</t>
  </si>
  <si>
    <t>CSOBUANAJKP083ID</t>
  </si>
  <si>
    <t>DJAMALUDIN HARYADI</t>
  </si>
  <si>
    <t>KEMAYORAN TENGAH 3  RT.009/RW.007 KOTA JAKARTA PUSAT 10620</t>
  </si>
  <si>
    <t>3171032703880002</t>
  </si>
  <si>
    <t>CNJ_JP_9</t>
  </si>
  <si>
    <t>CSOBUANAJKP09</t>
  </si>
  <si>
    <t>CSOBUANAJKP093ID</t>
  </si>
  <si>
    <t>ASEP SUMANTRI</t>
  </si>
  <si>
    <t>JL CIPINANG CEMPEDAK V NO 4 RT.008/RW.006 KOTA JAKARTA TIMUR 13340</t>
  </si>
  <si>
    <t>3175031101820011</t>
  </si>
  <si>
    <t>CNJ_JP_10</t>
  </si>
  <si>
    <t>CSOBUANAJKP11</t>
  </si>
  <si>
    <t>CSOBUANAJKP113ID</t>
  </si>
  <si>
    <t>ARIF HARDIANTORO</t>
  </si>
  <si>
    <t>JL.SERDANG BARU NO.22A RT.004/RW.005 KOTA JAKARTA PUSAT 10650</t>
  </si>
  <si>
    <t>3323180205810001</t>
  </si>
  <si>
    <t>CNJ_JP_11</t>
  </si>
  <si>
    <t>CSOBUANAJKP12</t>
  </si>
  <si>
    <t>CSOBUANAJKP123ID</t>
  </si>
  <si>
    <t>ROHMAD WIDODO</t>
  </si>
  <si>
    <t>JL.RAWA SELATAN  RT.010/RW.007 KOTA JAKARTA PUSAT 10550</t>
  </si>
  <si>
    <t>3171081905820001</t>
  </si>
  <si>
    <t>CNJ_JP_12</t>
  </si>
  <si>
    <t>CSOBUANAJKP13</t>
  </si>
  <si>
    <t>CSOBUANAJKP133ID</t>
  </si>
  <si>
    <t>RIKY ADE GUNAWAN</t>
  </si>
  <si>
    <t>GG SUBUR NO.42  RT.002/RW.001 KOTA TANGERANG 15154</t>
  </si>
  <si>
    <t>3175071807840001</t>
  </si>
  <si>
    <t>CNJ_JP_13</t>
  </si>
  <si>
    <t>CSOBUANAJKP14</t>
  </si>
  <si>
    <t>CSOBUANAJKP143ID</t>
  </si>
  <si>
    <t>MAULANA SYAEFUL</t>
  </si>
  <si>
    <t>JL JATINEGARA KAUM RT.03/RW.03 KOTA JAKARTA TIMUR 13250</t>
  </si>
  <si>
    <t>3175033010820006</t>
  </si>
  <si>
    <t>CNJ_JP_14</t>
  </si>
  <si>
    <t>CSO-CKP003</t>
  </si>
  <si>
    <t>CSO-CKP0033ID</t>
  </si>
  <si>
    <t>HABIBI</t>
  </si>
  <si>
    <t>dsn Kedung gede rt09/04  ds.mulyasari</t>
  </si>
  <si>
    <t>3213112805860001</t>
  </si>
  <si>
    <t>habibi.mp3sbg@gmail.com</t>
  </si>
  <si>
    <t>NKRW_WC_27</t>
  </si>
  <si>
    <t>ID Tidak sesuai</t>
  </si>
  <si>
    <t>CSO-CKP004</t>
  </si>
  <si>
    <t>CSO-CKP0043ID</t>
  </si>
  <si>
    <t>LUKMAN NUL HAKIM</t>
  </si>
  <si>
    <t>perum BIP Blok de2/13 rt/rw008/017</t>
  </si>
  <si>
    <t>3215140603910001</t>
  </si>
  <si>
    <t>lukmanhasby01@gmail.com</t>
  </si>
  <si>
    <t>NKRW_EC_2</t>
  </si>
  <si>
    <t>CSO-CKP005</t>
  </si>
  <si>
    <t>CSO-CKP0053ID</t>
  </si>
  <si>
    <t>ALFIAN SETIA BUDI</t>
  </si>
  <si>
    <t>Dusun surkalim, RT016 /RW 008, kelurahan Tegalwaru, kecamatan Cilamaya wetan, kab Karawang, provinsi Jawa Barat</t>
  </si>
  <si>
    <t>3215153105970003</t>
  </si>
  <si>
    <t>alfiansetiabudi31@gmail.com</t>
  </si>
  <si>
    <t>NKRW_WC_28</t>
  </si>
  <si>
    <t>CSO-CKP007</t>
  </si>
  <si>
    <t>CSO-CKP0073ID</t>
  </si>
  <si>
    <t>DEVI SOPYAN</t>
  </si>
  <si>
    <t>perumahan griya Klari indah blok B6/16 Rt 017/007 desa lemah mulya</t>
  </si>
  <si>
    <t>3215262009840007</t>
  </si>
  <si>
    <t>devisopyan999@gmail.com</t>
  </si>
  <si>
    <t>NKRW_EC_3</t>
  </si>
  <si>
    <t>MC-RENGASDENGKLOK</t>
  </si>
  <si>
    <t>PT-RENGASDENGKLOK</t>
  </si>
  <si>
    <t>D32022103</t>
  </si>
  <si>
    <t>D526082014</t>
  </si>
  <si>
    <t>ELKOMINDO MITRA MANDIRI</t>
  </si>
  <si>
    <t>CSOEASTRDK02</t>
  </si>
  <si>
    <t>CSOEASTRDK023ID</t>
  </si>
  <si>
    <t>BAMBANG</t>
  </si>
  <si>
    <t>3215221204970005</t>
  </si>
  <si>
    <t>NKRW_RD_12</t>
  </si>
  <si>
    <t>MC-BATUJAYA</t>
  </si>
  <si>
    <t>PT-BATUJAYA</t>
  </si>
  <si>
    <t>D426102027</t>
  </si>
  <si>
    <t>D526102038</t>
  </si>
  <si>
    <t>CSOEASTRDK05</t>
  </si>
  <si>
    <t>CSOEASTRDK053ID</t>
  </si>
  <si>
    <t>IHSAN RIYADLUL JINAN</t>
  </si>
  <si>
    <t>IHSAN</t>
  </si>
  <si>
    <t>dusun campea Rt007/rw003 desa kampung sawah</t>
  </si>
  <si>
    <t>3215220409960001</t>
  </si>
  <si>
    <t>ihsanriyadlul09@gmail.com</t>
  </si>
  <si>
    <t>NKRW_RD_10</t>
  </si>
  <si>
    <t>CSOEASTRDK06</t>
  </si>
  <si>
    <t>CSOEASTRDK063ID</t>
  </si>
  <si>
    <t>MUHAMMAD SATRIO DWIYANTO</t>
  </si>
  <si>
    <t>SATRIO</t>
  </si>
  <si>
    <t>kp.gadelsari RT/RW 009/008 desa kalisari</t>
  </si>
  <si>
    <t>3215173010010001</t>
  </si>
  <si>
    <t>muhammadsatrio0599@gmail.com</t>
  </si>
  <si>
    <t>NKRW_RD_20</t>
  </si>
  <si>
    <t>CSOEASTRDK08</t>
  </si>
  <si>
    <t>CSOEASTRDK083ID</t>
  </si>
  <si>
    <t>SUKRON MAMUN</t>
  </si>
  <si>
    <t>SUKRON</t>
  </si>
  <si>
    <t>dusun bayur 1 rt.01/07 desa payungsari</t>
  </si>
  <si>
    <t>3215102003920001</t>
  </si>
  <si>
    <t>ukhonn@gmail.com</t>
  </si>
  <si>
    <t>NKRW_RD_11</t>
  </si>
  <si>
    <t>CSO-LOKADPK02</t>
  </si>
  <si>
    <t>CSO-LOKADPK023ID</t>
  </si>
  <si>
    <t>SURYADI DANU SAPUTRA</t>
  </si>
  <si>
    <t>PERUM CIPTA GRAHA PERMAI BLOK H2 NO.1 RT.004/RW.002 KABUPATEN BOGOR 16913</t>
  </si>
  <si>
    <t>3175012602930005</t>
  </si>
  <si>
    <t>DPK_DB_11</t>
  </si>
  <si>
    <t>MC-SAWANGAN</t>
  </si>
  <si>
    <t>PT-SAWANGAN</t>
  </si>
  <si>
    <t>D426102028</t>
  </si>
  <si>
    <t>D526102040</t>
  </si>
  <si>
    <t>CSO-LOKADPK03</t>
  </si>
  <si>
    <t>CSO-LOKADPK033ID</t>
  </si>
  <si>
    <t>WAHYUDI</t>
  </si>
  <si>
    <t>KP.RAWAKALONG RT.002/RW.007 KOTA DEPOK 16533</t>
  </si>
  <si>
    <t>3276041407890001</t>
  </si>
  <si>
    <t>DPK_DB_1</t>
  </si>
  <si>
    <t>CSO-LOKADPK04</t>
  </si>
  <si>
    <t>CSO-LOKADPK043ID</t>
  </si>
  <si>
    <t>MUHADI</t>
  </si>
  <si>
    <t>JL. KEMBANG KP UTAN NO. 23 RT.002/RW.008 KOTA TANGERANG SELATAN 15412</t>
  </si>
  <si>
    <t>3674052612800005</t>
  </si>
  <si>
    <t>DPK_DB_7</t>
  </si>
  <si>
    <t>MC-CIMANGGIS</t>
  </si>
  <si>
    <t>PT-CIMANGGIS</t>
  </si>
  <si>
    <t>D426102033</t>
  </si>
  <si>
    <t>D526102079</t>
  </si>
  <si>
    <t xml:space="preserve">LOKA KARSA INFORMASI </t>
  </si>
  <si>
    <t>CSO-LOKADPK06</t>
  </si>
  <si>
    <t>CSO-LOKADPK063ID</t>
  </si>
  <si>
    <t>ELA RUSDIAH</t>
  </si>
  <si>
    <t>RATUJAYA  RT.007/RW.005 KOTA DEPOK 16445</t>
  </si>
  <si>
    <t>3276076902920001</t>
  </si>
  <si>
    <t>DPK_DT_14</t>
  </si>
  <si>
    <t>MC-CIPAYUNG</t>
  </si>
  <si>
    <t>PT-CIPAYUNG</t>
  </si>
  <si>
    <t>D426102034</t>
  </si>
  <si>
    <t>D526102033</t>
  </si>
  <si>
    <t>CSO-LOKADPK07</t>
  </si>
  <si>
    <t>CSO-LOKADPK073ID</t>
  </si>
  <si>
    <t>DEVI INDRIYANI</t>
  </si>
  <si>
    <t>KP PARUNG SERAB  RT.008/RW.003 KOTA DEPOK 16412</t>
  </si>
  <si>
    <t>3276054112860005</t>
  </si>
  <si>
    <t>DPK_DT_22</t>
  </si>
  <si>
    <t>CSO-LOKADPK08</t>
  </si>
  <si>
    <t>CSO-LOKADPK083ID</t>
  </si>
  <si>
    <t>PUTRI NUR KOMALA</t>
  </si>
  <si>
    <t>JL. RAJAWALI RT.005/RW.004 KOTA DEPOK 16421</t>
  </si>
  <si>
    <t>3276065310930002</t>
  </si>
  <si>
    <t>DPK_DT_24</t>
  </si>
  <si>
    <t>CSO-LOKADPK09</t>
  </si>
  <si>
    <t>CSO-LOKADPK093ID</t>
  </si>
  <si>
    <t>SAIDINA HAMZAH</t>
  </si>
  <si>
    <t xml:space="preserve"> JLTOLEISKANDAR RT.01/RW.01 KOTA DEPOK 16412</t>
  </si>
  <si>
    <t>3201130403980005</t>
  </si>
  <si>
    <t>DPK_DB_3</t>
  </si>
  <si>
    <t>CSO-LOKADPK17</t>
  </si>
  <si>
    <t>CSO-LOKADPK173ID</t>
  </si>
  <si>
    <t>RUDINI LAZUARDI</t>
  </si>
  <si>
    <t xml:space="preserve"> JLN SWADAYA 8 NO 29 RT.006/RW.012 KOTA DEPOK 16426</t>
  </si>
  <si>
    <t>3276060609860004</t>
  </si>
  <si>
    <t>DPK_DT_21</t>
  </si>
  <si>
    <t>CSO-LOKADPK19</t>
  </si>
  <si>
    <t>CSO-LOKADPK193ID</t>
  </si>
  <si>
    <t>Junita Riana</t>
  </si>
  <si>
    <t>KP KEKUPU RT.02/RW.03 KOTA DEPOK 16435</t>
  </si>
  <si>
    <t>3276016805870005</t>
  </si>
  <si>
    <t>DPK_DT_18</t>
  </si>
  <si>
    <t>CSO-LOKADPK20</t>
  </si>
  <si>
    <t>CSO-LOKADPK203ID</t>
  </si>
  <si>
    <t>SYAEFUL BAHRI</t>
  </si>
  <si>
    <t>JATIJAJAR RT.03/RW.01 KOTA DEPOK 16466</t>
  </si>
  <si>
    <t>3301102009850002</t>
  </si>
  <si>
    <t>DPK_DT_13</t>
  </si>
  <si>
    <t>CSO-LOKADPK21</t>
  </si>
  <si>
    <t>CSO-LOKADPK213ID</t>
  </si>
  <si>
    <t>BASUKI</t>
  </si>
  <si>
    <t>JL KARTINI NO 61  RT.03/RW.09 KOTA DEPOK 16431</t>
  </si>
  <si>
    <t>3276010610740005</t>
  </si>
  <si>
    <t>DPK_DT_15</t>
  </si>
  <si>
    <t>CSO-LOKADPK23</t>
  </si>
  <si>
    <t>CSO-LOKADPK233ID</t>
  </si>
  <si>
    <t>EVA SOLINA SINAGA</t>
  </si>
  <si>
    <t>GG.ALIANDONG  BOJONGSARI DEPOK  RT.03/RW.09 KOTA DEPOK 16516</t>
  </si>
  <si>
    <t>3276034902890003</t>
  </si>
  <si>
    <t>DPK_DT_25</t>
  </si>
  <si>
    <t>CSO-LOKADPK25</t>
  </si>
  <si>
    <t>CSO-LOKADPK253ID</t>
  </si>
  <si>
    <t>ANITIYA</t>
  </si>
  <si>
    <t>GG ASEM RT.003/RW.009 KOTA DEPOK 16516</t>
  </si>
  <si>
    <t>3276017007900005</t>
  </si>
  <si>
    <t>DPK_DT_20</t>
  </si>
  <si>
    <t>CSO-LOKADPK26</t>
  </si>
  <si>
    <t>CSO-LOKADPK263ID</t>
  </si>
  <si>
    <t>Dwi Apriliani</t>
  </si>
  <si>
    <t>JL MASJID ALMUAWANAH RT.008/RW.07 KOTA JAKARTA SELATAN 12640</t>
  </si>
  <si>
    <t>3171045804960002</t>
  </si>
  <si>
    <t>DPK_DT_12</t>
  </si>
  <si>
    <t>CSO-LOKADPK27</t>
  </si>
  <si>
    <t>CSO-LOKADPK273ID</t>
  </si>
  <si>
    <t>KP.RAWAGENI RT.006/RW.007 KOTA DEPOK 16439</t>
  </si>
  <si>
    <t>3201130906920007</t>
  </si>
  <si>
    <t>DPK_DT_19</t>
  </si>
  <si>
    <t>1-186306401553</t>
  </si>
  <si>
    <t>1-1863064015533ID</t>
  </si>
  <si>
    <t>SULENDRA</t>
  </si>
  <si>
    <t>JL. H. SIKAM KEL KALIBARU RT 004/RW 005 KEC CILODONG</t>
  </si>
  <si>
    <t>3276012012870006</t>
  </si>
  <si>
    <t>DPK_DT_17</t>
  </si>
  <si>
    <t>CSO-LOKADPK29</t>
  </si>
  <si>
    <t>CSO-LOKADPK293ID</t>
  </si>
  <si>
    <t>Nursaranita</t>
  </si>
  <si>
    <t>JALAN SALAK 1 NO 43 RT.009/RW.001 KOTA DEPOK 16433</t>
  </si>
  <si>
    <t>3276015201920005</t>
  </si>
  <si>
    <t>DPK_DT_23</t>
  </si>
  <si>
    <t>CSOSDP2023036</t>
  </si>
  <si>
    <t>CSOSDP20230363ID</t>
  </si>
  <si>
    <t>ABDUL GAFUR</t>
  </si>
  <si>
    <t>PULAU TIDUNG RT.001/RW.001 KABUPATEN KEPULAUAN SERIBU 14520</t>
  </si>
  <si>
    <t>3101020810980002</t>
  </si>
  <si>
    <t>CNJ_TP_28</t>
  </si>
  <si>
    <t>PT-TEGALWARU</t>
  </si>
  <si>
    <t>SDP2023017</t>
  </si>
  <si>
    <t>KSK52606211</t>
  </si>
  <si>
    <t>SDP BIO HAZARD</t>
  </si>
  <si>
    <t>CSOSDP30171</t>
  </si>
  <si>
    <t>CSOSDP301713ID</t>
  </si>
  <si>
    <t>Reva Ayu Maharani</t>
  </si>
  <si>
    <t>REVA</t>
  </si>
  <si>
    <t>Kp. sirnaruju RT/RW 004/001 ds. mekarbuana kec. Tegal Waru Kab. Karawang</t>
  </si>
  <si>
    <t>3215286007060001</t>
  </si>
  <si>
    <t>SKRW_TW_14</t>
  </si>
  <si>
    <t>CSOSDP301712</t>
  </si>
  <si>
    <t>CSOSDP3017123ID</t>
  </si>
  <si>
    <t>Tina</t>
  </si>
  <si>
    <t>TINA</t>
  </si>
  <si>
    <t>SKRW_TW_13</t>
  </si>
  <si>
    <t>KAB BEKASI</t>
  </si>
  <si>
    <t>MC-CIKARANG BARAT</t>
  </si>
  <si>
    <t>PT-CIKARANG BARAT</t>
  </si>
  <si>
    <t>D426102031</t>
  </si>
  <si>
    <t>D526102078</t>
  </si>
  <si>
    <t>CSO-SELATAN-01</t>
  </si>
  <si>
    <t>CSO-SELATAN-013ID</t>
  </si>
  <si>
    <t>PRASETYA  HUTAMA YUSEP</t>
  </si>
  <si>
    <t>NURSANDI</t>
  </si>
  <si>
    <t>KP. BAKUNG SELATAN, DESA KARYABHAKTI, RT002/002, BATU JAYA KARAWANG</t>
  </si>
  <si>
    <t>3216171305870009</t>
  </si>
  <si>
    <t>cso</t>
  </si>
  <si>
    <t>6285777331449</t>
  </si>
  <si>
    <t>nursandierick04@gmail.com</t>
  </si>
  <si>
    <t>KBKS_CKR_20</t>
  </si>
  <si>
    <t>MC-CIKARANG TIMUR</t>
  </si>
  <si>
    <t>PT-CIKARANG TIMUR</t>
  </si>
  <si>
    <t>D426102071</t>
  </si>
  <si>
    <t>D526102039</t>
  </si>
  <si>
    <t>CSO-SELATAN-03</t>
  </si>
  <si>
    <t>CSO-SELATAN-033ID</t>
  </si>
  <si>
    <t>MUHAMMAD RAFLI PERMANA</t>
  </si>
  <si>
    <t>dsn karya indah 08/02 desa karyamulya kec batujaya. Kab karawang</t>
  </si>
  <si>
    <t>3215080212920003</t>
  </si>
  <si>
    <t>6285880078885</t>
  </si>
  <si>
    <t>raflipermana0401@gmail.com</t>
  </si>
  <si>
    <t>KBKS_CKR_28</t>
  </si>
  <si>
    <t>CSO-SELATAN-04</t>
  </si>
  <si>
    <t>CSO-SELATAN-043ID</t>
  </si>
  <si>
    <t>SYAHRUL MAULANA</t>
  </si>
  <si>
    <t>kp. Sempu RT 003 RW 003 pasirgombong Cikarang utara</t>
  </si>
  <si>
    <t>3216090306010010</t>
  </si>
  <si>
    <t>KBKS_CKR_22</t>
  </si>
  <si>
    <t>MC-CIBARUSAH</t>
  </si>
  <si>
    <t>PT-CIBARUSAH</t>
  </si>
  <si>
    <t>D426102032</t>
  </si>
  <si>
    <t>D526102036</t>
  </si>
  <si>
    <t>CSO-SELATAN-07</t>
  </si>
  <si>
    <t>CSO-SELATAN-073ID</t>
  </si>
  <si>
    <t>DAEL LEPASCO</t>
  </si>
  <si>
    <t xml:space="preserve">BAMBANG </t>
  </si>
  <si>
    <t>Kp.Jagawana RT/TW 003 / 003, Desa. Sukarukun, Kec.Sukatani, Kab.Bekasi Jawa Barat 17630</t>
  </si>
  <si>
    <t>3216152701030002</t>
  </si>
  <si>
    <t>6285882632792</t>
  </si>
  <si>
    <t>bambangg2701@gmail.com</t>
  </si>
  <si>
    <t>KBKS_CKR_15</t>
  </si>
  <si>
    <t>CSO-SELATAN-08</t>
  </si>
  <si>
    <t>CSO-SELATAN-083ID</t>
  </si>
  <si>
    <t>ANDRIAN</t>
  </si>
  <si>
    <t>ADAM GITA WANA</t>
  </si>
  <si>
    <t>pasir Gombong kampung sempu rt 3 rw 3 , Cikarang utara</t>
  </si>
  <si>
    <t>3306081110930001</t>
  </si>
  <si>
    <t>6285813033710</t>
  </si>
  <si>
    <t>jepjep541@gmail.com</t>
  </si>
  <si>
    <t>KBKS_CKR_21</t>
  </si>
  <si>
    <t>CSO-SELATAN-10</t>
  </si>
  <si>
    <t>CSO-SELATAN-103ID</t>
  </si>
  <si>
    <t>TONI RISQI DEWANTARA</t>
  </si>
  <si>
    <t>Kp. Pulo, RT. 008/RW 003, Desa. Sukaraya, Kec. Karang Bahagia, Kab. Bekasi, Jawa Barat</t>
  </si>
  <si>
    <t>3216102311030013</t>
  </si>
  <si>
    <t>KBKS_CKR_25</t>
  </si>
  <si>
    <t>MC-PEBAYURAN</t>
  </si>
  <si>
    <t>PT-PEBAYURAN</t>
  </si>
  <si>
    <t>D426102026</t>
  </si>
  <si>
    <t>D526102037</t>
  </si>
  <si>
    <t>CSO-UTARA-02</t>
  </si>
  <si>
    <t>CSO-UTARA-023ID</t>
  </si>
  <si>
    <t>KRISDIANTO</t>
  </si>
  <si>
    <t>Sukamurni, Sukakarya, kabupaten bekasi</t>
  </si>
  <si>
    <t>3216141001980004</t>
  </si>
  <si>
    <t>085777813959</t>
  </si>
  <si>
    <t>dono11224@gmail.com</t>
  </si>
  <si>
    <t>KBKS_CBT_3</t>
  </si>
  <si>
    <t>MC-CIBITUNG</t>
  </si>
  <si>
    <t>PT-CIBITUNG</t>
  </si>
  <si>
    <t>D42609205</t>
  </si>
  <si>
    <t>D52609209</t>
  </si>
  <si>
    <t>CSO-UTARA-03</t>
  </si>
  <si>
    <t>CSO-UTARA-033ID</t>
  </si>
  <si>
    <t>MUHIDIN</t>
  </si>
  <si>
    <t>kp Sukamantri rt02 RW 03 desa sukaraya</t>
  </si>
  <si>
    <t>3216031102000003</t>
  </si>
  <si>
    <t>KBKS_CBT_6</t>
  </si>
  <si>
    <t>CSO-UTARA-04</t>
  </si>
  <si>
    <t>CSO-UTARA-043ID</t>
  </si>
  <si>
    <t>AHMAD SYARIF HIDAYAT</t>
  </si>
  <si>
    <t>Kp Penanggul rt 001/001 desa Sukamurni</t>
  </si>
  <si>
    <t>3216140507940002</t>
  </si>
  <si>
    <t>KBKS_CBT_12</t>
  </si>
  <si>
    <t>CSO-UTARA-05</t>
  </si>
  <si>
    <t>CSO-UTARA-053ID</t>
  </si>
  <si>
    <t>FIRMAN HIDAYAT</t>
  </si>
  <si>
    <t>DUSUN TAMBUN SARI RT RW 004 010 DESA KARYA MAKMUR KEC. BATUJAYA KAB. KARAWANG</t>
  </si>
  <si>
    <t>3215121509930002</t>
  </si>
  <si>
    <t>KBKS_CBT_11</t>
  </si>
  <si>
    <t>CSO-UTARA-06</t>
  </si>
  <si>
    <t>CSO-UTARA-063ID</t>
  </si>
  <si>
    <t>RADESTA FICRY</t>
  </si>
  <si>
    <t>DUSUN WONOREJO RT014/005, DESA KESUMAJAYA, KEC. BEKRI, KAB. LAMPUNG TENGAH</t>
  </si>
  <si>
    <t>3216140912020003</t>
  </si>
  <si>
    <t>085664975358</t>
  </si>
  <si>
    <t>radestaficry1@gmail.com</t>
  </si>
  <si>
    <t>KBKS_CBT_7</t>
  </si>
  <si>
    <t>CSO-UTARA-09</t>
  </si>
  <si>
    <t>CSO-UTARA-093ID</t>
  </si>
  <si>
    <t>DANIAS SUNDAH</t>
  </si>
  <si>
    <t>dusun pulasari RT 005 RW 004 desa jambusari kec.jeruk legi kab.cilacap</t>
  </si>
  <si>
    <t>3301081908960002</t>
  </si>
  <si>
    <t>KBKS_CBT_8</t>
  </si>
  <si>
    <t>D5260820143ID</t>
  </si>
  <si>
    <t>AAB ABDUL ROSID</t>
  </si>
  <si>
    <t>KP KALIWARU 2</t>
  </si>
  <si>
    <t>3215180412890001</t>
  </si>
  <si>
    <t>aababdulrosid89@gmail.com</t>
  </si>
  <si>
    <t>NKRW_RD_14</t>
  </si>
  <si>
    <t>PT-MUARAGEMBONG</t>
  </si>
  <si>
    <t>SDP1807</t>
  </si>
  <si>
    <t>KSK52606210</t>
  </si>
  <si>
    <t>SDP MUARAGEMBONG</t>
  </si>
  <si>
    <t>DSE1807</t>
  </si>
  <si>
    <t>DSE18073ID</t>
  </si>
  <si>
    <t>JEJEN ZAENAL</t>
  </si>
  <si>
    <t>dsn Trijaya RT/RW 003/001 desa Sabajaya Kecamatan Tirtajaya</t>
  </si>
  <si>
    <t>3215092004800002</t>
  </si>
  <si>
    <t>085781839999</t>
  </si>
  <si>
    <t>auliamz47@gmail.com</t>
  </si>
  <si>
    <t>KBKS_CBT_4</t>
  </si>
  <si>
    <t>PT-BANYUSARI</t>
  </si>
  <si>
    <t xml:space="preserve">SDP CINTA CELL </t>
  </si>
  <si>
    <t>DSE22310006</t>
  </si>
  <si>
    <t>DSE223100063ID</t>
  </si>
  <si>
    <t>ZAINUDDIN</t>
  </si>
  <si>
    <t>Dsn. pancawati, 004/001, Ds. Pancawati</t>
  </si>
  <si>
    <t>3215162907940002</t>
  </si>
  <si>
    <t>zainuddintea29@gmail.com</t>
  </si>
  <si>
    <t>NKRW_EC_4</t>
  </si>
  <si>
    <t>DSEBUANAJKU03</t>
  </si>
  <si>
    <t>DSEBUANAJKU033ID</t>
  </si>
  <si>
    <t>Faisal Fachruddin P</t>
  </si>
  <si>
    <t>JL. MAWAR MERAH III/8/17 RT.007/RW.012 KOTA JAKARTA TIMUR 13460</t>
  </si>
  <si>
    <t>3175070306770012</t>
  </si>
  <si>
    <t>CNJ_KG_20</t>
  </si>
  <si>
    <t>DSEBUANAJKU04</t>
  </si>
  <si>
    <t>DSEBUANAJKU043ID</t>
  </si>
  <si>
    <t>UMAR HADIKUSUMA</t>
  </si>
  <si>
    <t>GG. TELAGA MURNI IV NO 49 RT.024/RW.01 KOTA JAKARTA UTARA 14350</t>
  </si>
  <si>
    <t>3172020204940007</t>
  </si>
  <si>
    <t>CNJ_KG_21</t>
  </si>
  <si>
    <t>DSEBUANAJKU05</t>
  </si>
  <si>
    <t>DSEBUANAJKU053ID</t>
  </si>
  <si>
    <t>SUBIARTO</t>
  </si>
  <si>
    <t>JL KALIBARU BARAT IV NO 12 A RT.04/RW.07 KOTA JAKARTA UTARA 14110</t>
  </si>
  <si>
    <t>3172040806800004</t>
  </si>
  <si>
    <t>CNJ_KG_22</t>
  </si>
  <si>
    <t>DSEBUANAJKU06</t>
  </si>
  <si>
    <t>DSEBUANAJKU063ID</t>
  </si>
  <si>
    <t>MOCHAMAD RIDWAN</t>
  </si>
  <si>
    <t>JL. BENDUNGAN MELAYU NO. 17 RT.001/RW.002 KOTA JAKARTA UTARA 143230</t>
  </si>
  <si>
    <t>3172020406810011</t>
  </si>
  <si>
    <t>CNJ_KG_23</t>
  </si>
  <si>
    <t>DSEBUANAJKU07</t>
  </si>
  <si>
    <t>DSEBUANAJKU073ID</t>
  </si>
  <si>
    <t>DWINANDA ARISTANTO</t>
  </si>
  <si>
    <t>JL.UTAN PANJANG III  RT.001/RW.006 KOTA JAKARTA PUSAT 10650</t>
  </si>
  <si>
    <t>3171032011890003</t>
  </si>
  <si>
    <t>CNJ_KG_24</t>
  </si>
  <si>
    <t>DSEBUANAJKU08</t>
  </si>
  <si>
    <t>DSEBUANAJKU083ID</t>
  </si>
  <si>
    <t>Ariefarta Jayadi</t>
  </si>
  <si>
    <t>JLN CILINCING LAMA 1 RT.009/RW.04 KOTA JAKARTA UTARA 14120</t>
  </si>
  <si>
    <t>3172041509830001</t>
  </si>
  <si>
    <t>CNJ_KG_25</t>
  </si>
  <si>
    <t>DSEBUANAJKU10R</t>
  </si>
  <si>
    <t>DSEBUANAJKU10R3ID</t>
  </si>
  <si>
    <t>AGUS KURNIA BUDYONO</t>
  </si>
  <si>
    <t>JL BANGAU IV RT.008/RW.008 KOTA JAKARTA PUSAT 10610</t>
  </si>
  <si>
    <t>3171032408750010</t>
  </si>
  <si>
    <t>CNJ_TP_29</t>
  </si>
  <si>
    <t>DSEBUANAJKU11R</t>
  </si>
  <si>
    <t>DSEBUANAJKU11R3ID</t>
  </si>
  <si>
    <t>CIPPY HENDRA LESMANA</t>
  </si>
  <si>
    <t>BANGSAL RT.004/RW.004 KABUPATEN NGAWI 63214</t>
  </si>
  <si>
    <t>3172010306951001</t>
  </si>
  <si>
    <t>CNJ_TP_30</t>
  </si>
  <si>
    <t>DSEBUANAJKU13R</t>
  </si>
  <si>
    <t>DSEBUANAJKU13R3ID</t>
  </si>
  <si>
    <t>MOH IMAM YUSKY</t>
  </si>
  <si>
    <t>PULOSARI RT.005/RW.003 KABUPATEN BREBES 52212</t>
  </si>
  <si>
    <t>3329091306900006</t>
  </si>
  <si>
    <t>CNJ_TP_31</t>
  </si>
  <si>
    <t>DSEBUANAJKU14R</t>
  </si>
  <si>
    <t>DSEBUANAJKU14R3ID</t>
  </si>
  <si>
    <t>MUHAMMAD FARWIS</t>
  </si>
  <si>
    <t>JL.H HASAN  RT.013/RW.008 KOTA JAKARTA TIMUR 13950</t>
  </si>
  <si>
    <t>3175062604920009</t>
  </si>
  <si>
    <t>CNJ_TP_32</t>
  </si>
  <si>
    <t>DSEBUANAJKU16R</t>
  </si>
  <si>
    <t>DSEBUANAJKU16R3ID</t>
  </si>
  <si>
    <t>SAMSIDIN</t>
  </si>
  <si>
    <t>TELUKGONG RT.005/RW.008 KOTA JAKARTA UTARA 14450</t>
  </si>
  <si>
    <t>3172010404770020</t>
  </si>
  <si>
    <t>CNJ_TP_33</t>
  </si>
  <si>
    <t>DSEBUANAJKU17R</t>
  </si>
  <si>
    <t>DSEBUANAJKU17R3ID</t>
  </si>
  <si>
    <t>USMAN</t>
  </si>
  <si>
    <t>JL.H.NASIH RT.014/RW.003 KOTA JAKARTA TIMUR 13760</t>
  </si>
  <si>
    <t>3175053006830002</t>
  </si>
  <si>
    <t>CNJ_TP_34</t>
  </si>
  <si>
    <t>DSEBUANAJKU18R</t>
  </si>
  <si>
    <t>DSEBUANAJKU18R3ID</t>
  </si>
  <si>
    <t>YANDI LESMANA</t>
  </si>
  <si>
    <t>JL. ANGSANA NO. 42 RT.011/RW.002 KOTA JAKARTA PUSAT 10410</t>
  </si>
  <si>
    <t>3171012207840003</t>
  </si>
  <si>
    <t>CNJ_TP_35</t>
  </si>
  <si>
    <t>DSEBUANAJKU19R</t>
  </si>
  <si>
    <t>DSEBUANAJKU19R3ID</t>
  </si>
  <si>
    <t>YUSUP ARDIANSYAH</t>
  </si>
  <si>
    <t>JL. RAWA TENGAH NO. 8 RT.008/RW.004 KOTA JAKARTA PUSAT 10530</t>
  </si>
  <si>
    <t>3171050707851001</t>
  </si>
  <si>
    <t>CNJ_TP_36</t>
  </si>
  <si>
    <t>DSEBUANAJKU20R</t>
  </si>
  <si>
    <t>DSEBUANAJKU20R3ID</t>
  </si>
  <si>
    <t>AGUSTINUS</t>
  </si>
  <si>
    <t>JALAN CIKIJANG V NO 36 RT.008/RW.011 KOTA JAKARTA UTARA 14230</t>
  </si>
  <si>
    <t>3172031808910007</t>
  </si>
  <si>
    <t>CNJ_TP_37</t>
  </si>
  <si>
    <t>DSECGK04</t>
  </si>
  <si>
    <t>DSECGK043ID</t>
  </si>
  <si>
    <t>Rizky Andry</t>
  </si>
  <si>
    <t>DK.GRUJUGAN RT.001/RW.003 KABUPATEN KEBUMEN 54392</t>
  </si>
  <si>
    <t>3671110111980008</t>
  </si>
  <si>
    <t>WJ_GR_22</t>
  </si>
  <si>
    <t>DSECIPCIR271</t>
  </si>
  <si>
    <t>DSECIPCIR2713ID</t>
  </si>
  <si>
    <t>Ahmad Sony</t>
  </si>
  <si>
    <t>JL.DEWISARTIKA 2 BLOK G.379 PERUM.PEJUANG JAYA RT.008/RW.015 KOTA BEKASI 17131</t>
  </si>
  <si>
    <t>3275060204790022</t>
  </si>
  <si>
    <t>EJ_CR_13</t>
  </si>
  <si>
    <t>DSECIPCIR273</t>
  </si>
  <si>
    <t>DSECIPCIR2733ID</t>
  </si>
  <si>
    <t>GURUH JATIBUANA</t>
  </si>
  <si>
    <t>JL.SWADAYA RAYA NO.07 RT.004/RW.001 KOTA JAKARTA TIMUR 13440</t>
  </si>
  <si>
    <t>3175073006010003</t>
  </si>
  <si>
    <t>EJ_MT_21</t>
  </si>
  <si>
    <t>DSECIPCIR276</t>
  </si>
  <si>
    <t>DSECIPCIR2763ID</t>
  </si>
  <si>
    <t>GIVANY NUR CAHYO</t>
  </si>
  <si>
    <t>KP PULO NO 13 RT.007/RW.04 KOTA JAKARTA TIMUR 13560</t>
  </si>
  <si>
    <t>3175082709980002</t>
  </si>
  <si>
    <t>EJ_CR_20</t>
  </si>
  <si>
    <t>DSECIPCIR295</t>
  </si>
  <si>
    <t>DSECIPCIR2953ID</t>
  </si>
  <si>
    <t>ADE NOVRIANTO</t>
  </si>
  <si>
    <t>JL GELATIK III NO 85 RT.002/RW.012 KOTA DEPOK 16432</t>
  </si>
  <si>
    <t>3276012711910001</t>
  </si>
  <si>
    <t>EJ_CR_14</t>
  </si>
  <si>
    <t>DSECKMK02</t>
  </si>
  <si>
    <t>DSECKMK023ID</t>
  </si>
  <si>
    <t>YAYAN SOPIYAN</t>
  </si>
  <si>
    <t>dusun margasalam rt/rw 002/005 desa karyamukti kecamatan lemahabang kabupten karawang</t>
  </si>
  <si>
    <t>3215190112940004</t>
  </si>
  <si>
    <t>yayansopiyan983@gmail.com</t>
  </si>
  <si>
    <t>NKRW_WC_29</t>
  </si>
  <si>
    <t>DSECKMK03</t>
  </si>
  <si>
    <t>DSECKMK033ID</t>
  </si>
  <si>
    <t>ILHAM JONENDA LAKSANA</t>
  </si>
  <si>
    <t>Lamaran, Kelurahan Palumbonsari</t>
  </si>
  <si>
    <t>3215251903960005</t>
  </si>
  <si>
    <t>joe.laksana19@gmail.com</t>
  </si>
  <si>
    <t>NKRW_EC_5</t>
  </si>
  <si>
    <t>DSECKMK05</t>
  </si>
  <si>
    <t>DSECKMK053ID</t>
  </si>
  <si>
    <t>ASEP BUDIANA</t>
  </si>
  <si>
    <t>kp Sukatani RT 002 RW 005 desa karangjaya</t>
  </si>
  <si>
    <t>3215161005800006</t>
  </si>
  <si>
    <t>asepbudiana505@gmail.com</t>
  </si>
  <si>
    <t>NKRW_EC_6</t>
  </si>
  <si>
    <t>DSECKRG05</t>
  </si>
  <si>
    <t>DSECKRG053ID</t>
  </si>
  <si>
    <t>DODY ISKANDAR</t>
  </si>
  <si>
    <t>3216092101890004</t>
  </si>
  <si>
    <t>KBKS_CKR_14</t>
  </si>
  <si>
    <t>DSECKRG06</t>
  </si>
  <si>
    <t>DSECKRG063ID</t>
  </si>
  <si>
    <t>FAHMI HUSAENI</t>
  </si>
  <si>
    <t>3215081504960001</t>
  </si>
  <si>
    <t>KBKS_CKR_27</t>
  </si>
  <si>
    <t>DSECKRG09</t>
  </si>
  <si>
    <t>DSECKRG093ID</t>
  </si>
  <si>
    <t>RANO HIDAYAT</t>
  </si>
  <si>
    <t>3215100206910005</t>
  </si>
  <si>
    <t>KBKS_CKR_13</t>
  </si>
  <si>
    <t>MC-CAKUNG</t>
  </si>
  <si>
    <t>PT-CAKUNG</t>
  </si>
  <si>
    <t>D320240402</t>
  </si>
  <si>
    <t>D52609202</t>
  </si>
  <si>
    <t>MULTI MAKMUR INDONESIA</t>
  </si>
  <si>
    <t>DSEDURSAW083</t>
  </si>
  <si>
    <t>DSEDURSAW0833ID</t>
  </si>
  <si>
    <t>Mustofa Nurhidayat</t>
  </si>
  <si>
    <t>JL H ARSAD KP PEDURENAN RT.003/RW.004 KOTA BEKASI 17425</t>
  </si>
  <si>
    <t>3171052507950001</t>
  </si>
  <si>
    <t>EJ_CK_10</t>
  </si>
  <si>
    <t>DSEDURSAW703</t>
  </si>
  <si>
    <t>DSEDURSAW7033ID</t>
  </si>
  <si>
    <t>Achmat Rizal</t>
  </si>
  <si>
    <t>KP CIKADU  RT.002/RW.002 KABUPATEN BOGOR 16820</t>
  </si>
  <si>
    <t>3201072003980006</t>
  </si>
  <si>
    <t>EJ_CK_1</t>
  </si>
  <si>
    <t>DSEDURSAW704</t>
  </si>
  <si>
    <t>DSEDURSAW7043ID</t>
  </si>
  <si>
    <t>Heryanto</t>
  </si>
  <si>
    <t>DUSUNMANIS RT.006/RW.002 KABUPATEN KUNINGAN 45555</t>
  </si>
  <si>
    <t>3208230807970001</t>
  </si>
  <si>
    <t>EJ_CK_4</t>
  </si>
  <si>
    <t>DSEDURSAW707</t>
  </si>
  <si>
    <t>DSEDURSAW7073ID</t>
  </si>
  <si>
    <t>Radja Jabinil Azhar</t>
  </si>
  <si>
    <t>JL.KP.JEMBATAN RT.009/RW.002 KOTA JAKARTA TIMUR 13940</t>
  </si>
  <si>
    <t>3172051706980007</t>
  </si>
  <si>
    <t>EJ_CK_11</t>
  </si>
  <si>
    <t>DSEDURSAW957</t>
  </si>
  <si>
    <t>DSEDURSAW9573ID</t>
  </si>
  <si>
    <t>Heru Mulyadi</t>
  </si>
  <si>
    <t>JL LONTAR 3/8 RT.11/RW.04 KOTA JAKARTA UTARA 14260</t>
  </si>
  <si>
    <t>3172031905880001</t>
  </si>
  <si>
    <t>EJ_CK_3</t>
  </si>
  <si>
    <t>DSEGRGL01</t>
  </si>
  <si>
    <t>DSEGRGL013ID</t>
  </si>
  <si>
    <t>Oki Setiawan</t>
  </si>
  <si>
    <t>JL KP SALO RT.005/RW.004 KOTA JAKARTA BARAT 11610</t>
  </si>
  <si>
    <t>3173081610940002</t>
  </si>
  <si>
    <t>WJ_GR_23</t>
  </si>
  <si>
    <t>DSEGRGL02</t>
  </si>
  <si>
    <t>DSEGRGL023ID</t>
  </si>
  <si>
    <t>Rendi Juniawan Saputra</t>
  </si>
  <si>
    <t>JL A GANG A IV NO. 14 RT.005/RW.007 KOTA JAKARTA PUSAT 10750</t>
  </si>
  <si>
    <t>3171021910990001</t>
  </si>
  <si>
    <t>WJ_GR_24</t>
  </si>
  <si>
    <t>DSEGRGL04</t>
  </si>
  <si>
    <t>DSEGRGL043ID</t>
  </si>
  <si>
    <t>Reza Hidayat</t>
  </si>
  <si>
    <t>JL ADHI KARYA NO 40 RT.004/RW.002 KOTA JAKARTA BARAT 11520</t>
  </si>
  <si>
    <t>3173050102921001</t>
  </si>
  <si>
    <t>WJ_GR_25</t>
  </si>
  <si>
    <t>DSEKEBAY084</t>
  </si>
  <si>
    <t>DSEKEBAY0843ID</t>
  </si>
  <si>
    <t>Dimas prayogo</t>
  </si>
  <si>
    <t>PERUMAHAN PURA BOJONGGEDE BLOK R7 NOMOR 2 RT.003/RW.017 KABUPATEN BOGOR 16320</t>
  </si>
  <si>
    <t>3174052007900004</t>
  </si>
  <si>
    <t>SJ_KB_6</t>
  </si>
  <si>
    <t>DSEKEBAY168</t>
  </si>
  <si>
    <t>DSEKEBAY1683ID</t>
  </si>
  <si>
    <t>Marlina</t>
  </si>
  <si>
    <t>GG.SARMILI NO.34 RT.001/RW.007 KOTA JAKARTA SELATAN 12240</t>
  </si>
  <si>
    <t>3173054605920003</t>
  </si>
  <si>
    <t>SJ_KB_2</t>
  </si>
  <si>
    <t>DSEKEBAY768</t>
  </si>
  <si>
    <t>DSEKEBAY7683ID</t>
  </si>
  <si>
    <t>Rizky Fadilah</t>
  </si>
  <si>
    <t>JL. PONCOL JAYA NO 33 A RT.009/RW.005 KOTA JAKARTA SELATAN 12710</t>
  </si>
  <si>
    <t>3174032506880005</t>
  </si>
  <si>
    <t>SJ_KB_4</t>
  </si>
  <si>
    <t>DSEKEBAY775</t>
  </si>
  <si>
    <t>DSEKEBAY7753ID</t>
  </si>
  <si>
    <t>Muhamad Sandi</t>
  </si>
  <si>
    <t>KALIBATA PULO GG IV/52 RT.008/RW.005 KOTA JAKARTA SELATAN 14720</t>
  </si>
  <si>
    <t>3174080106961002</t>
  </si>
  <si>
    <t>SJ_KB_1</t>
  </si>
  <si>
    <t>DSEKEBAY965</t>
  </si>
  <si>
    <t>DSEKEBAY9653ID</t>
  </si>
  <si>
    <t>Muhammad Aris Munandar</t>
  </si>
  <si>
    <t>JALAN KEMANDORAN VIII RT.010/RW.011 KOTA JAKARTA SELATAN 12210</t>
  </si>
  <si>
    <t>3173030810950002</t>
  </si>
  <si>
    <t>SJ_KB_5</t>
  </si>
  <si>
    <t>DSEKRWG02</t>
  </si>
  <si>
    <t>DSEKRWG023ID</t>
  </si>
  <si>
    <t>YOGI IRAWAN</t>
  </si>
  <si>
    <t>kp.sukamurni RT 001/RW 003, Kel/Des karawang wetan, kecamatan Karawang timur, kabupaten Jawa barat</t>
  </si>
  <si>
    <t>3202022706930005</t>
  </si>
  <si>
    <t>SKRW_KR_2</t>
  </si>
  <si>
    <t>DSEKRWG03</t>
  </si>
  <si>
    <t>DSEKRWG033ID</t>
  </si>
  <si>
    <t>ENGGAR TRIAMRI</t>
  </si>
  <si>
    <t>perum permata regensi berlian 6 no 28</t>
  </si>
  <si>
    <t>3215131903920003</t>
  </si>
  <si>
    <t>SKRW_KR_3</t>
  </si>
  <si>
    <t>DSEKRWG04</t>
  </si>
  <si>
    <t>DSEKRWG043ID</t>
  </si>
  <si>
    <t>EKO WIJAYA</t>
  </si>
  <si>
    <t>Blok jagal Rt 002 rw 009, kel. adiarsa barat</t>
  </si>
  <si>
    <t>3215211112970001</t>
  </si>
  <si>
    <t>SKRW_KR_4</t>
  </si>
  <si>
    <t>DSEKRWG06</t>
  </si>
  <si>
    <t>DSEKRWG063ID</t>
  </si>
  <si>
    <t>ALDI FEBRIAN</t>
  </si>
  <si>
    <t>paracis RT 03 RW 11 tanjungpura Karawang barat</t>
  </si>
  <si>
    <t>3215011602970007</t>
  </si>
  <si>
    <t>SKRW_KR_6</t>
  </si>
  <si>
    <t>DSEKRWG08</t>
  </si>
  <si>
    <t>DSEKRWG083ID</t>
  </si>
  <si>
    <t>MARWAN HIDAYAT</t>
  </si>
  <si>
    <t>Kp. PasirWaru Ds. Karanganyar 02/01 Kec. Klari - Karawang</t>
  </si>
  <si>
    <t>3215050210960007</t>
  </si>
  <si>
    <t>SKRW_KR_8</t>
  </si>
  <si>
    <t>DSEMATJAT739</t>
  </si>
  <si>
    <t>DSEMATJAT7393ID</t>
  </si>
  <si>
    <t>Ringki Harun</t>
  </si>
  <si>
    <t>JL RAWA TENGAH RT.006/RW.007 KOTA JAKARTA PUSAT 10530</t>
  </si>
  <si>
    <t>3171081610880002</t>
  </si>
  <si>
    <t>EJ_CK_12</t>
  </si>
  <si>
    <t>MC-MATRAMAN</t>
  </si>
  <si>
    <t>PT-MATRAMAN</t>
  </si>
  <si>
    <t>D320240403</t>
  </si>
  <si>
    <t>D52609203</t>
  </si>
  <si>
    <t>DSEMATJAT740</t>
  </si>
  <si>
    <t>DSEMATJAT7403ID</t>
  </si>
  <si>
    <t>Agus Sutrisno P</t>
  </si>
  <si>
    <t>KP KEKUPU NO.1  RT.002/RW.003 KOTA DEPOK 16435</t>
  </si>
  <si>
    <t>3276010208880012</t>
  </si>
  <si>
    <t>EJ_MT_26</t>
  </si>
  <si>
    <t>DSEMATJAT746</t>
  </si>
  <si>
    <t>DSEMATJAT7463ID</t>
  </si>
  <si>
    <t>Agus Laksono</t>
  </si>
  <si>
    <t>JL NUSA INDAH IV/ 1 NO.14  RT.001/RW.004 KOTA JAKARTA TIMUR 13460</t>
  </si>
  <si>
    <t>3175072908740005</t>
  </si>
  <si>
    <t>EJ_CR_25</t>
  </si>
  <si>
    <t>DSEMATJAT750</t>
  </si>
  <si>
    <t>DSEMATJAT7503ID</t>
  </si>
  <si>
    <t>GUNADI</t>
  </si>
  <si>
    <t>KOMPLEK GBI BLOK H5 NO 7 RT.003/RW.013 KABUPATEN BANDUNG 40287</t>
  </si>
  <si>
    <t>3204081702830001</t>
  </si>
  <si>
    <t>EJ_MT_30</t>
  </si>
  <si>
    <t>DSEMATJAT751</t>
  </si>
  <si>
    <t>DSEMATJAT7513ID</t>
  </si>
  <si>
    <t>SOFIAN ADI PUTRA</t>
  </si>
  <si>
    <t>KAMPUNG KRAMAT  RT.007/RW.016 KOTA JAKARTA TIMUR 13640</t>
  </si>
  <si>
    <t>3175041010920005</t>
  </si>
  <si>
    <t>EJ_CR_24</t>
  </si>
  <si>
    <t>DSEMATJAT752</t>
  </si>
  <si>
    <t>DSEMATJAT7523ID</t>
  </si>
  <si>
    <t>Sulis Piyanto</t>
  </si>
  <si>
    <t>JL. PISANGAN BARU RT.007/RW.013 KOTA JAKARTA TIMUR 13110</t>
  </si>
  <si>
    <t>3175012102780003</t>
  </si>
  <si>
    <t>EJ_MT_34</t>
  </si>
  <si>
    <t>DSEMATJAT753</t>
  </si>
  <si>
    <t>DSEMATJAT7533ID</t>
  </si>
  <si>
    <t>Yuli Setiawan</t>
  </si>
  <si>
    <t>JL. CILANGKAP BARU  RT.004/RW.003 KOTA JAKARTA TIMUR 13860</t>
  </si>
  <si>
    <t>3276010807910008</t>
  </si>
  <si>
    <t>EJ_MT_36</t>
  </si>
  <si>
    <t>DSEPASMING631</t>
  </si>
  <si>
    <t>DSEPASMING6313ID</t>
  </si>
  <si>
    <t>Ayu Wandira</t>
  </si>
  <si>
    <t>MOJO RT.012/RW.004 KABUPATEN KARANGANYAR 57784</t>
  </si>
  <si>
    <t>3313016501910001</t>
  </si>
  <si>
    <t>SJ_PM_19</t>
  </si>
  <si>
    <t>DSEPASMING665</t>
  </si>
  <si>
    <t>DSEPASMING6653ID</t>
  </si>
  <si>
    <t>Aan Setiadi</t>
  </si>
  <si>
    <t>KARANGJAMBU RT.002/RW.003 KABUPATEN TEGAL 52464</t>
  </si>
  <si>
    <t>3328041109860006</t>
  </si>
  <si>
    <t>SJ_PM_23</t>
  </si>
  <si>
    <t>DSEPASMING667</t>
  </si>
  <si>
    <t>DSEPASMING6673ID</t>
  </si>
  <si>
    <t>Erik Dwiyanto</t>
  </si>
  <si>
    <t>JL.KEMANGGISAN ILIR XI NO.8D RT.015/RW.008 KOTA JAKARTA BARAT 11480</t>
  </si>
  <si>
    <t>3173072211780001</t>
  </si>
  <si>
    <t>SJ_PM_24</t>
  </si>
  <si>
    <t>DSEPASMING669</t>
  </si>
  <si>
    <t>DSEPASMING6693ID</t>
  </si>
  <si>
    <t>Djoko Subroto</t>
  </si>
  <si>
    <t>JL TANAH MERDEKA NO 50 A RT.009/RW.004 KOTA JAKARTA TIMUR 13830</t>
  </si>
  <si>
    <t>3175092304760002</t>
  </si>
  <si>
    <t>SJ_PM_26</t>
  </si>
  <si>
    <t>DSEPASMING760</t>
  </si>
  <si>
    <t>DSEPASMING7603ID</t>
  </si>
  <si>
    <t>Victor Radianto</t>
  </si>
  <si>
    <t>JL. BATU WADAS RT.006/RW.003 KOTA JAKARTA TIMUR 13520</t>
  </si>
  <si>
    <t>3175041006850008</t>
  </si>
  <si>
    <t>SJ_PM_28</t>
  </si>
  <si>
    <t>DSEPASMING864</t>
  </si>
  <si>
    <t>DSEPASMING8643ID</t>
  </si>
  <si>
    <t>Umar</t>
  </si>
  <si>
    <t>GG.H.TAHIR DALAM RT.003/RW.005 KOTA JAKARTA SELATAN 12630</t>
  </si>
  <si>
    <t>3212241106920006</t>
  </si>
  <si>
    <t>SJ_PM_29</t>
  </si>
  <si>
    <t>DSEPNKN02</t>
  </si>
  <si>
    <t>DSEPNKN023ID</t>
  </si>
  <si>
    <t>RAMDAN BUHARI</t>
  </si>
  <si>
    <t>guro 3 rt/rw 002/020, kel.karawang wetan, kec.karawang timur</t>
  </si>
  <si>
    <t>3215262802930001</t>
  </si>
  <si>
    <t>SKRW_TW_10</t>
  </si>
  <si>
    <t>DSEPNKN03</t>
  </si>
  <si>
    <t>DSEPNKN033ID</t>
  </si>
  <si>
    <t>KUS JUNAEDI</t>
  </si>
  <si>
    <t>Perum Serasi Indah Blok E2 No.10 RT 022/009, Desa Lemah Mulya</t>
  </si>
  <si>
    <t>3215030412760003</t>
  </si>
  <si>
    <t>SKRW_TW_9</t>
  </si>
  <si>
    <t>DSEPNKN04</t>
  </si>
  <si>
    <t>DSEPNKN043ID</t>
  </si>
  <si>
    <t>ANAS ANWAR</t>
  </si>
  <si>
    <t>Kondang jaya,Krajan 1</t>
  </si>
  <si>
    <t>3215262206870007</t>
  </si>
  <si>
    <t>SKRW_TW_15</t>
  </si>
  <si>
    <t>DSEPNKN05</t>
  </si>
  <si>
    <t>DSEPNKN053ID</t>
  </si>
  <si>
    <t>ZULKIFLI</t>
  </si>
  <si>
    <t>Perum kebun kembang asri blok d4 no.7 desa sari mulua kec kota baru</t>
  </si>
  <si>
    <t>3275053112890024</t>
  </si>
  <si>
    <t>SKRW_TW_12</t>
  </si>
  <si>
    <t>DSERNAK02</t>
  </si>
  <si>
    <t>DSERNAK023ID</t>
  </si>
  <si>
    <t>RUSLI ANWAR</t>
  </si>
  <si>
    <t>RUSLI</t>
  </si>
  <si>
    <t>dusun Krajan A RT 05 RW 02 desa Kertasari, kecamatan Rengasdengklok kab. karawang</t>
  </si>
  <si>
    <t>3215070501930002</t>
  </si>
  <si>
    <t>ruslianwar51@gmail.com</t>
  </si>
  <si>
    <t>NKRW_RD_22</t>
  </si>
  <si>
    <t>DSERNAK03</t>
  </si>
  <si>
    <t>DSERNAK033ID</t>
  </si>
  <si>
    <t>PARID ANSORI</t>
  </si>
  <si>
    <t>PARID</t>
  </si>
  <si>
    <t>Dusun Krajan 2B RT 14 RW 04 desa Sampalan kecamatan Kutawaluya kabupaten Karawang</t>
  </si>
  <si>
    <t>3215071007880001</t>
  </si>
  <si>
    <t>paridansori69@gmail.com</t>
  </si>
  <si>
    <t>NKRW_RD_21</t>
  </si>
  <si>
    <t>DSERNAK04</t>
  </si>
  <si>
    <t>DSERNAK043ID</t>
  </si>
  <si>
    <t>OPIK UMANG</t>
  </si>
  <si>
    <t>OPIK</t>
  </si>
  <si>
    <t>dusun cintasari
RT/RW:001/004
kel/desa:KERTAMULYA
kec:PEDES</t>
  </si>
  <si>
    <t>3215221309890002</t>
  </si>
  <si>
    <t>opikumang5555@gmail.com</t>
  </si>
  <si>
    <t>NKRW_RD_18</t>
  </si>
  <si>
    <t>DSERNAK05</t>
  </si>
  <si>
    <t>DSERNAK053ID</t>
  </si>
  <si>
    <t>KASMIN JAMALUDIN</t>
  </si>
  <si>
    <t>KASMIN</t>
  </si>
  <si>
    <t>Dusun lolohan 11 Rt 14 RW 04</t>
  </si>
  <si>
    <t>3215081409870003</t>
  </si>
  <si>
    <t>Aziea2242@gmail.com</t>
  </si>
  <si>
    <t>NKRW_RD_16</t>
  </si>
  <si>
    <t>DSERNAK06</t>
  </si>
  <si>
    <t>DSERNAK063ID</t>
  </si>
  <si>
    <t>AHMAD HABIBUDIN</t>
  </si>
  <si>
    <t>Dusun tamiang rt011/rw04 desa sindangmulya</t>
  </si>
  <si>
    <t>3215071608990002</t>
  </si>
  <si>
    <t>NKRW_RD_17</t>
  </si>
  <si>
    <t>DSERNAK08</t>
  </si>
  <si>
    <t>DSERNAK083ID</t>
  </si>
  <si>
    <t>KUNJANG MUGNI AL KAROMI</t>
  </si>
  <si>
    <t>KUNJANG</t>
  </si>
  <si>
    <t>Dusun pilang.Rt03.Rw01.Desa Tambaksari</t>
  </si>
  <si>
    <t>3215091406850004</t>
  </si>
  <si>
    <t>kunjang123.rdk@gmail.com</t>
  </si>
  <si>
    <t>NKRW_RD_19</t>
  </si>
  <si>
    <t>DSESETPAN656</t>
  </si>
  <si>
    <t>DSESETPAN6563ID</t>
  </si>
  <si>
    <t>Iwan</t>
  </si>
  <si>
    <t>JLN PENGADEGAN TIMUR RT.001/RW.002 KOTA JAKARTA SELATAN 12770</t>
  </si>
  <si>
    <t>3174082301800003</t>
  </si>
  <si>
    <t>SJ_PC_12</t>
  </si>
  <si>
    <t>DSESETPAN663</t>
  </si>
  <si>
    <t>DSESETPAN6633ID</t>
  </si>
  <si>
    <t>Ahmad Zulfikar Fauji</t>
  </si>
  <si>
    <t>DUSUN 01 RT.001/RW.002 KABUPATEN CIREBON 45181</t>
  </si>
  <si>
    <t>3209121111960011</t>
  </si>
  <si>
    <t>SJ_PC_14</t>
  </si>
  <si>
    <t>DSESETPAN856</t>
  </si>
  <si>
    <t>DSESETPAN8563ID</t>
  </si>
  <si>
    <t>Sorichi</t>
  </si>
  <si>
    <t>JLN CIPINANG KEBEMBEM NO 25 RT.003/RW.010 KOTA JAKARTA TIMUR 13230</t>
  </si>
  <si>
    <t>3174080811770014</t>
  </si>
  <si>
    <t>SJ_PC_16</t>
  </si>
  <si>
    <t>DSESETPAN858</t>
  </si>
  <si>
    <t>DSESETPAN8583ID</t>
  </si>
  <si>
    <t>Kusdaryadi Isanto</t>
  </si>
  <si>
    <t>JL POTLOT II RT.001/RW.006 KOTA BATAM 12760</t>
  </si>
  <si>
    <t>3174082611700002</t>
  </si>
  <si>
    <t>SJ_PC_17</t>
  </si>
  <si>
    <t>MC-TAMBUN</t>
  </si>
  <si>
    <t>PT-TAMBUN</t>
  </si>
  <si>
    <t>D42609203</t>
  </si>
  <si>
    <t>1-163309552436</t>
  </si>
  <si>
    <t>DSETMUN01</t>
  </si>
  <si>
    <t>DSETMUN013ID</t>
  </si>
  <si>
    <t>GUNTAR BUMI JAYA</t>
  </si>
  <si>
    <t>jl caringin perum griya mustikasari blok A4 no9</t>
  </si>
  <si>
    <t>3275110301760005</t>
  </si>
  <si>
    <t>KBKS_TBN_33</t>
  </si>
  <si>
    <t>DSETMUN02</t>
  </si>
  <si>
    <t>DSETMUN023ID</t>
  </si>
  <si>
    <t>DEDEN RIO NUGRAHA</t>
  </si>
  <si>
    <t>JL. delima 5 no. 282 jatimulya</t>
  </si>
  <si>
    <t>3216061205800002</t>
  </si>
  <si>
    <t>KBKS_TBN_40</t>
  </si>
  <si>
    <t>DSETMUN05</t>
  </si>
  <si>
    <t>DSETMUN053ID</t>
  </si>
  <si>
    <t>SANDI</t>
  </si>
  <si>
    <t>jl cilepuk 1 rt001 rw012 jati makmur pondok gede bekasi</t>
  </si>
  <si>
    <t>3275123011900003</t>
  </si>
  <si>
    <t>KBKS_TBN_31</t>
  </si>
  <si>
    <t>DSETMUN06</t>
  </si>
  <si>
    <t>DSETMUN063ID</t>
  </si>
  <si>
    <t>KUSNADI</t>
  </si>
  <si>
    <t>ko.cikiwul rt002/001 Cikiwul bantargebang bekasi</t>
  </si>
  <si>
    <t>3275071210870019</t>
  </si>
  <si>
    <t>KBKS_TBN_30</t>
  </si>
  <si>
    <t>MC-BABELAN</t>
  </si>
  <si>
    <t>PT-BABELAN</t>
  </si>
  <si>
    <t>D426102025</t>
  </si>
  <si>
    <t>D526102031</t>
  </si>
  <si>
    <t>DSETMUN09</t>
  </si>
  <si>
    <t>DSETMUN093ID</t>
  </si>
  <si>
    <t>KRISNA JATI</t>
  </si>
  <si>
    <t>Jl. rawa kuning rt 012/007 pulogebang cakung</t>
  </si>
  <si>
    <t>3175061908990002</t>
  </si>
  <si>
    <t>KBKS_TBN_35</t>
  </si>
  <si>
    <t>DSETMUN10</t>
  </si>
  <si>
    <t>DSETMUN103ID</t>
  </si>
  <si>
    <t>ADE ELVIANTO</t>
  </si>
  <si>
    <t>gang sejahtera2 desa bahagia</t>
  </si>
  <si>
    <t>1771060201910001</t>
  </si>
  <si>
    <t>KBKS_TBN_36</t>
  </si>
  <si>
    <t>DSETMUN11</t>
  </si>
  <si>
    <t>DSETMUN113ID</t>
  </si>
  <si>
    <t>ANGGA PUTRA MAULANA</t>
  </si>
  <si>
    <t>Perumahan panjibuwono CLuster malioboro blok cm.4 No.9</t>
  </si>
  <si>
    <t>3216021608910005</t>
  </si>
  <si>
    <t>KBKS_TBN_37</t>
  </si>
  <si>
    <t>MUHAMMAD FADLI</t>
  </si>
  <si>
    <t>1-136173742147</t>
  </si>
  <si>
    <t>DSEIN001</t>
  </si>
  <si>
    <t>Create Im3</t>
  </si>
  <si>
    <t>SANDY SAPUTRA</t>
  </si>
  <si>
    <t>Kp Pedurenan
Rt05
Rw011
Jatiluhur
Jatiasih
Bekasi kota</t>
  </si>
  <si>
    <t>3275022305800020</t>
  </si>
  <si>
    <t>08985560045</t>
  </si>
  <si>
    <t>Saputrasandi2305@gamil.com</t>
  </si>
  <si>
    <t>BKS_PG_30</t>
  </si>
  <si>
    <t>1-28825212088</t>
  </si>
  <si>
    <t>DSEIN002</t>
  </si>
  <si>
    <t>ACHMAD ABDULAH</t>
  </si>
  <si>
    <t>kp Cakung RT 02 RW 012 Kelurahan jatimekar kecamatan Jatiasih kota bekasi</t>
  </si>
  <si>
    <t>3275092707870010</t>
  </si>
  <si>
    <t>BKS_BS_6</t>
  </si>
  <si>
    <t>1-28825212068</t>
  </si>
  <si>
    <t>DSEIN003</t>
  </si>
  <si>
    <t>ACHMAD RIZKI FAUZI</t>
  </si>
  <si>
    <t>3275030101890050</t>
  </si>
  <si>
    <t>BKS_BU_15</t>
  </si>
  <si>
    <t>1-28825212094</t>
  </si>
  <si>
    <t>DSEIN004</t>
  </si>
  <si>
    <t>ADNAN S BADRUN</t>
  </si>
  <si>
    <t>Taman Cikunir Indah Blok C5 No.10 RT001/ RW011 Jakamulya Bekasi Selatan 17146</t>
  </si>
  <si>
    <t>3275042511870015</t>
  </si>
  <si>
    <t>BKS_PG_28</t>
  </si>
  <si>
    <t>1-28825212134</t>
  </si>
  <si>
    <t>DSEIN005</t>
  </si>
  <si>
    <t>AGUNG NUGROHO</t>
  </si>
  <si>
    <t>Perum Griya Sukadami Blok A9 No.1 Rt004 Rw017 Kel Sukadami Kec Cikarang Selatan Kab Bekasi</t>
  </si>
  <si>
    <t>3216191108900006</t>
  </si>
  <si>
    <t>KBKS_CKR_24</t>
  </si>
  <si>
    <t>1-28825212060</t>
  </si>
  <si>
    <t>DSEIN006</t>
  </si>
  <si>
    <t>AKMAL MAULANA</t>
  </si>
  <si>
    <t>kp.pulo timaha rt 011/007 desa Babelan Kota kabupaten Bekasi</t>
  </si>
  <si>
    <t>3216021507950014</t>
  </si>
  <si>
    <t>BKS_BU_14</t>
  </si>
  <si>
    <t>1-135606436407</t>
  </si>
  <si>
    <t>DSEIN007</t>
  </si>
  <si>
    <t>AHMAD FIRDAUS</t>
  </si>
  <si>
    <t>ASEP RAHMAN MULYANA (DSE Resign Bln Feb)</t>
  </si>
  <si>
    <t xml:space="preserve">Taman Cikunir indah blok D no 6 RT 10 RW 11 Bekasi Selatan  </t>
  </si>
  <si>
    <t>3275042905890016</t>
  </si>
  <si>
    <t>08985561822</t>
  </si>
  <si>
    <t>ahmadfirdaus299@gmail.com</t>
  </si>
  <si>
    <t>BKS_BS_1</t>
  </si>
  <si>
    <t>1-135596391691</t>
  </si>
  <si>
    <t>DSEIN008</t>
  </si>
  <si>
    <t>BAGUS IRAWAN</t>
  </si>
  <si>
    <t>jl kp Bantar gebang baru RT 01/01 no 109</t>
  </si>
  <si>
    <t>3175071411920007</t>
  </si>
  <si>
    <t>KBKS_TBN_38</t>
  </si>
  <si>
    <t>1-135596391717</t>
  </si>
  <si>
    <t>DSEIN009</t>
  </si>
  <si>
    <t>BENI RAMDANI KUSUMAWARDANA</t>
  </si>
  <si>
    <t>jl perjuangan dalam teluk buyung rt 003 rw 011</t>
  </si>
  <si>
    <t>3275032004890020</t>
  </si>
  <si>
    <t>KBKS_TBN_29</t>
  </si>
  <si>
    <t>1-28825212132</t>
  </si>
  <si>
    <t>DSEIN010</t>
  </si>
  <si>
    <t>BUDI DARSONO</t>
  </si>
  <si>
    <t>perumahan sukaraya indah blok d1</t>
  </si>
  <si>
    <t>3279013006830001</t>
  </si>
  <si>
    <t>KBKS_CBT_1</t>
  </si>
  <si>
    <t>1-28825212124</t>
  </si>
  <si>
    <t>DSEIN011</t>
  </si>
  <si>
    <t>CHARLES MUARIF</t>
  </si>
  <si>
    <t>Villa mutiara Blok F1 no 2 Rt/Rw 017/007 kel ciantra kec cikarang selatan kab.Bekasi</t>
  </si>
  <si>
    <t>1871031810900009</t>
  </si>
  <si>
    <t>KBKS_CBT_5</t>
  </si>
  <si>
    <t>1-28825212128</t>
  </si>
  <si>
    <t>DSEIN012</t>
  </si>
  <si>
    <t>DEDY SUMANTRI</t>
  </si>
  <si>
    <t xml:space="preserve">Perum Mangunjaya Indah Blok AA2 no 26 RT.001 RW.010 Mangunjaya - Tambun selatan </t>
  </si>
  <si>
    <t>3175073101800011</t>
  </si>
  <si>
    <t>bocahilang628@gmail.com</t>
  </si>
  <si>
    <t>KBKS_TBN_32</t>
  </si>
  <si>
    <t>1-136297797435</t>
  </si>
  <si>
    <t>DSEIN013</t>
  </si>
  <si>
    <t>Didik Nugroho Saputra</t>
  </si>
  <si>
    <t>Jl. Swasembada Timur XII No. 43 RT.001/05 Kel Kebon Bawang Kec Tanjung Priok JakUt 14320</t>
  </si>
  <si>
    <t>3172020607770019</t>
  </si>
  <si>
    <t>EJ_MT_29</t>
  </si>
  <si>
    <t>1-28825212759</t>
  </si>
  <si>
    <t>DSEIN014</t>
  </si>
  <si>
    <t>EKO PURNAMA AJAYA ATIP</t>
  </si>
  <si>
    <t>EKO</t>
  </si>
  <si>
    <t>Perum graha tirtamulya blok A4 No.25 Rt/Rw 004/006 Desa.Karangjaya Kec.Tirtamulya</t>
  </si>
  <si>
    <t>3215170307850002</t>
  </si>
  <si>
    <t>ekopurnama048@gmail.com</t>
  </si>
  <si>
    <t>NKRW_RD_9</t>
  </si>
  <si>
    <t>1-28825212106</t>
  </si>
  <si>
    <t>DSEIN015</t>
  </si>
  <si>
    <t>EKO SURYANTO</t>
  </si>
  <si>
    <t>kp siluman rt02/05 ds mangunjaya tambun selatan kab bekasi</t>
  </si>
  <si>
    <t>3216060403880007</t>
  </si>
  <si>
    <t>KBKS_CBT_2</t>
  </si>
  <si>
    <t>1-167506658513</t>
  </si>
  <si>
    <t>DSEIN016</t>
  </si>
  <si>
    <t>ERICK REJEKI LIMBONG</t>
  </si>
  <si>
    <t>Perum Grand Mutiara 2</t>
  </si>
  <si>
    <t>3302251210920001</t>
  </si>
  <si>
    <t>NKRW_RD_7</t>
  </si>
  <si>
    <t>1-28825212116</t>
  </si>
  <si>
    <t>DSEIN017</t>
  </si>
  <si>
    <t>FIRMAI DONI</t>
  </si>
  <si>
    <t>jl assadariyah kp kobak rt 08 rw 017 mekarsari barat tambun selatan kab.bekasi</t>
  </si>
  <si>
    <t>3275011505790045</t>
  </si>
  <si>
    <t>KBKS_TBN_41</t>
  </si>
  <si>
    <t>1-136173742121</t>
  </si>
  <si>
    <t>DSEIN018</t>
  </si>
  <si>
    <t>HERRY CHRISTIAN</t>
  </si>
  <si>
    <t>Kp.kebantenan gg.anugerah rt.05 rw.06 no.65</t>
  </si>
  <si>
    <t>3275091902840012</t>
  </si>
  <si>
    <t>08985560042</t>
  </si>
  <si>
    <t>herry.christian4@gmail.com</t>
  </si>
  <si>
    <t>BKS_BS_7</t>
  </si>
  <si>
    <t>1-28825212086</t>
  </si>
  <si>
    <t>DSEIN019</t>
  </si>
  <si>
    <t>INDRA PURWANTO</t>
  </si>
  <si>
    <t>jl.musholla daarul ibtida no.109 rt01 rw 01 kel.bantar gebang kec.bantar gebang kota bekasi</t>
  </si>
  <si>
    <t>3175071003880020</t>
  </si>
  <si>
    <t>BKS_BS_3</t>
  </si>
  <si>
    <t>1-136179672105</t>
  </si>
  <si>
    <t>DSEIN020</t>
  </si>
  <si>
    <t>IRAMA HAREFA</t>
  </si>
  <si>
    <t>MUHAMMAD ALDIANSA PANGESTU</t>
  </si>
  <si>
    <t>KP Irian No 23 Kecamatan Bekasi Utara</t>
  </si>
  <si>
    <t>3275032801030018</t>
  </si>
  <si>
    <t>0895326103063</t>
  </si>
  <si>
    <t>aldiansa2801@gmail.com</t>
  </si>
  <si>
    <t>BKS_BU_16</t>
  </si>
  <si>
    <t>1-28825212120</t>
  </si>
  <si>
    <t>DSEIN021</t>
  </si>
  <si>
    <t>ISMAIL MARJUKI</t>
  </si>
  <si>
    <t>kp irian rt03 rw 06</t>
  </si>
  <si>
    <t>3216121407960001</t>
  </si>
  <si>
    <t>KBKS_CBT_9</t>
  </si>
  <si>
    <t>1-28825212096</t>
  </si>
  <si>
    <t>DSEIN022</t>
  </si>
  <si>
    <t>ZULFIKAR</t>
  </si>
  <si>
    <t>Jefri indrawan (DSE Not Active)</t>
  </si>
  <si>
    <t>Jl balai rakyat jakarta timur</t>
  </si>
  <si>
    <t>3175073108840007</t>
  </si>
  <si>
    <t>089602778077</t>
  </si>
  <si>
    <t>1718arzu@gmail.com</t>
  </si>
  <si>
    <t>BKS_PG_34</t>
  </si>
  <si>
    <t>1-197559543881</t>
  </si>
  <si>
    <t>DSEIN023</t>
  </si>
  <si>
    <t>JUANA</t>
  </si>
  <si>
    <t>Kp. Kalangsari rt05/06</t>
  </si>
  <si>
    <t>3215142005010001</t>
  </si>
  <si>
    <t>juana.tkr@gmail.com</t>
  </si>
  <si>
    <t>NKRW_RD_13</t>
  </si>
  <si>
    <t>1-28825212144</t>
  </si>
  <si>
    <t>DSEIN024</t>
  </si>
  <si>
    <t>LUTHFI FADHLUR</t>
  </si>
  <si>
    <t>perumahan mega regency blok G9 no 17</t>
  </si>
  <si>
    <t>3216210102010007</t>
  </si>
  <si>
    <t>KBKS_CKR_16</t>
  </si>
  <si>
    <t>1-135596391583</t>
  </si>
  <si>
    <t>DSEIN025</t>
  </si>
  <si>
    <t>M. SIHABUDIN A</t>
  </si>
  <si>
    <t>kp kaum jl kh fudholi rt001/004</t>
  </si>
  <si>
    <t>3202400707940002</t>
  </si>
  <si>
    <t>KBKS_CBT_10</t>
  </si>
  <si>
    <t>1-154089303029</t>
  </si>
  <si>
    <t>DSEIN026</t>
  </si>
  <si>
    <t>MUHAMAD SAIPUL</t>
  </si>
  <si>
    <t>Tanjungbungin, Pakisjaya, Karawang, West Java, Indonesia</t>
  </si>
  <si>
    <t>3215121903990003</t>
  </si>
  <si>
    <t>NKRW_RD_15</t>
  </si>
  <si>
    <t>1-135596391663</t>
  </si>
  <si>
    <t>DSEIN027</t>
  </si>
  <si>
    <t>Jl. Letnan Arsyad 2 No. 81 RT/RW 006/012 Kel. Kayuringin Jaya - Bekasi Selatan</t>
  </si>
  <si>
    <t>1204041805940004</t>
  </si>
  <si>
    <t>08985561832</t>
  </si>
  <si>
    <t>iharefa94@gmail.com</t>
  </si>
  <si>
    <t>BKS_BS_9</t>
  </si>
  <si>
    <t>1-28825212100</t>
  </si>
  <si>
    <t>DSEIN028</t>
  </si>
  <si>
    <t>MUHAMMAD ZULFIKAR</t>
  </si>
  <si>
    <t>jl mushola arifiah RT 008/007</t>
  </si>
  <si>
    <t>3275082707960021</t>
  </si>
  <si>
    <t>BKS_BS_4</t>
  </si>
  <si>
    <t>1-136134646623</t>
  </si>
  <si>
    <t>DSEIN029</t>
  </si>
  <si>
    <t>PANJI AGUS MUTAKIN</t>
  </si>
  <si>
    <t>jln raya bosih gg darusalam rt03 rw023 wanasari cibitung</t>
  </si>
  <si>
    <t>3205281502990001</t>
  </si>
  <si>
    <t>KBKS_TBN_39</t>
  </si>
  <si>
    <t>1-28825212058</t>
  </si>
  <si>
    <t>DSEIN030</t>
  </si>
  <si>
    <t>PARMAN</t>
  </si>
  <si>
    <t>jl kh muchtar thabrani rt04/02 no61 margamulya bekasi utara</t>
  </si>
  <si>
    <t>3215061012880005</t>
  </si>
  <si>
    <t>BKS_BU_22</t>
  </si>
  <si>
    <t>1-28825212765</t>
  </si>
  <si>
    <t>DSEIN031</t>
  </si>
  <si>
    <t>PRIMADANA</t>
  </si>
  <si>
    <t>Blok Lingk. Sikuang Rt.001 Rw.005 Pasalakan Kec. Sumber Kab. Cirebon 45611</t>
  </si>
  <si>
    <t>3209190201960006</t>
  </si>
  <si>
    <t>NKRW_RD_8</t>
  </si>
  <si>
    <t>1-28825212130</t>
  </si>
  <si>
    <t>DSEIN032</t>
  </si>
  <si>
    <t>RAJA MANGKU ALAM YANDO PASONI</t>
  </si>
  <si>
    <t>jl warung kobak kp jati rt04rw01 desa pasir gombong cikarang utara kabupaten bekasi</t>
  </si>
  <si>
    <t>3275031505830032</t>
  </si>
  <si>
    <t>KBKS_CKR_18</t>
  </si>
  <si>
    <t>1-28825212142</t>
  </si>
  <si>
    <t>DSEIN033</t>
  </si>
  <si>
    <t>RENDI JULIANSYAH SUTISNA</t>
  </si>
  <si>
    <t>Perumahan TCI blok A12 no.26, Kel.Sukadami Kec.Cikarang Selatan Kab.Bekasi</t>
  </si>
  <si>
    <t>3278091807920003</t>
  </si>
  <si>
    <t>KBKS_CKR_17</t>
  </si>
  <si>
    <t>1-28825212138</t>
  </si>
  <si>
    <t>DSEIN034</t>
  </si>
  <si>
    <t>RIA KUSNIA</t>
  </si>
  <si>
    <t>Sukaraya, Karangbahagia, Bekasi Regency, West Java, Indonesia</t>
  </si>
  <si>
    <t>3306085202930002</t>
  </si>
  <si>
    <t>KBKS_CKR_19</t>
  </si>
  <si>
    <t>1-28825212140</t>
  </si>
  <si>
    <t>DSEIN035</t>
  </si>
  <si>
    <t>RIDWAN GUNAWAN</t>
  </si>
  <si>
    <t>perum tci2 e15/27 ciantra Cikarang selatan</t>
  </si>
  <si>
    <t>3216191203850006</t>
  </si>
  <si>
    <t>KBKS_CKR_23</t>
  </si>
  <si>
    <t>1-136179672287</t>
  </si>
  <si>
    <t>DSEIN036</t>
  </si>
  <si>
    <t>SANUSI FATILA YUSUP</t>
  </si>
  <si>
    <t>3216110106850002</t>
  </si>
  <si>
    <t>KBKS_CKR_26</t>
  </si>
  <si>
    <t>1-28825212098</t>
  </si>
  <si>
    <t>DSEIN037</t>
  </si>
  <si>
    <t>SAYADI MAHMUD</t>
  </si>
  <si>
    <t>puri bukit hijau 16 no 20 rt 03 rw 05 kampung sawah</t>
  </si>
  <si>
    <t>3304020606950002</t>
  </si>
  <si>
    <t>BKS_PG_29</t>
  </si>
  <si>
    <t>1-170588695616</t>
  </si>
  <si>
    <t>DSEIN038</t>
  </si>
  <si>
    <t>SYAIFUL JAMAL</t>
  </si>
  <si>
    <t>perum SATRIA INDAH RESIDENT 2 BLOK I NO 35 KELURAHAN SETIA MEKAR TAMBUN UTARA KAB.BEKASI.</t>
  </si>
  <si>
    <t>3327111612890004</t>
  </si>
  <si>
    <t>BKS_BS_2</t>
  </si>
  <si>
    <t>1-193857017613</t>
  </si>
  <si>
    <t>DSEIN039</t>
  </si>
  <si>
    <t>SYARIPUDIN</t>
  </si>
  <si>
    <t>Jl. KH Muchtar Thabrani Kp Nangka RT.005 RW.003 Kel. Perwira Kec. Bekasi Utara - Bekasi</t>
  </si>
  <si>
    <t>3275030412830025</t>
  </si>
  <si>
    <t>arifdkpp@gmail.com</t>
  </si>
  <si>
    <t>KBKS_TBN_34</t>
  </si>
  <si>
    <t>1-28825212056</t>
  </si>
  <si>
    <t>DSEIN040</t>
  </si>
  <si>
    <t>YOSEP MARTIN</t>
  </si>
  <si>
    <t>villa gading harapan3 jl.elang1 blok E1 no.03</t>
  </si>
  <si>
    <t>3518081405940002</t>
  </si>
  <si>
    <t>BKS_BU_19</t>
  </si>
  <si>
    <t>1-135596392079</t>
  </si>
  <si>
    <t>DSEIN041</t>
  </si>
  <si>
    <t>MUHAMMAD IQBAL</t>
  </si>
  <si>
    <t>kp rawa kalong rt 004 rw 003 tambun utara</t>
  </si>
  <si>
    <t>3275020503900012</t>
  </si>
  <si>
    <t>BKS_BU_20</t>
  </si>
  <si>
    <t>1-135606329021</t>
  </si>
  <si>
    <t>DSEIN042</t>
  </si>
  <si>
    <t>Sahrul</t>
  </si>
  <si>
    <t xml:space="preserve"> JL.  DR SUTOMO RT.002/RW.009 KOTA TANGERANG 15157</t>
  </si>
  <si>
    <t>3671120511190005</t>
  </si>
  <si>
    <t>WJ_CGK_1</t>
  </si>
  <si>
    <t>1-28824968786</t>
  </si>
  <si>
    <t>DSEIN043</t>
  </si>
  <si>
    <t>Muhammad Aldi Syaputra</t>
  </si>
  <si>
    <t>KP.JURUMUDI RT.003/RW.006 KOTA TANGERANG 15124</t>
  </si>
  <si>
    <t>3671042809220006</t>
  </si>
  <si>
    <t>WJ_GR_15</t>
  </si>
  <si>
    <t>1-135606436031</t>
  </si>
  <si>
    <t>DSEIN044</t>
  </si>
  <si>
    <t>Purwantoro</t>
  </si>
  <si>
    <t>JL.KAPUK RAYA RT.08/RW.05 KOTA JAKARTA BARAT 11720</t>
  </si>
  <si>
    <t>3173011001094211</t>
  </si>
  <si>
    <t>WJ_CGK_2</t>
  </si>
  <si>
    <t>1-136291163598</t>
  </si>
  <si>
    <t>DSEIN045</t>
  </si>
  <si>
    <t>FADLY NAWAWI</t>
  </si>
  <si>
    <t>GG H ENTONG CIPAYUNG RT.03/RW.07 KABUPATEN BOGOR 16914</t>
  </si>
  <si>
    <t>3201012411980009</t>
  </si>
  <si>
    <t>DPK_DT_16</t>
  </si>
  <si>
    <t>1-136291164227</t>
  </si>
  <si>
    <t>DSEIN046</t>
  </si>
  <si>
    <t>DENY</t>
  </si>
  <si>
    <t>JL INDUSTRI NO 38 KP TARINGGUL RT.003/RW.003 KABUPATEN BOGOR 16810</t>
  </si>
  <si>
    <t>3275083009810018</t>
  </si>
  <si>
    <t>EJ_MT_28</t>
  </si>
  <si>
    <t>1-136297797461</t>
  </si>
  <si>
    <t>DSEIN047</t>
  </si>
  <si>
    <t>AGUS JUMAEDI</t>
  </si>
  <si>
    <t>GG SENGGOL NO 52 RT.02/RW.08 KOTA JAKARTA TIMUR 13540</t>
  </si>
  <si>
    <t>3175040108790002</t>
  </si>
  <si>
    <t>EJ_CR_15</t>
  </si>
  <si>
    <t>1-136297797513</t>
  </si>
  <si>
    <t>DSEIN048</t>
  </si>
  <si>
    <t>NINA FAIQOH</t>
  </si>
  <si>
    <t>KP.BOJONG RAWA LELE RT.006/RW.011 KOTA BEKASI 17413</t>
  </si>
  <si>
    <t>3275085603950008</t>
  </si>
  <si>
    <t>EJ_MT_33</t>
  </si>
  <si>
    <t>1-136301153371</t>
  </si>
  <si>
    <t>DSEIN049</t>
  </si>
  <si>
    <t>BAGUS WULANDARU ANGGORO P</t>
  </si>
  <si>
    <t xml:space="preserve"> PERUM PURI DINAR ASRI BLOK  N6/10 RT.006/RW.025 KOTA SEMARANG 50275</t>
  </si>
  <si>
    <t>3275122002820005</t>
  </si>
  <si>
    <t>EJ_CR_17</t>
  </si>
  <si>
    <t>1-136301153553</t>
  </si>
  <si>
    <t>DSEIN050</t>
  </si>
  <si>
    <t>EDY JUNAEDI</t>
  </si>
  <si>
    <t>GG AN NUR RT.002/RW.010 KOTA JAKARTA TIMUR 13810</t>
  </si>
  <si>
    <t>3175102112780008</t>
  </si>
  <si>
    <t>EJ_CR_18</t>
  </si>
  <si>
    <t>1-186295831761</t>
  </si>
  <si>
    <t>DSEIN051</t>
  </si>
  <si>
    <t>MUHAMMAD FEBRIANSYAH</t>
  </si>
  <si>
    <t>KP. STANGKLE  RT.005/RW.015 KOTA DEPOK 16423</t>
  </si>
  <si>
    <t>3276061402990008</t>
  </si>
  <si>
    <t>DPK_DB_5</t>
  </si>
  <si>
    <t>1-186304119396</t>
  </si>
  <si>
    <t>DSEIN052</t>
  </si>
  <si>
    <t>MUHAMAD FIRDAUS</t>
  </si>
  <si>
    <t>PADURENAN RT.001/RW.006 KABUPATEN BOGOR 16916</t>
  </si>
  <si>
    <t>3201011904840012</t>
  </si>
  <si>
    <t>DPK_DB_10</t>
  </si>
  <si>
    <t>1-186304119485</t>
  </si>
  <si>
    <t>DSEIN053</t>
  </si>
  <si>
    <t>ENDRA BIN MARDA</t>
  </si>
  <si>
    <t>BEDAHAN RT.003/RW.002 KOTA DEPOK 15619</t>
  </si>
  <si>
    <t>1301031310920005</t>
  </si>
  <si>
    <t>DPK_DB_8</t>
  </si>
  <si>
    <t>1-186304893731</t>
  </si>
  <si>
    <t>DSEIN054</t>
  </si>
  <si>
    <t>FARIDA ARYANI</t>
  </si>
  <si>
    <t>TANJUNG BARAT RT.005/RW.002 KOTA JAKARTA SELATAN 12610</t>
  </si>
  <si>
    <t>3175047008940001</t>
  </si>
  <si>
    <t>DPK_DB_9</t>
  </si>
  <si>
    <t>1-28824968782</t>
  </si>
  <si>
    <t>DSEIN055</t>
  </si>
  <si>
    <t>Andy Putra Intani</t>
  </si>
  <si>
    <t>GRIYA KENCANA I B/6 RT.002/RW.004 KOTA TANGERANG 15159</t>
  </si>
  <si>
    <t>3671120710160010</t>
  </si>
  <si>
    <t>WJ_CGK_3</t>
  </si>
  <si>
    <t>1-28824968784</t>
  </si>
  <si>
    <t>DSEIN056</t>
  </si>
  <si>
    <t>Berri Aji Samporno</t>
  </si>
  <si>
    <t>JL. TIMBUL NO 20  RT.004/RW.008 KOTA TANGERANG 15156</t>
  </si>
  <si>
    <t>3671133006200010</t>
  </si>
  <si>
    <t>WJ_CGK_4</t>
  </si>
  <si>
    <t>1-28824968790</t>
  </si>
  <si>
    <t>DSEIN057</t>
  </si>
  <si>
    <t>Aries Wirawan</t>
  </si>
  <si>
    <t>JL MASJID ALTIHAD RT.05/RW.06 KOTA JAKARTA BARAT 11550</t>
  </si>
  <si>
    <t>3173051104160012</t>
  </si>
  <si>
    <t>WJ_GR_16</t>
  </si>
  <si>
    <t>1-28824968798</t>
  </si>
  <si>
    <t>DSEIN058</t>
  </si>
  <si>
    <t>Ukon Sukron</t>
  </si>
  <si>
    <t>JL. SWADAYA IV NO 45 RT.002/RW.003 KOTA JAKARTA BARAT 11840</t>
  </si>
  <si>
    <t>3173060903111030</t>
  </si>
  <si>
    <t>WJ_CGK_5</t>
  </si>
  <si>
    <t>1-28825211802</t>
  </si>
  <si>
    <t>DSEIN059</t>
  </si>
  <si>
    <t>Arief Rahman</t>
  </si>
  <si>
    <t>KARANG SALAM RT.004/RW.003 KABUPATEN BREBES 52272</t>
  </si>
  <si>
    <t>3329053108120016</t>
  </si>
  <si>
    <t>WJ_GR_17</t>
  </si>
  <si>
    <t>1-28825211808</t>
  </si>
  <si>
    <t>DSEIN060</t>
  </si>
  <si>
    <t>Dody Fahamsyah</t>
  </si>
  <si>
    <t>KEBON DUREN RT.002/RW.009 KOTA TANGERANG SELATAN 115411</t>
  </si>
  <si>
    <t>3674042607100014</t>
  </si>
  <si>
    <t>WJ_CGK_6</t>
  </si>
  <si>
    <t>1-28825211814</t>
  </si>
  <si>
    <t>DSEIN061</t>
  </si>
  <si>
    <t>Khinanti Mulya Setya</t>
  </si>
  <si>
    <t>JL H LEMAN II  RT.002/RW.011 KOTA JAKARTA SELATAN 12330</t>
  </si>
  <si>
    <t>3174105404990005</t>
  </si>
  <si>
    <t>EJ_CK_6</t>
  </si>
  <si>
    <t>1-28825211818</t>
  </si>
  <si>
    <t>DSEIN062</t>
  </si>
  <si>
    <t>Muhammad Lukman Hakim</t>
  </si>
  <si>
    <t>JL RAWA KUNING  RT.12/RW.07 KOTA JAKARTA TIMUR 13950</t>
  </si>
  <si>
    <t>3175060611900004</t>
  </si>
  <si>
    <t>EJ_CK_9</t>
  </si>
  <si>
    <t>1-28825211820</t>
  </si>
  <si>
    <t>DSEIN063</t>
  </si>
  <si>
    <t>TEGUH HARI KURNIA</t>
  </si>
  <si>
    <t>JL CENDANA 14 DALAM KP PULO GEDE RT.005/RW.011 KOTA BEKASI 17145</t>
  </si>
  <si>
    <t>3275020110880003</t>
  </si>
  <si>
    <t>EJ_MT_35</t>
  </si>
  <si>
    <t>1-28825211822</t>
  </si>
  <si>
    <t>DSEIN064</t>
  </si>
  <si>
    <t>Idham Rosadi</t>
  </si>
  <si>
    <t>GG.BIDURI BULAN 1 NO 18 RT.001/RW.005 KOTA JAKARTA TIMUR 13230</t>
  </si>
  <si>
    <t>3175020309810008</t>
  </si>
  <si>
    <t>EJ_CK_5</t>
  </si>
  <si>
    <t>1-28825211824</t>
  </si>
  <si>
    <t>DSEIN065</t>
  </si>
  <si>
    <t>M ARIEF TRI ANANDA</t>
  </si>
  <si>
    <t>JL HEBRAS II NO 141 RT.003/RW.006 KABUPATEN BEKASI 17510</t>
  </si>
  <si>
    <t>3216061605000032</t>
  </si>
  <si>
    <t>EJ_MT_31</t>
  </si>
  <si>
    <t>1-28825211826</t>
  </si>
  <si>
    <t>DSEIN066</t>
  </si>
  <si>
    <t>ALEXANDER MANURUNG</t>
  </si>
  <si>
    <t>JL. KANDANG BESAR NO 184 RT.004/RW.004 KOTA JAKARTA TIMUR 13960</t>
  </si>
  <si>
    <t>3175013112860002</t>
  </si>
  <si>
    <t>EJ_MT_27</t>
  </si>
  <si>
    <t>1-28825211828</t>
  </si>
  <si>
    <t>DSEIN067</t>
  </si>
  <si>
    <t>JL JATI WARU  RT.008/RW.004 KOTA JAKARTA TIMUR 13220</t>
  </si>
  <si>
    <t>3175021911880001</t>
  </si>
  <si>
    <t>EJ_MT_32</t>
  </si>
  <si>
    <t>1-28825211834</t>
  </si>
  <si>
    <t>DSEIN068</t>
  </si>
  <si>
    <t>Egi Lazuardy Wahyudy</t>
  </si>
  <si>
    <t>JL. MAMPANG PRAPATAN V RT.006/RW.006 KOTA JAKARTA SELATAN 12790</t>
  </si>
  <si>
    <t>3174032610840007</t>
  </si>
  <si>
    <t>EJ_CK_2</t>
  </si>
  <si>
    <t>1-28825211840</t>
  </si>
  <si>
    <t>DSEIN069</t>
  </si>
  <si>
    <t>Kusworo</t>
  </si>
  <si>
    <t>KP PISANGAN  RT.009/RW.011 KOTA JAKARTA TIMUR 13940</t>
  </si>
  <si>
    <t>3175062401810012</t>
  </si>
  <si>
    <t>EJ_CK_7</t>
  </si>
  <si>
    <t>1-28825211850</t>
  </si>
  <si>
    <t>DSEIN070</t>
  </si>
  <si>
    <t>HERMAN FADLI</t>
  </si>
  <si>
    <t>KP PASIR ANGIN GADOG  RT.004/RW.001 KABUPATEN BOGOR 16770</t>
  </si>
  <si>
    <t>3175030202720007</t>
  </si>
  <si>
    <t>EJ_CR_22</t>
  </si>
  <si>
    <t>1-28825211852</t>
  </si>
  <si>
    <t>DSEIN071</t>
  </si>
  <si>
    <t>Andi Rizaldy</t>
  </si>
  <si>
    <t>JL PULO BESAR 1 RT.004/RW.011 KOTA JAKARTA UTARA 14360</t>
  </si>
  <si>
    <t>3172021605931003</t>
  </si>
  <si>
    <t>EJ_CR_16</t>
  </si>
  <si>
    <t>1-28825211858</t>
  </si>
  <si>
    <t>DSEIN072</t>
  </si>
  <si>
    <t>Muhamad Imam Saptiaji</t>
  </si>
  <si>
    <t>JL KEMPO RT.003/RW.006 KOTA BEKASI 17431</t>
  </si>
  <si>
    <t>3275081802880007</t>
  </si>
  <si>
    <t>EJ_CK_8</t>
  </si>
  <si>
    <t>1-28825211928</t>
  </si>
  <si>
    <t>DSEIN073</t>
  </si>
  <si>
    <t>ARIADNI</t>
  </si>
  <si>
    <t>PERUMAHAN BUMI CAKRA BLOK C5 NO2 RT.003/RW.008 KABUPATEN BOGOR 16413</t>
  </si>
  <si>
    <t>3201014611830009</t>
  </si>
  <si>
    <t>DPK_DB_4</t>
  </si>
  <si>
    <t>1-28825211936</t>
  </si>
  <si>
    <t>DSEIN074</t>
  </si>
  <si>
    <t>Mohammad Faisal Ahfanda</t>
  </si>
  <si>
    <t>JL.RE MARTADINATA 
 RT.5/RW.4 KOTA TANGERANG SELATAN 15411</t>
  </si>
  <si>
    <t>3674040302020005</t>
  </si>
  <si>
    <t>DPK_DB_6</t>
  </si>
  <si>
    <t>DATA SOURCE DEMARKASI CIRCLE IDMPC</t>
  </si>
  <si>
    <t>DATA SOURCE DEMARKASI CIRCLE IDMP3</t>
  </si>
  <si>
    <t>DATA SOURCE DEMARKASI CIRCLE NAMAMPC</t>
  </si>
  <si>
    <t>DATA SOURCE DEMARKASI CIRCLE NAMAMP3</t>
  </si>
  <si>
    <t>TRIMINDO JAYA MANDIRI, PT</t>
  </si>
  <si>
    <t>BUANA TELEKOMINDO, PT</t>
  </si>
  <si>
    <t>KAWAN DATA NUSANTARA, PT</t>
  </si>
  <si>
    <t>SAKALAGUNA SEMESTA, PT</t>
  </si>
  <si>
    <t>SANNIN BROTHER MEGAH, PT</t>
  </si>
  <si>
    <t>DISTRIBUSI VOUCHER NUSANTARA, PT</t>
  </si>
  <si>
    <t>ELKOMINDO MITRA MANDIRI, PT</t>
  </si>
  <si>
    <t>LOKA KARSA INFORMASI, PT</t>
  </si>
  <si>
    <t>MULTI MAKMUR INDONESIA, PT</t>
  </si>
  <si>
    <t>PT TRIMINDO JAYA MANDIRI_JKT_EAST_LIMA</t>
  </si>
  <si>
    <t>PT BUANA TELEKOMINDO JCN KELAPAGADING</t>
  </si>
  <si>
    <t>PT KAWAN DATA NUSANTARA S_KRW KARAWANG</t>
  </si>
  <si>
    <t>PT BUANA TELEKOMINDO JCN TANJUNGPRIOK</t>
  </si>
  <si>
    <t>PT BUANA TELEKOMINDO JCN PUSAT</t>
  </si>
  <si>
    <t>PT SAKALAGUNA_CIKAMPEK WEST_MP3</t>
  </si>
  <si>
    <t>PT SAKALAGUNA_CIKAMPEK_MP3</t>
  </si>
  <si>
    <t>PT SANNIN BROTHER MEGAH SATU</t>
  </si>
  <si>
    <t>PT SANNIN BROTHER MEGAH TIGA</t>
  </si>
  <si>
    <t>PT SANNIN BROTHER MEGAH DUA</t>
  </si>
  <si>
    <t>PT TRIMINDO JAYA MANDIRI_DEPOK_SATU</t>
  </si>
  <si>
    <t>PT KAWAN DATA NUSANTARA S_KRW TEGALWARU</t>
  </si>
  <si>
    <t>PT DISTRIBUSI VOUCHER NUSANTARA PONDOK GEDE</t>
  </si>
  <si>
    <t>PT DISTRIBUSI VOUCHER NUSANTARA BEKASI SELATAN</t>
  </si>
  <si>
    <t>PT SANNIN BROTHER MEGAH BEKASI UTARA</t>
  </si>
  <si>
    <t>PT BUANA TELEKOMINDO JKB CGK</t>
  </si>
  <si>
    <t>PT BUANA TELEKOMINDO JKB GPM</t>
  </si>
  <si>
    <t>PT.ELKOMINDO MITRA MANDIRI_MP3</t>
  </si>
  <si>
    <t>PT LOKA KARSA INFORMASI_DEPOK_TIMUR</t>
  </si>
  <si>
    <t>KIOSK SPC BIO HAZARD</t>
  </si>
  <si>
    <t>PT ELKOMINDO MITRA MANDIRI_KAB_BEKASI_EMPAT</t>
  </si>
  <si>
    <t>PT DISTRIBUSI VOUCHER NUSANTARA_KAB_BEKASI_LIMA</t>
  </si>
  <si>
    <t>KIOSK MUARAGEMBONG BEKASI</t>
  </si>
  <si>
    <t>KIOSK CINTA CELL BANYUSARI</t>
  </si>
  <si>
    <t>PT MULTI MAKMUR INDONESIA_JKT_EAST_SATU</t>
  </si>
  <si>
    <t>PT MULTI MAKMUR INDONESIA_JKT_EAST_TIGA</t>
  </si>
  <si>
    <t>PT SANNIN BROTHER MEGAH_KAB_BEKASI_ENAM</t>
  </si>
  <si>
    <t>cek im3</t>
  </si>
  <si>
    <t>cek 3id</t>
  </si>
  <si>
    <t>need sinkron</t>
  </si>
  <si>
    <t>Confirm cek id partner</t>
  </si>
  <si>
    <t>Micro Cluster Name (MC)</t>
  </si>
  <si>
    <t>DSE CODE IM3</t>
  </si>
  <si>
    <t>DSE CODE 3ID</t>
  </si>
  <si>
    <t>Partner ID IM3</t>
  </si>
  <si>
    <t>Partner ID 3ID</t>
  </si>
  <si>
    <t>mc lookup cek</t>
  </si>
  <si>
    <t>FLAG</t>
  </si>
  <si>
    <t>Confirm cek id dseim3</t>
  </si>
  <si>
    <t>Confirm cek id dse3id</t>
  </si>
  <si>
    <t>2 outlet id termapping ke partner Code lain</t>
  </si>
  <si>
    <t>cek</t>
  </si>
  <si>
    <t>cek master</t>
  </si>
  <si>
    <t>Confrim SA</t>
  </si>
  <si>
    <t>SUbmitSA</t>
  </si>
  <si>
    <t>DSE ID IM3</t>
  </si>
  <si>
    <t>DSE ID 3ID</t>
  </si>
  <si>
    <t>PT_DSEIDIM3</t>
  </si>
  <si>
    <t>PT_DSE3ID</t>
  </si>
  <si>
    <t>cek partner im3</t>
  </si>
  <si>
    <t>cek partner 3id</t>
  </si>
  <si>
    <t>cek id dseim3</t>
  </si>
  <si>
    <t>cek iddse 3id</t>
  </si>
  <si>
    <t>PT-BATUJAYACSOEASTRDK05</t>
  </si>
  <si>
    <t>PT-BATUJAYACSOEASTRDK053ID</t>
  </si>
  <si>
    <t>PT-BATUJAYACSOEASTRDK06</t>
  </si>
  <si>
    <t>PT-BATUJAYACSOEASTRDK063ID</t>
  </si>
  <si>
    <t>PT-BATUJAYACSOEASTRDK08</t>
  </si>
  <si>
    <t>PT-BATUJAYACSOEASTRDK083ID</t>
  </si>
  <si>
    <t>PT-BATUJAYADSERNAK04</t>
  </si>
  <si>
    <t>PT-BATUJAYADSERNAK043ID</t>
  </si>
  <si>
    <t>PT-BATUJAYADSERNAK05</t>
  </si>
  <si>
    <t>PT-BATUJAYADSERNAK053ID</t>
  </si>
  <si>
    <t>PT-BATUJAYADSERNAK06</t>
  </si>
  <si>
    <t>PT-BATUJAYADSERNAK063ID</t>
  </si>
  <si>
    <t>PT-BATUJAYADSERNAK08</t>
  </si>
  <si>
    <t>PT-BATUJAYADSERNAK083ID</t>
  </si>
  <si>
    <t>PT-BATUJAYADSEIN026</t>
  </si>
  <si>
    <t>PT-BATUJAYA1-154089303029</t>
  </si>
  <si>
    <t>PT-RENGASDENGKLOKCSOEASTRDK02</t>
  </si>
  <si>
    <t>PT-RENGASDENGKLOKCSOEASTRDK023ID</t>
  </si>
  <si>
    <t>PT-RENGASDENGKLOKDSERNAK02</t>
  </si>
  <si>
    <t>PT-RENGASDENGKLOKDSERNAK023ID</t>
  </si>
  <si>
    <t>PT-RENGASDENGKLOKDSERNAK03</t>
  </si>
  <si>
    <t>PT-RENGASDENGKLOKDSERNAK033ID</t>
  </si>
  <si>
    <t>PT-RENGASDENGKLOKDSEIN014</t>
  </si>
  <si>
    <t>PT-RENGASDENGKLOK1-28825212759</t>
  </si>
  <si>
    <t>PT-RENGASDENGKLOKDSEIN016</t>
  </si>
  <si>
    <t>PT-RENGASDENGKLOK1-167506658513</t>
  </si>
  <si>
    <t>PT-RENGASDENGKLOKDSEIN023</t>
  </si>
  <si>
    <t>PT-RENGASDENGKLOK1-197559543881</t>
  </si>
  <si>
    <t>PT-RENGASDENGKLOKDSEIN031</t>
  </si>
  <si>
    <t>PT-RENGASDENGKLOK1-28825212765</t>
  </si>
  <si>
    <t>PT-SAWANGANCSO-LOKADPK03</t>
  </si>
  <si>
    <t>PT-SAWANGANCSO-LOKADPK033ID</t>
  </si>
  <si>
    <t>PT-SAWANGANCSO-LOKADPK04</t>
  </si>
  <si>
    <t>PT-SAWANGANCSO-LOKADPK043ID</t>
  </si>
  <si>
    <t>PT-SAWANGANDSEIN051</t>
  </si>
  <si>
    <t>PT-SAWANGAN1-186295831761</t>
  </si>
  <si>
    <t>PT-SAWANGANDSEIN053</t>
  </si>
  <si>
    <t>PT-SAWANGAN1-186304119485</t>
  </si>
  <si>
    <t>PT-SAWANGANDSEIN074</t>
  </si>
  <si>
    <t>PT-SAWANGAN1-28825211936</t>
  </si>
  <si>
    <t>PT-KRAMATJATI2613050467</t>
  </si>
  <si>
    <t>PT-KRAMATJATI26130504673ID</t>
  </si>
  <si>
    <t>PT-KELAPA GADING2613050474</t>
  </si>
  <si>
    <t>PT-KELAPA GADING26130504743ID</t>
  </si>
  <si>
    <t>PT-KARAWANG2613050705</t>
  </si>
  <si>
    <t>PT-KARAWANG26130507053ID</t>
  </si>
  <si>
    <t>PT-CIRACAS2613050742</t>
  </si>
  <si>
    <t>PT-CIRACAS26130507423ID</t>
  </si>
  <si>
    <t>PT-TANJUNG PRIOK2613052473</t>
  </si>
  <si>
    <t>PT-TANJUNG PRIOK26130524733ID</t>
  </si>
  <si>
    <t>PT-PADEMANGAN2613050954</t>
  </si>
  <si>
    <t>PT-PADEMANGAN26130509543ID</t>
  </si>
  <si>
    <t>PT-CEMPAKA PUTIH2613050977</t>
  </si>
  <si>
    <t>PT-CEMPAKA PUTIH26130509773ID</t>
  </si>
  <si>
    <t>PT-WEST CIKAMPEK2613050980</t>
  </si>
  <si>
    <t>PT-WEST CIKAMPEK26130509803ID</t>
  </si>
  <si>
    <t>PT-WEST CIKAMPEK2613050981</t>
  </si>
  <si>
    <t>PT-WEST CIKAMPEK26130509813ID</t>
  </si>
  <si>
    <t>PT-WEST CIKAMPEK2613050982</t>
  </si>
  <si>
    <t>PT-WEST CIKAMPEK26130509823ID</t>
  </si>
  <si>
    <t>PT-EAST CIKAMPEK2613050983</t>
  </si>
  <si>
    <t>PT-EAST CIKAMPEK26130509833ID</t>
  </si>
  <si>
    <t>PT-PASAR MINGGU2613051003</t>
  </si>
  <si>
    <t>PT-PASAR MINGGU26130510033ID</t>
  </si>
  <si>
    <t>PT-PASAR MINGGU2613051004</t>
  </si>
  <si>
    <t>PT-PASAR MINGGU26130510043ID</t>
  </si>
  <si>
    <t>PT-PASAR MINGGU2613051005</t>
  </si>
  <si>
    <t>PT-PASAR MINGGU26130510053ID</t>
  </si>
  <si>
    <t>PT-PANCORAN2613051010</t>
  </si>
  <si>
    <t>PT-PANCORAN26130510103ID</t>
  </si>
  <si>
    <t>PT-PANCORAN2613051011</t>
  </si>
  <si>
    <t>PT-PANCORAN26130510113ID</t>
  </si>
  <si>
    <t>PT-PASAR MINGGU2613051012</t>
  </si>
  <si>
    <t>PT-PASAR MINGGU26130510123ID</t>
  </si>
  <si>
    <t>PT-PASAR MINGGU2613051037</t>
  </si>
  <si>
    <t>PT-PASAR MINGGU26130510373ID</t>
  </si>
  <si>
    <t>PT-PANCORAN2613051039</t>
  </si>
  <si>
    <t>PT-PANCORAN26130510393ID</t>
  </si>
  <si>
    <t>PT-PANCORAN2613051040</t>
  </si>
  <si>
    <t>PT-PANCORAN26130510403ID</t>
  </si>
  <si>
    <t>PT-PASAR MINGGU2613051076</t>
  </si>
  <si>
    <t>PT-PASAR MINGGU26130510763ID</t>
  </si>
  <si>
    <t>PT-CEMPAKA PUTIH2613052398</t>
  </si>
  <si>
    <t>PT-CEMPAKA PUTIH26130523983ID</t>
  </si>
  <si>
    <t>PT-KELAPA GADING2613051092</t>
  </si>
  <si>
    <t>PT-KELAPA GADING26130510923ID</t>
  </si>
  <si>
    <t>PT-TANJUNG PRIOK2613051093</t>
  </si>
  <si>
    <t>PT-TANJUNG PRIOK26130510933ID</t>
  </si>
  <si>
    <t>PT-KARAWANG2613051097</t>
  </si>
  <si>
    <t>PT-KARAWANG26130510973ID</t>
  </si>
  <si>
    <t>PT-KARAWANG2613051098</t>
  </si>
  <si>
    <t>PT-KARAWANG26130510983ID</t>
  </si>
  <si>
    <t>PT-PANCORAN2613051141</t>
  </si>
  <si>
    <t>PT-PANCORAN26130511413ID</t>
  </si>
  <si>
    <t>PT-KEBAYORAN2613051196</t>
  </si>
  <si>
    <t>PT-KEBAYORAN26130511963ID</t>
  </si>
  <si>
    <t>PT-KEBAYORAN2613051197</t>
  </si>
  <si>
    <t>PT-KEBAYORAN26130511973ID</t>
  </si>
  <si>
    <t>PT-KEBAYORAN2613051371</t>
  </si>
  <si>
    <t>PT-KEBAYORAN26130513713ID</t>
  </si>
  <si>
    <t>PT-TANJUNG PRIOK2613051413</t>
  </si>
  <si>
    <t>PT-TANJUNG PRIOK26130514133ID</t>
  </si>
  <si>
    <t>PT-KELAPA GADING2613051872</t>
  </si>
  <si>
    <t>PT-KELAPA GADING26130518723ID</t>
  </si>
  <si>
    <t>PT-BEJI2613052261</t>
  </si>
  <si>
    <t>PT-BEJI26130522613ID</t>
  </si>
  <si>
    <t>PT-PANGKALAN2613052277</t>
  </si>
  <si>
    <t>PT-PANGKALAN26130522773ID</t>
  </si>
  <si>
    <t>PT-WEST CIKAMPEK2613053164</t>
  </si>
  <si>
    <t>PT-WEST CIKAMPEK26130531643ID</t>
  </si>
  <si>
    <t>PT-PONDOK GEDECSOBKSB-04</t>
  </si>
  <si>
    <t>PT-PONDOK GEDECSOBKSB-043ID</t>
  </si>
  <si>
    <t>PT-PONDOK GEDECSOBKSB-08</t>
  </si>
  <si>
    <t>PT-PONDOK GEDECSOBKSB-083ID</t>
  </si>
  <si>
    <t>PT-PONDOK GEDECSOBKSB-09</t>
  </si>
  <si>
    <t>PT-PONDOK GEDECSOBKSB-093ID</t>
  </si>
  <si>
    <t>PT-PONDOK GEDECSOBKSB-10</t>
  </si>
  <si>
    <t>PT-PONDOK GEDECSOBKSB-103ID</t>
  </si>
  <si>
    <t>PT-PONDOK GEDECSOBKSB-11</t>
  </si>
  <si>
    <t>PT-PONDOK GEDECSOBKSB-113ID</t>
  </si>
  <si>
    <t>PT-PONDOK GEDECSOBKSB-16</t>
  </si>
  <si>
    <t>PT-PONDOK GEDECSOBKSB-163ID</t>
  </si>
  <si>
    <t>PT-MUSTIKA JAYACSOBKSS-04</t>
  </si>
  <si>
    <t>PT-MUSTIKA JAYACSOBKSS-043ID</t>
  </si>
  <si>
    <t>PT-MUSTIKA JAYACSOBKSS-05</t>
  </si>
  <si>
    <t>PT-MUSTIKA JAYACSOBKSS-053ID</t>
  </si>
  <si>
    <t>PT-MUSTIKA JAYACSOBKSS-12</t>
  </si>
  <si>
    <t>PT-MUSTIKA JAYACSOBKSS-123ID</t>
  </si>
  <si>
    <t>PT-BEKASI TENGAHCSOBKST-01</t>
  </si>
  <si>
    <t>PT-BEKASI TENGAHCSOBKST-013ID</t>
  </si>
  <si>
    <t>PT-BEKASI TENGAHCSOBKST-02</t>
  </si>
  <si>
    <t>PT-BEKASI TENGAHCSOBKST-023ID</t>
  </si>
  <si>
    <t>PT-BEKASI UTARACSOBKST-06</t>
  </si>
  <si>
    <t>PT-BEKASI UTARACSOBKST-063ID</t>
  </si>
  <si>
    <t>PT-BEKASI TENGAHCSOBKST-08</t>
  </si>
  <si>
    <t>PT-BEKASI TENGAHCSOBKST-083ID</t>
  </si>
  <si>
    <t>PT-BEKASI UTARACSOBKST-09</t>
  </si>
  <si>
    <t>PT-BEKASI UTARACSOBKST-093ID</t>
  </si>
  <si>
    <t>PT-BEKASI UTARACSOBKST-10</t>
  </si>
  <si>
    <t>PT-BEKASI UTARACSOBKST-103ID</t>
  </si>
  <si>
    <t>PT-MUSTIKA JAYACSOBKST-11</t>
  </si>
  <si>
    <t>PT-MUSTIKA JAYACSOBKST-113ID</t>
  </si>
  <si>
    <t>PT-MUSTIKA JAYACSOBKSB-02</t>
  </si>
  <si>
    <t>PT-MUSTIKA JAYACSOBKSB-023ID</t>
  </si>
  <si>
    <t>PT-CENGKARENGCSOBUANAJKB001</t>
  </si>
  <si>
    <t>PT-CENGKARENGCSOBUANAJKB0013ID</t>
  </si>
  <si>
    <t>PT-CENGKARENGCSOBUANAJKB0041</t>
  </si>
  <si>
    <t>PT-CENGKARENGCSOBUANAJKB00413ID</t>
  </si>
  <si>
    <t>PT-CENGKARENGCSOBUANAJKB009</t>
  </si>
  <si>
    <t>PT-CENGKARENGCSOBUANAJKB0093ID</t>
  </si>
  <si>
    <t>PT-CENGKARENGCSOBUANAJKB0101</t>
  </si>
  <si>
    <t>PT-CENGKARENGCSOBUANAJKB01013ID</t>
  </si>
  <si>
    <t>PT-GROGOLCSOBUANAJKB0191</t>
  </si>
  <si>
    <t>PT-GROGOLCSOBUANAJKB01913ID</t>
  </si>
  <si>
    <t>PT-CENGKARENGCSOBUANAJKB02</t>
  </si>
  <si>
    <t>PT-CENGKARENGCSOBUANAJKB023ID</t>
  </si>
  <si>
    <t>PT-GROGOLCSOBUANAJKB0201</t>
  </si>
  <si>
    <t>PT-GROGOLCSOBUANAJKB02013ID</t>
  </si>
  <si>
    <t>PT-CENGKARENGCSOBUANAJKB03</t>
  </si>
  <si>
    <t>PT-CENGKARENGCSOBUANAJKB033ID</t>
  </si>
  <si>
    <t>PT-KEMBANGANCSOBUANAJKB06</t>
  </si>
  <si>
    <t>PT-KEMBANGANCSOBUANAJKB063ID</t>
  </si>
  <si>
    <t>PT-KEMBANGANCSOBUANAJKB08</t>
  </si>
  <si>
    <t>PT-KEMBANGANCSOBUANAJKB083ID</t>
  </si>
  <si>
    <t>PT-GROGOLCSOBUANAJKB12</t>
  </si>
  <si>
    <t>PT-GROGOLCSOBUANAJKB123ID</t>
  </si>
  <si>
    <t>PT-GROGOL2613051407</t>
  </si>
  <si>
    <t>PT-GROGOL26130514073ID</t>
  </si>
  <si>
    <t>PT-TANAH ABANGCSOBUANAJKP01</t>
  </si>
  <si>
    <t>PT-TANAH ABANGCSOBUANAJKP013ID</t>
  </si>
  <si>
    <t>PT-TANAH ABANGCSOBUANAJKP02</t>
  </si>
  <si>
    <t>PT-TANAH ABANGCSOBUANAJKP023ID</t>
  </si>
  <si>
    <t>PT-TANAH ABANGCSOBUANAJKP03</t>
  </si>
  <si>
    <t>PT-TANAH ABANGCSOBUANAJKP033ID</t>
  </si>
  <si>
    <t>PT-CEMPAKA PUTIHCSOBUANAJKP05</t>
  </si>
  <si>
    <t>PT-CEMPAKA PUTIHCSOBUANAJKP053ID</t>
  </si>
  <si>
    <t>PT-TANAH ABANGCSOBUANAJKP06</t>
  </si>
  <si>
    <t>PT-TANAH ABANGCSOBUANAJKP063ID</t>
  </si>
  <si>
    <t>PT-CEMPAKA PUTIHCSOBUANAJKP07</t>
  </si>
  <si>
    <t>PT-CEMPAKA PUTIHCSOBUANAJKP073ID</t>
  </si>
  <si>
    <t>PT-CEMPAKA PUTIHCSOBUANAJKP08</t>
  </si>
  <si>
    <t>PT-CEMPAKA PUTIHCSOBUANAJKP083ID</t>
  </si>
  <si>
    <t>PT-CEMPAKA PUTIHCSOBUANAJKP09</t>
  </si>
  <si>
    <t>PT-CEMPAKA PUTIHCSOBUANAJKP093ID</t>
  </si>
  <si>
    <t>PT-CEMPAKA PUTIHCSOBUANAJKP11</t>
  </si>
  <si>
    <t>PT-CEMPAKA PUTIHCSOBUANAJKP113ID</t>
  </si>
  <si>
    <t>PT-CEMPAKA PUTIHCSOBUANAJKP12</t>
  </si>
  <si>
    <t>PT-CEMPAKA PUTIHCSOBUANAJKP123ID</t>
  </si>
  <si>
    <t>PT-TANAH ABANGCSOBUANAJKP13</t>
  </si>
  <si>
    <t>PT-TANAH ABANGCSOBUANAJKP133ID</t>
  </si>
  <si>
    <t>PT-CEMPAKA PUTIHCSOBUANAJKP14</t>
  </si>
  <si>
    <t>PT-CEMPAKA PUTIHCSOBUANAJKP143ID</t>
  </si>
  <si>
    <t>PT-WEST CIKAMPEKCSO-CKP003</t>
  </si>
  <si>
    <t>PT-WEST CIKAMPEKCSO-CKP0033ID</t>
  </si>
  <si>
    <t>PT-EAST CIKAMPEKCSO-CKP004</t>
  </si>
  <si>
    <t>PT-EAST CIKAMPEKCSO-CKP0043ID</t>
  </si>
  <si>
    <t>PT-WEST CIKAMPEKCSO-CKP005</t>
  </si>
  <si>
    <t>PT-WEST CIKAMPEKCSO-CKP0053ID</t>
  </si>
  <si>
    <t>PT-EAST CIKAMPEKCSO-CKP007</t>
  </si>
  <si>
    <t>PT-EAST CIKAMPEKCSO-CKP0073ID</t>
  </si>
  <si>
    <t>PT-BEJICSO-LOKADPK02</t>
  </si>
  <si>
    <t>PT-BEJICSO-LOKADPK023ID</t>
  </si>
  <si>
    <t>PT-CIMANGGISCSO-LOKADPK06</t>
  </si>
  <si>
    <t>PT-CIMANGGISCSO-LOKADPK063ID</t>
  </si>
  <si>
    <t>PT-CIPAYUNGCSO-LOKADPK07</t>
  </si>
  <si>
    <t>PT-CIPAYUNGCSO-LOKADPK073ID</t>
  </si>
  <si>
    <t>PT-CIPAYUNGCSO-LOKADPK08</t>
  </si>
  <si>
    <t>PT-CIPAYUNGCSO-LOKADPK083ID</t>
  </si>
  <si>
    <t>PT-BEJICSO-LOKADPK09</t>
  </si>
  <si>
    <t>PT-BEJICSO-LOKADPK093ID</t>
  </si>
  <si>
    <t>PT-CIMANGGISCSO-LOKADPK17</t>
  </si>
  <si>
    <t>PT-CIMANGGISCSO-LOKADPK173ID</t>
  </si>
  <si>
    <t>PT-CIPAYUNGCSO-LOKADPK19</t>
  </si>
  <si>
    <t>PT-CIPAYUNGCSO-LOKADPK193ID</t>
  </si>
  <si>
    <t>PT-CIMANGGISCSO-LOKADPK20</t>
  </si>
  <si>
    <t>PT-CIMANGGISCSO-LOKADPK203ID</t>
  </si>
  <si>
    <t>PT-CIPAYUNGCSO-LOKADPK21</t>
  </si>
  <si>
    <t>PT-CIPAYUNGCSO-LOKADPK213ID</t>
  </si>
  <si>
    <t>PT-CIMANGGISCSO-LOKADPK23</t>
  </si>
  <si>
    <t>PT-CIMANGGISCSO-LOKADPK233ID</t>
  </si>
  <si>
    <t>PT-CIMANGGISCSO-LOKADPK25</t>
  </si>
  <si>
    <t>PT-CIMANGGISCSO-LOKADPK253ID</t>
  </si>
  <si>
    <t>PT-CIPAYUNGCSO-LOKADPK26</t>
  </si>
  <si>
    <t>PT-CIPAYUNGCSO-LOKADPK263ID</t>
  </si>
  <si>
    <t>PT-CIMANGGISCSO-LOKADPK27</t>
  </si>
  <si>
    <t>PT-CIMANGGISCSO-LOKADPK273ID</t>
  </si>
  <si>
    <t>PT-CIPAYUNG1-186306401553</t>
  </si>
  <si>
    <t>PT-CIPAYUNG1-1863064015533ID</t>
  </si>
  <si>
    <t>PT-CIPAYUNGCSO-LOKADPK29</t>
  </si>
  <si>
    <t>PT-CIPAYUNGCSO-LOKADPK293ID</t>
  </si>
  <si>
    <t>PT-PADEMANGANCSOSDP2023036</t>
  </si>
  <si>
    <t>PT-PADEMANGANCSOSDP20230363ID</t>
  </si>
  <si>
    <t>PT-TEGALWARUCSOSDP30171</t>
  </si>
  <si>
    <t>PT-TEGALWARUCSOSDP301713ID</t>
  </si>
  <si>
    <t>PT-TEGALWARUCSOSDP301712</t>
  </si>
  <si>
    <t>PT-TEGALWARUCSOSDP3017123ID</t>
  </si>
  <si>
    <t>PT-CIKARANG BARATCSO-SELATAN-01</t>
  </si>
  <si>
    <t>PT-CIKARANG BARATCSO-SELATAN-013ID</t>
  </si>
  <si>
    <t>PT-CIKARANG TIMURCSO-SELATAN-03</t>
  </si>
  <si>
    <t>PT-CIKARANG TIMURCSO-SELATAN-033ID</t>
  </si>
  <si>
    <t>PT-CIKARANG BARATCSO-SELATAN-04</t>
  </si>
  <si>
    <t>PT-CIKARANG BARATCSO-SELATAN-043ID</t>
  </si>
  <si>
    <t>PT-CIBARUSAHCSO-SELATAN-07</t>
  </si>
  <si>
    <t>PT-CIBARUSAHCSO-SELATAN-073ID</t>
  </si>
  <si>
    <t>PT-CIKARANG BARATCSO-SELATAN-08</t>
  </si>
  <si>
    <t>PT-CIKARANG BARATCSO-SELATAN-083ID</t>
  </si>
  <si>
    <t>PT-CIKARANG TIMURCSO-SELATAN-10</t>
  </si>
  <si>
    <t>PT-CIKARANG TIMURCSO-SELATAN-103ID</t>
  </si>
  <si>
    <t>PT-PEBAYURANCSO-UTARA-02</t>
  </si>
  <si>
    <t>PT-PEBAYURANCSO-UTARA-023ID</t>
  </si>
  <si>
    <t>PT-CIBITUNGCSO-UTARA-03</t>
  </si>
  <si>
    <t>PT-CIBITUNGCSO-UTARA-033ID</t>
  </si>
  <si>
    <t>PT-PEBAYURANCSO-UTARA-04</t>
  </si>
  <si>
    <t>PT-PEBAYURANCSO-UTARA-043ID</t>
  </si>
  <si>
    <t>PT-PEBAYURANCSO-UTARA-05</t>
  </si>
  <si>
    <t>PT-PEBAYURANCSO-UTARA-053ID</t>
  </si>
  <si>
    <t>PT-CIBITUNGCSO-UTARA-06</t>
  </si>
  <si>
    <t>PT-CIBITUNGCSO-UTARA-063ID</t>
  </si>
  <si>
    <t>PT-CIBITUNGCSO-UTARA-09</t>
  </si>
  <si>
    <t>PT-CIBITUNGCSO-UTARA-093ID</t>
  </si>
  <si>
    <t>PT-MUARAGEMBONGDSE1807</t>
  </si>
  <si>
    <t>PT-MUARAGEMBONGDSE18073ID</t>
  </si>
  <si>
    <t>PT-BANYUSARIDSE22310006</t>
  </si>
  <si>
    <t>PT-BANYUSARIDSE223100063ID</t>
  </si>
  <si>
    <t>PT-KELAPA GADINGDSEBUANAJKU03</t>
  </si>
  <si>
    <t>PT-KELAPA GADINGDSEBUANAJKU033ID</t>
  </si>
  <si>
    <t>PT-KELAPA GADINGDSEBUANAJKU04</t>
  </si>
  <si>
    <t>PT-KELAPA GADINGDSEBUANAJKU043ID</t>
  </si>
  <si>
    <t>PT-KELAPA GADINGDSEBUANAJKU05</t>
  </si>
  <si>
    <t>PT-KELAPA GADINGDSEBUANAJKU053ID</t>
  </si>
  <si>
    <t>PT-TANJUNG PRIOKDSEBUANAJKU06</t>
  </si>
  <si>
    <t>PT-TANJUNG PRIOKDSEBUANAJKU063ID</t>
  </si>
  <si>
    <t>PT-TANJUNG PRIOKDSEBUANAJKU07</t>
  </si>
  <si>
    <t>PT-TANJUNG PRIOKDSEBUANAJKU073ID</t>
  </si>
  <si>
    <t>PT-KELAPA GADINGDSEBUANAJKU08</t>
  </si>
  <si>
    <t>PT-KELAPA GADINGDSEBUANAJKU083ID</t>
  </si>
  <si>
    <t>PT-TANJUNG PRIOKDSEBUANAJKU10R</t>
  </si>
  <si>
    <t>PT-TANJUNG PRIOKDSEBUANAJKU10R3ID</t>
  </si>
  <si>
    <t>PT-PADEMANGANDSEBUANAJKU11R</t>
  </si>
  <si>
    <t>PT-PADEMANGANDSEBUANAJKU11R3ID</t>
  </si>
  <si>
    <t>PT-TANJUNG PRIOKDSEBUANAJKU13R</t>
  </si>
  <si>
    <t>PT-TANJUNG PRIOKDSEBUANAJKU13R3ID</t>
  </si>
  <si>
    <t>PT-PADEMANGANDSEBUANAJKU14R</t>
  </si>
  <si>
    <t>PT-PADEMANGANDSEBUANAJKU14R3ID</t>
  </si>
  <si>
    <t>PT-PADEMANGANDSEBUANAJKU16R</t>
  </si>
  <si>
    <t>PT-PADEMANGANDSEBUANAJKU16R3ID</t>
  </si>
  <si>
    <t>PT-PADEMANGANDSEBUANAJKU17R</t>
  </si>
  <si>
    <t>PT-PADEMANGANDSEBUANAJKU17R3ID</t>
  </si>
  <si>
    <t>PT-PADEMANGANDSEBUANAJKU18R</t>
  </si>
  <si>
    <t>PT-PADEMANGANDSEBUANAJKU18R3ID</t>
  </si>
  <si>
    <t>PT-TANJUNG PRIOKDSEBUANAJKU19R</t>
  </si>
  <si>
    <t>PT-TANJUNG PRIOKDSEBUANAJKU19R3ID</t>
  </si>
  <si>
    <t>PT-PADEMANGANDSEBUANAJKU20R</t>
  </si>
  <si>
    <t>PT-PADEMANGANDSEBUANAJKU20R3ID</t>
  </si>
  <si>
    <t>PT-GROGOLDSECGK04</t>
  </si>
  <si>
    <t>PT-GROGOLDSECGK043ID</t>
  </si>
  <si>
    <t>PT-CIRACASDSECIPCIR271</t>
  </si>
  <si>
    <t>PT-CIRACASDSECIPCIR2713ID</t>
  </si>
  <si>
    <t>PT-CIRACASDSECIPCIR273</t>
  </si>
  <si>
    <t>PT-CIRACASDSECIPCIR2733ID</t>
  </si>
  <si>
    <t>PT-CIRACASDSECIPCIR276</t>
  </si>
  <si>
    <t>PT-CIRACASDSECIPCIR2763ID</t>
  </si>
  <si>
    <t>PT-CIRACASDSECIPCIR295</t>
  </si>
  <si>
    <t>PT-CIRACASDSECIPCIR2953ID</t>
  </si>
  <si>
    <t>PT-WEST CIKAMPEKDSECKMK02</t>
  </si>
  <si>
    <t>PT-WEST CIKAMPEKDSECKMK023ID</t>
  </si>
  <si>
    <t>PT-EAST CIKAMPEKDSECKMK03</t>
  </si>
  <si>
    <t>PT-EAST CIKAMPEKDSECKMK033ID</t>
  </si>
  <si>
    <t>PT-EAST CIKAMPEKDSECKMK05</t>
  </si>
  <si>
    <t>PT-EAST CIKAMPEKDSECKMK053ID</t>
  </si>
  <si>
    <t>PT-CIBARUSAHDSECKRG05</t>
  </si>
  <si>
    <t>PT-CIBARUSAHDSECKRG053ID</t>
  </si>
  <si>
    <t>PT-CIKARANG TIMURDSECKRG06</t>
  </si>
  <si>
    <t>PT-CIKARANG TIMURDSECKRG063ID</t>
  </si>
  <si>
    <t>PT-CIBARUSAHDSECKRG09</t>
  </si>
  <si>
    <t>PT-CIBARUSAHDSECKRG093ID</t>
  </si>
  <si>
    <t>PT-CAKUNGDSEDURSAW083</t>
  </si>
  <si>
    <t>PT-CAKUNGDSEDURSAW0833ID</t>
  </si>
  <si>
    <t>PT-CAKUNGDSEDURSAW703</t>
  </si>
  <si>
    <t>PT-CAKUNGDSEDURSAW7033ID</t>
  </si>
  <si>
    <t>PT-CAKUNGDSEDURSAW704</t>
  </si>
  <si>
    <t>PT-CAKUNGDSEDURSAW7043ID</t>
  </si>
  <si>
    <t>PT-CAKUNGDSEDURSAW707</t>
  </si>
  <si>
    <t>PT-CAKUNGDSEDURSAW7073ID</t>
  </si>
  <si>
    <t>PT-CAKUNGDSEDURSAW957</t>
  </si>
  <si>
    <t>PT-CAKUNGDSEDURSAW9573ID</t>
  </si>
  <si>
    <t>PT-GROGOLDSEGRGL01</t>
  </si>
  <si>
    <t>PT-GROGOLDSEGRGL013ID</t>
  </si>
  <si>
    <t>PT-GROGOLDSEGRGL02</t>
  </si>
  <si>
    <t>PT-GROGOLDSEGRGL023ID</t>
  </si>
  <si>
    <t>PT-KEMBANGANDSEGRGL04</t>
  </si>
  <si>
    <t>PT-KEMBANGANDSEGRGL043ID</t>
  </si>
  <si>
    <t>PT-KEBAYORANDSEKEBAY084</t>
  </si>
  <si>
    <t>PT-KEBAYORANDSEKEBAY0843ID</t>
  </si>
  <si>
    <t>PT-KEBAYORANDSEKEBAY168</t>
  </si>
  <si>
    <t>PT-KEBAYORANDSEKEBAY1683ID</t>
  </si>
  <si>
    <t>PT-KEBAYORANDSEKEBAY768</t>
  </si>
  <si>
    <t>PT-KEBAYORANDSEKEBAY7683ID</t>
  </si>
  <si>
    <t>PT-KEBAYORANDSEKEBAY775</t>
  </si>
  <si>
    <t>PT-KEBAYORANDSEKEBAY7753ID</t>
  </si>
  <si>
    <t>PT-KEBAYORANDSEKEBAY965</t>
  </si>
  <si>
    <t>PT-KEBAYORANDSEKEBAY9653ID</t>
  </si>
  <si>
    <t>PT-KARAWANGDSEKRWG02</t>
  </si>
  <si>
    <t>PT-KARAWANGDSEKRWG023ID</t>
  </si>
  <si>
    <t>PT-KARAWANGDSEKRWG03</t>
  </si>
  <si>
    <t>PT-KARAWANGDSEKRWG033ID</t>
  </si>
  <si>
    <t>PT-KARAWANGDSEKRWG04</t>
  </si>
  <si>
    <t>PT-KARAWANGDSEKRWG043ID</t>
  </si>
  <si>
    <t>PT-KARAWANGDSEKRWG06</t>
  </si>
  <si>
    <t>PT-KARAWANGDSEKRWG063ID</t>
  </si>
  <si>
    <t>PT-KARAWANGDSEKRWG08</t>
  </si>
  <si>
    <t>PT-KARAWANGDSEKRWG083ID</t>
  </si>
  <si>
    <t>PT-CAKUNGDSEMATJAT739</t>
  </si>
  <si>
    <t>PT-CAKUNGDSEMATJAT7393ID</t>
  </si>
  <si>
    <t>PT-MATRAMANDSEMATJAT740</t>
  </si>
  <si>
    <t>PT-MATRAMANDSEMATJAT7403ID</t>
  </si>
  <si>
    <t>PT-MATRAMANDSEMATJAT746</t>
  </si>
  <si>
    <t>PT-MATRAMANDSEMATJAT7463ID</t>
  </si>
  <si>
    <t>PT-KRAMATJATIDSEMATJAT750</t>
  </si>
  <si>
    <t>PT-KRAMATJATIDSEMATJAT7503ID</t>
  </si>
  <si>
    <t>PT-KRAMATJATIDSEMATJAT751</t>
  </si>
  <si>
    <t>PT-KRAMATJATIDSEMATJAT7513ID</t>
  </si>
  <si>
    <t>PT-MATRAMANDSEMATJAT752</t>
  </si>
  <si>
    <t>PT-MATRAMANDSEMATJAT7523ID</t>
  </si>
  <si>
    <t>PT-MATRAMANDSEMATJAT753</t>
  </si>
  <si>
    <t>PT-MATRAMANDSEMATJAT7533ID</t>
  </si>
  <si>
    <t>PT-PASAR MINGGUDSEPASMING631</t>
  </si>
  <si>
    <t>PT-PASAR MINGGUDSEPASMING6313ID</t>
  </si>
  <si>
    <t>PT-PASAR MINGGUDSEPASMING665</t>
  </si>
  <si>
    <t>PT-PASAR MINGGUDSEPASMING6653ID</t>
  </si>
  <si>
    <t>PT-PASAR MINGGUDSEPASMING667</t>
  </si>
  <si>
    <t>PT-PASAR MINGGUDSEPASMING6673ID</t>
  </si>
  <si>
    <t>PT-PASAR MINGGUDSEPASMING669</t>
  </si>
  <si>
    <t>PT-PASAR MINGGUDSEPASMING6693ID</t>
  </si>
  <si>
    <t>PT-PASAR MINGGUDSEPASMING760</t>
  </si>
  <si>
    <t>PT-PASAR MINGGUDSEPASMING7603ID</t>
  </si>
  <si>
    <t>PT-PASAR MINGGUDSEPASMING864</t>
  </si>
  <si>
    <t>PT-PASAR MINGGUDSEPASMING8643ID</t>
  </si>
  <si>
    <t>PT-PANGKALANDSEPNKN02</t>
  </si>
  <si>
    <t>PT-PANGKALANDSEPNKN023ID</t>
  </si>
  <si>
    <t>PT-PANGKALANDSEPNKN03</t>
  </si>
  <si>
    <t>PT-PANGKALANDSEPNKN033ID</t>
  </si>
  <si>
    <t>PT-PANGKALANDSEPNKN04</t>
  </si>
  <si>
    <t>PT-PANGKALANDSEPNKN043ID</t>
  </si>
  <si>
    <t>PT-PANGKALANDSEPNKN05</t>
  </si>
  <si>
    <t>PT-PANGKALANDSEPNKN053ID</t>
  </si>
  <si>
    <t>PT-PANCORANDSESETPAN656</t>
  </si>
  <si>
    <t>PT-PANCORANDSESETPAN6563ID</t>
  </si>
  <si>
    <t>PT-PANCORANDSESETPAN663</t>
  </si>
  <si>
    <t>PT-PANCORANDSESETPAN6633ID</t>
  </si>
  <si>
    <t>PT-PANCORANDSESETPAN856</t>
  </si>
  <si>
    <t>PT-PANCORANDSESETPAN8563ID</t>
  </si>
  <si>
    <t>PT-PANCORANDSESETPAN858</t>
  </si>
  <si>
    <t>PT-PANCORANDSESETPAN8583ID</t>
  </si>
  <si>
    <t>PT-TAMBUNDSETMUN01</t>
  </si>
  <si>
    <t>PT-TAMBUNDSETMUN013ID</t>
  </si>
  <si>
    <t>PT-TAMBUNDSETMUN02</t>
  </si>
  <si>
    <t>PT-TAMBUNDSETMUN023ID</t>
  </si>
  <si>
    <t>PT-TAMBUNDSETMUN05</t>
  </si>
  <si>
    <t>PT-TAMBUNDSETMUN053ID</t>
  </si>
  <si>
    <t>PT-TAMBUNDSETMUN06</t>
  </si>
  <si>
    <t>PT-TAMBUNDSETMUN063ID</t>
  </si>
  <si>
    <t>PT-BABELANDSETMUN09</t>
  </si>
  <si>
    <t>PT-BABELANDSETMUN093ID</t>
  </si>
  <si>
    <t>PT-BABELANDSETMUN10</t>
  </si>
  <si>
    <t>PT-BABELANDSETMUN103ID</t>
  </si>
  <si>
    <t>PT-BABELANDSETMUN11</t>
  </si>
  <si>
    <t>PT-BABELANDSETMUN113ID</t>
  </si>
  <si>
    <t>PT-PONDOK GEDEDSEIN001</t>
  </si>
  <si>
    <t>PT-PONDOK GEDE1-136173742147</t>
  </si>
  <si>
    <t>PT-MUSTIKA JAYADSEIN002</t>
  </si>
  <si>
    <t>PT-MUSTIKA JAYA1-28825212088</t>
  </si>
  <si>
    <t>PT-BEKASI TENGAHDSEIN003</t>
  </si>
  <si>
    <t>PT-BEKASI TENGAH1-28825212068</t>
  </si>
  <si>
    <t>PT-PONDOK GEDEDSEIN004</t>
  </si>
  <si>
    <t>PT-PONDOK GEDE1-28825212094</t>
  </si>
  <si>
    <t>PT-CIKARANG TIMURDSEIN005</t>
  </si>
  <si>
    <t>PT-CIKARANG TIMUR1-28825212134</t>
  </si>
  <si>
    <t>PT-BEKASI TENGAHDSEIN006</t>
  </si>
  <si>
    <t>PT-BEKASI TENGAH1-28825212060</t>
  </si>
  <si>
    <t>PT-BEKASI TENGAHDSEIN007</t>
  </si>
  <si>
    <t>PT-BEKASI TENGAH1-135606436407</t>
  </si>
  <si>
    <t>PT-BABELANDSEIN008</t>
  </si>
  <si>
    <t>PT-BABELAN1-135596391691</t>
  </si>
  <si>
    <t>PT-BABELANDSEIN009</t>
  </si>
  <si>
    <t>PT-BABELAN1-135596391717</t>
  </si>
  <si>
    <t>PT-CIBITUNGDSEIN010</t>
  </si>
  <si>
    <t>PT-CIBITUNG1-28825212132</t>
  </si>
  <si>
    <t>PT-CIBITUNGDSEIN011</t>
  </si>
  <si>
    <t>PT-CIBITUNG1-28825212124</t>
  </si>
  <si>
    <t>PT-TAMBUNDSEIN012</t>
  </si>
  <si>
    <t>PT-TAMBUN1-28825212128</t>
  </si>
  <si>
    <t>PT-KRAMATJATIDSEIN013</t>
  </si>
  <si>
    <t>PT-KRAMATJATI1-136297797435</t>
  </si>
  <si>
    <t>PT-PEBAYURANDSEIN015</t>
  </si>
  <si>
    <t>PT-PEBAYURAN1-28825212106</t>
  </si>
  <si>
    <t>PT-TAMBUNDSEIN017</t>
  </si>
  <si>
    <t>PT-TAMBUN1-28825212116</t>
  </si>
  <si>
    <t>PT-MUSTIKA JAYADSEIN018</t>
  </si>
  <si>
    <t>PT-MUSTIKA JAYA1-136173742121</t>
  </si>
  <si>
    <t>PT-BEKASI TENGAHDSEIN019</t>
  </si>
  <si>
    <t>PT-BEKASI TENGAH1-28825212086</t>
  </si>
  <si>
    <t>PT-BEKASI TENGAHDSEIN020</t>
  </si>
  <si>
    <t>PT-BEKASI TENGAH1-136179672105</t>
  </si>
  <si>
    <t>PT-CIBITUNGDSEIN021</t>
  </si>
  <si>
    <t>PT-CIBITUNG1-28825212120</t>
  </si>
  <si>
    <t>PT-PONDOK GEDEDSEIN022</t>
  </si>
  <si>
    <t>PT-PONDOK GEDE1-28825212096</t>
  </si>
  <si>
    <t>PT-CIBARUSAHDSEIN024</t>
  </si>
  <si>
    <t>PT-CIBARUSAH1-28825212144</t>
  </si>
  <si>
    <t>PT-PEBAYURANDSEIN025</t>
  </si>
  <si>
    <t>PT-PEBAYURAN1-135596391583</t>
  </si>
  <si>
    <t>PT-BEKASI TENGAHDSEIN027</t>
  </si>
  <si>
    <t>PT-BEKASI TENGAH1-135596391663</t>
  </si>
  <si>
    <t>PT-MUSTIKA JAYADSEIN028</t>
  </si>
  <si>
    <t>PT-MUSTIKA JAYA1-28825212100</t>
  </si>
  <si>
    <t>PT-TAMBUNDSEIN029</t>
  </si>
  <si>
    <t>PT-TAMBUN1-136134646623</t>
  </si>
  <si>
    <t>PT-BEKASI UTARADSEIN030</t>
  </si>
  <si>
    <t>PT-BEKASI UTARA1-28825212058</t>
  </si>
  <si>
    <t>PT-CIKARANG BARATDSEIN032</t>
  </si>
  <si>
    <t>PT-CIKARANG BARAT1-28825212130</t>
  </si>
  <si>
    <t>PT-CIBARUSAHDSEIN033</t>
  </si>
  <si>
    <t>PT-CIBARUSAH1-28825212142</t>
  </si>
  <si>
    <t>PT-CIKARANG BARATDSEIN034</t>
  </si>
  <si>
    <t>PT-CIKARANG BARAT1-28825212138</t>
  </si>
  <si>
    <t>PT-CIKARANG BARATDSEIN035</t>
  </si>
  <si>
    <t>PT-CIKARANG BARAT1-28825212140</t>
  </si>
  <si>
    <t>PT-CIKARANG TIMURDSEIN036</t>
  </si>
  <si>
    <t>PT-CIKARANG TIMUR1-136179672287</t>
  </si>
  <si>
    <t>PT-PONDOK GEDEDSEIN037</t>
  </si>
  <si>
    <t>PT-PONDOK GEDE1-28825212098</t>
  </si>
  <si>
    <t>PT-BEKASI TENGAHDSEIN038</t>
  </si>
  <si>
    <t>PT-BEKASI TENGAH1-170588695616</t>
  </si>
  <si>
    <t>PT-BABELANDSEIN039</t>
  </si>
  <si>
    <t>PT-BABELAN1-193857017613</t>
  </si>
  <si>
    <t>PT-BEKASI UTARADSEIN040</t>
  </si>
  <si>
    <t>PT-BEKASI UTARA1-28825212056</t>
  </si>
  <si>
    <t>PT-BEKASI UTARADSEIN041</t>
  </si>
  <si>
    <t>PT-BEKASI UTARA1-135596392079</t>
  </si>
  <si>
    <t>PT-CENGKARENGDSEIN042</t>
  </si>
  <si>
    <t>PT-CENGKARENG1-135606329021</t>
  </si>
  <si>
    <t>PT-KEMBANGANDSEIN043</t>
  </si>
  <si>
    <t>PT-KEMBANGAN1-28824968786</t>
  </si>
  <si>
    <t>PT-CENGKARENGDSEIN044</t>
  </si>
  <si>
    <t>PT-CENGKARENG1-135606436031</t>
  </si>
  <si>
    <t>PT-CIPAYUNGDSEIN045</t>
  </si>
  <si>
    <t>PT-CIPAYUNG1-136291163598</t>
  </si>
  <si>
    <t>PT-KRAMATJATIDSEIN046</t>
  </si>
  <si>
    <t>PT-KRAMATJATI1-136291164227</t>
  </si>
  <si>
    <t>PT-CIRACASDSEIN047</t>
  </si>
  <si>
    <t>PT-CIRACAS1-136297797461</t>
  </si>
  <si>
    <t>PT-KRAMATJATIDSEIN048</t>
  </si>
  <si>
    <t>PT-KRAMATJATI1-136297797513</t>
  </si>
  <si>
    <t>PT-CIRACASDSEIN049</t>
  </si>
  <si>
    <t>PT-CIRACAS1-136301153371</t>
  </si>
  <si>
    <t>PT-KRAMATJATIDSEIN050</t>
  </si>
  <si>
    <t>PT-KRAMATJATI1-136301153553</t>
  </si>
  <si>
    <t>PT-BEJIDSEIN052</t>
  </si>
  <si>
    <t>PT-BEJI1-186304119396</t>
  </si>
  <si>
    <t>PT-BEJIDSEIN054</t>
  </si>
  <si>
    <t>PT-BEJI1-186304893731</t>
  </si>
  <si>
    <t>PT-CENGKARENGDSEIN055</t>
  </si>
  <si>
    <t>PT-CENGKARENG1-28824968782</t>
  </si>
  <si>
    <t>PT-KEMBANGANDSEIN056</t>
  </si>
  <si>
    <t>PT-KEMBANGAN1-28824968784</t>
  </si>
  <si>
    <t>PT-KEMBANGANDSEIN057</t>
  </si>
  <si>
    <t>PT-KEMBANGAN1-28824968790</t>
  </si>
  <si>
    <t>PT-CENGKARENGDSEIN058</t>
  </si>
  <si>
    <t>PT-CENGKARENG1-28824968798</t>
  </si>
  <si>
    <t>PT-GROGOLDSEIN059</t>
  </si>
  <si>
    <t>PT-GROGOL1-28825211802</t>
  </si>
  <si>
    <t>PT-KEMBANGANDSEIN060</t>
  </si>
  <si>
    <t>PT-KEMBANGAN1-28825211808</t>
  </si>
  <si>
    <t>PT-CAKUNGDSEIN061</t>
  </si>
  <si>
    <t>PT-CAKUNG1-28825211814</t>
  </si>
  <si>
    <t>PT-CAKUNGDSEIN062</t>
  </si>
  <si>
    <t>PT-CAKUNG1-28825211818</t>
  </si>
  <si>
    <t>PT-MATRAMANDSEIN063</t>
  </si>
  <si>
    <t>PT-MATRAMAN1-28825211820</t>
  </si>
  <si>
    <t>PT-CAKUNGDSEIN064</t>
  </si>
  <si>
    <t>PT-CAKUNG1-28825211822</t>
  </si>
  <si>
    <t>PT-MATRAMANDSEIN065</t>
  </si>
  <si>
    <t>PT-MATRAMAN1-28825211824</t>
  </si>
  <si>
    <t>PT-MATRAMANDSEIN066</t>
  </si>
  <si>
    <t>PT-MATRAMAN1-28825211826</t>
  </si>
  <si>
    <t>PT-MATRAMANDSEIN067</t>
  </si>
  <si>
    <t>PT-MATRAMAN1-28825211828</t>
  </si>
  <si>
    <t>PT-CAKUNGDSEIN068</t>
  </si>
  <si>
    <t>PT-CAKUNG1-28825211834</t>
  </si>
  <si>
    <t>PT-CAKUNGDSEIN069</t>
  </si>
  <si>
    <t>PT-CAKUNG1-28825211840</t>
  </si>
  <si>
    <t>PT-CIRACASDSEIN070</t>
  </si>
  <si>
    <t>PT-CIRACAS1-28825211850</t>
  </si>
  <si>
    <t>PT-CIRACASDSEIN071</t>
  </si>
  <si>
    <t>PT-CIRACAS1-28825211852</t>
  </si>
  <si>
    <t>PT-CAKUNGDSEIN072</t>
  </si>
  <si>
    <t>PT-CAKUNG1-28825211858</t>
  </si>
  <si>
    <t>PT-BEJIDSEIN073</t>
  </si>
  <si>
    <t>PT-BEJI1-28825211928</t>
  </si>
  <si>
    <t>NOTE</t>
  </si>
  <si>
    <t>Failed, re-create by Circle</t>
  </si>
  <si>
    <t>STATUS IM3</t>
  </si>
  <si>
    <t>STATUS 3ID</t>
  </si>
  <si>
    <t>ACTIVE</t>
  </si>
  <si>
    <t>PENDING ACTIVE</t>
  </si>
  <si>
    <t>NOT FOUND</t>
  </si>
  <si>
    <t>RE-CREATE</t>
  </si>
  <si>
    <t>CLOSED</t>
  </si>
  <si>
    <t>D426102088 | MOVE TO D426102024</t>
  </si>
  <si>
    <t>D426102032 | MOVE TO D426102071</t>
  </si>
  <si>
    <t>PARTNER_ID</t>
  </si>
  <si>
    <t>USERNAME</t>
  </si>
  <si>
    <t>BRAND</t>
  </si>
  <si>
    <t>DSE NAME</t>
  </si>
  <si>
    <t>PARTNER ID SEHARUSNYA</t>
  </si>
  <si>
    <t>TONI RISQI</t>
  </si>
  <si>
    <t>MUHAMMAD ALDIANSA</t>
  </si>
  <si>
    <t>IM3</t>
  </si>
  <si>
    <t>INDRA AL FAJAR ROMADON</t>
  </si>
  <si>
    <t>user sama beda partner id</t>
  </si>
  <si>
    <t>D202402224 | MOVE TO CSOBUANAJKB0</t>
  </si>
  <si>
    <t>NOTE 3ID</t>
  </si>
  <si>
    <t>3ID</t>
  </si>
  <si>
    <t>DSE ARENJAYA</t>
  </si>
  <si>
    <t>PROGRESS CHECKING</t>
  </si>
  <si>
    <t>CURRENT_PT : 1-28824058447</t>
  </si>
  <si>
    <t>DSE BEKASI UTARA</t>
  </si>
  <si>
    <t>DSE BINTARJAYA</t>
  </si>
  <si>
    <t>D52609207</t>
  </si>
  <si>
    <t>CURRENT_PT : D52609207</t>
  </si>
  <si>
    <t>CURRENT_PT : D52609208</t>
  </si>
  <si>
    <t>ACHMAD ABDULLAH</t>
  </si>
  <si>
    <t>1-163300881697</t>
  </si>
  <si>
    <t>D42609201</t>
  </si>
  <si>
    <t>1-163319981150</t>
  </si>
  <si>
    <t>D52609201</t>
  </si>
  <si>
    <t>Propose 
DSE ID Im3</t>
  </si>
  <si>
    <t>Propose 
DSE ID 3ID</t>
  </si>
  <si>
    <t>ACTIVE | RE-PARENTING</t>
  </si>
  <si>
    <t>PARTNER ID BEFORE</t>
  </si>
  <si>
    <t>PARTNER ID NEW</t>
  </si>
  <si>
    <t>ga adai mobii DSO</t>
  </si>
  <si>
    <t>D52609206</t>
  </si>
  <si>
    <t>#DSE</t>
  </si>
  <si>
    <t>ACTIVE IM3</t>
  </si>
  <si>
    <t>ACTIVE 3ID</t>
  </si>
  <si>
    <t>aCTIVE</t>
  </si>
  <si>
    <t>MP3_SYSTEM</t>
  </si>
  <si>
    <t>CHECK</t>
  </si>
  <si>
    <t>MAULANA</t>
  </si>
  <si>
    <t>HIDAYAT</t>
  </si>
  <si>
    <t>MPC_SYSTEM</t>
  </si>
  <si>
    <t>SDP2023036</t>
  </si>
  <si>
    <t>D202402228</t>
  </si>
  <si>
    <t>ACTION MPC</t>
  </si>
  <si>
    <t>ACTION MP3</t>
  </si>
  <si>
    <t>RE-PARENTING</t>
  </si>
  <si>
    <t>CREATE</t>
  </si>
  <si>
    <t>X</t>
  </si>
  <si>
    <t>KONFIRM</t>
  </si>
  <si>
    <t>DSEIN118</t>
  </si>
  <si>
    <t>DSEIN117</t>
  </si>
  <si>
    <t>DSEIN119</t>
  </si>
  <si>
    <t>DSEIN108</t>
  </si>
  <si>
    <t>DSEIN107</t>
  </si>
  <si>
    <t>DSEIN121</t>
  </si>
  <si>
    <t>DSEIN112</t>
  </si>
  <si>
    <t>DSEIN120</t>
  </si>
  <si>
    <t>DSEIN115</t>
  </si>
  <si>
    <t>DSEIN116</t>
  </si>
  <si>
    <t>DSEIN109</t>
  </si>
  <si>
    <t>DSEIN111</t>
  </si>
  <si>
    <t>DSEIN113</t>
  </si>
  <si>
    <t>DSEIN110</t>
  </si>
  <si>
    <t>DSEIN114</t>
  </si>
  <si>
    <t>DSEIN122</t>
  </si>
  <si>
    <t>DSEIN100</t>
  </si>
  <si>
    <t>DSEIN101</t>
  </si>
  <si>
    <t>DSEIN102</t>
  </si>
  <si>
    <t>DSEIN103</t>
  </si>
  <si>
    <t>DSEIN104</t>
  </si>
  <si>
    <t>DSEIN105</t>
  </si>
  <si>
    <t>DSEIN106</t>
  </si>
  <si>
    <t>DSEIN1183ID</t>
  </si>
  <si>
    <t>DSEIN1173ID</t>
  </si>
  <si>
    <t>DSEIN1193ID</t>
  </si>
  <si>
    <t>DSEIN1083ID</t>
  </si>
  <si>
    <t>DSEIN1073ID</t>
  </si>
  <si>
    <t>DSEIN1213ID</t>
  </si>
  <si>
    <t>DSEIN1123ID</t>
  </si>
  <si>
    <t>DSEIN1203ID</t>
  </si>
  <si>
    <t>DSEIN1153ID</t>
  </si>
  <si>
    <t>DSEIN1163ID</t>
  </si>
  <si>
    <t>DSEIN1093ID</t>
  </si>
  <si>
    <t>DSEIN1113ID</t>
  </si>
  <si>
    <t>DSEIN1133ID</t>
  </si>
  <si>
    <t>DSEIN1103ID</t>
  </si>
  <si>
    <t>DSEIN1143ID</t>
  </si>
  <si>
    <t>DSEIN1223ID</t>
  </si>
  <si>
    <t>DSEIN1003ID</t>
  </si>
  <si>
    <t>DSEIN1013ID</t>
  </si>
  <si>
    <t>DSEIN1023ID</t>
  </si>
  <si>
    <t>DSEIN1033ID</t>
  </si>
  <si>
    <t>DSEIN1043ID</t>
  </si>
  <si>
    <t>DSEIN1053ID</t>
  </si>
  <si>
    <t>DSEIN1063ID</t>
  </si>
  <si>
    <t>DSEIN123</t>
  </si>
  <si>
    <t>DSEIN1233ID</t>
  </si>
  <si>
    <t xml:space="preserve">Irfan kamaludin </t>
  </si>
  <si>
    <t>33740503128812345</t>
  </si>
  <si>
    <t>DSEIN124</t>
  </si>
  <si>
    <t>DSEIN1243ID</t>
  </si>
  <si>
    <t>ID RE-CREATE
IM3</t>
  </si>
  <si>
    <t>ID RE-CREATE
3ID</t>
  </si>
  <si>
    <t>TERRITORY</t>
  </si>
  <si>
    <t>TERRITORY_TYPE</t>
  </si>
  <si>
    <t>ROLE</t>
  </si>
  <si>
    <t>ENTITY_ID</t>
  </si>
  <si>
    <t>ENTITY_NAME</t>
  </si>
  <si>
    <t>ENTITY_MSISDN</t>
  </si>
  <si>
    <t>OPERATOR_ID</t>
  </si>
  <si>
    <t>OPERATOR_TYPE</t>
  </si>
  <si>
    <t>POSITION</t>
  </si>
  <si>
    <t>ROLE_CODE</t>
  </si>
  <si>
    <t>FIRST_NAME</t>
  </si>
  <si>
    <t>LAST_NAME</t>
  </si>
  <si>
    <t>MOTHERS_MAIDEN_NAME</t>
  </si>
  <si>
    <t>DOB</t>
  </si>
  <si>
    <t>WORKING_START_DATE</t>
  </si>
  <si>
    <t>WORKING_END_DATE</t>
  </si>
  <si>
    <t>EMAIL_ID</t>
  </si>
  <si>
    <t>CONTACT_NO</t>
  </si>
  <si>
    <t>ORG_CODE</t>
  </si>
  <si>
    <t>TERRITORY_TYPE_2</t>
  </si>
  <si>
    <t>TERRITORY_VALUE</t>
  </si>
  <si>
    <t>ADRS_1</t>
  </si>
  <si>
    <t>PROVINCE</t>
  </si>
  <si>
    <t>CITY</t>
  </si>
  <si>
    <t>DISTRICT</t>
  </si>
  <si>
    <t>KTP</t>
  </si>
  <si>
    <t>SELF_PORTRAIT_IMAGE</t>
  </si>
  <si>
    <t>API_RESPONSE</t>
  </si>
  <si>
    <t>PAYLOAD</t>
  </si>
  <si>
    <t>REQ_ID</t>
  </si>
  <si>
    <t>RES_MSG</t>
  </si>
  <si>
    <t>RES_CODE</t>
  </si>
  <si>
    <t>MOBII_REF_ID</t>
  </si>
  <si>
    <t>CREATED_DATE</t>
  </si>
  <si>
    <t>DSE</t>
  </si>
  <si>
    <t>no@no.com</t>
  </si>
  <si>
    <t>58558</t>
  </si>
  <si>
    <t>1031</t>
  </si>
  <si>
    <t>10</t>
  </si>
  <si>
    <t>GHANI</t>
  </si>
  <si>
    <t>Ibu</t>
  </si>
  <si>
    <t>20000101</t>
  </si>
  <si>
    <t>20260803</t>
  </si>
  <si>
    <t>20991231</t>
  </si>
  <si>
    <t>Partner Territory</t>
  </si>
  <si>
    <t>Jakarta</t>
  </si>
  <si>
    <t>5001</t>
  </si>
  <si>
    <t>6001</t>
  </si>
  <si>
    <t>7001</t>
  </si>
  <si>
    <t>0000000000000000</t>
  </si>
  <si>
    <t>Nur</t>
  </si>
  <si>
    <t>Ainun</t>
  </si>
  <si>
    <t>Edi</t>
  </si>
  <si>
    <t>Warsono</t>
  </si>
  <si>
    <t>Rizki</t>
  </si>
  <si>
    <t>Wicaksono</t>
  </si>
  <si>
    <t>Repi</t>
  </si>
  <si>
    <t>Anjani</t>
  </si>
  <si>
    <t>Selvi</t>
  </si>
  <si>
    <t>Handayani</t>
  </si>
  <si>
    <t>Junita</t>
  </si>
  <si>
    <t>Riana</t>
  </si>
  <si>
    <t>PRASETYA</t>
  </si>
  <si>
    <t>HUTAMA</t>
  </si>
  <si>
    <t>MUHAMMAD</t>
  </si>
  <si>
    <t>RAFLI</t>
  </si>
  <si>
    <t>SYAHRUL</t>
  </si>
  <si>
    <t>DAEL</t>
  </si>
  <si>
    <t>LEPASCO</t>
  </si>
  <si>
    <t>TONI</t>
  </si>
  <si>
    <t>RISQI</t>
  </si>
  <si>
    <t>RADESTA</t>
  </si>
  <si>
    <t>FICRY</t>
  </si>
  <si>
    <t>DANIAS</t>
  </si>
  <si>
    <t>SUNDAH</t>
  </si>
  <si>
    <t>AGUS</t>
  </si>
  <si>
    <t>KURNIA</t>
  </si>
  <si>
    <t>CIPPY</t>
  </si>
  <si>
    <t>HENDRA</t>
  </si>
  <si>
    <t>MOH</t>
  </si>
  <si>
    <t>IMAM</t>
  </si>
  <si>
    <t>RANO</t>
  </si>
  <si>
    <t>Ringki</t>
  </si>
  <si>
    <t>Harun</t>
  </si>
  <si>
    <t>AAB</t>
  </si>
  <si>
    <t>ABDUL</t>
  </si>
  <si>
    <t>Irfan</t>
  </si>
  <si>
    <t>kamaludin</t>
  </si>
  <si>
    <t>623180000411</t>
  </si>
  <si>
    <t>623180000421</t>
  </si>
  <si>
    <t>623180000431</t>
  </si>
  <si>
    <t>623180000441</t>
  </si>
  <si>
    <t>623180000451</t>
  </si>
  <si>
    <t>623180000461</t>
  </si>
  <si>
    <t>623180000471</t>
  </si>
  <si>
    <t>623180000481</t>
  </si>
  <si>
    <t>623180000491</t>
  </si>
  <si>
    <t>623180000501</t>
  </si>
  <si>
    <t>623180000511</t>
  </si>
  <si>
    <t>623180000521</t>
  </si>
  <si>
    <t>623180000531</t>
  </si>
  <si>
    <t>623180000541</t>
  </si>
  <si>
    <t>623180000551</t>
  </si>
  <si>
    <t>623180000561</t>
  </si>
  <si>
    <t>623180000571</t>
  </si>
  <si>
    <t>623180000581</t>
  </si>
  <si>
    <t>623180000591</t>
  </si>
  <si>
    <t>623180000601</t>
  </si>
  <si>
    <t>623180000611</t>
  </si>
  <si>
    <t>623180000621</t>
  </si>
  <si>
    <t>623180000631</t>
  </si>
  <si>
    <t>623180000641</t>
  </si>
  <si>
    <t>623180000651</t>
  </si>
  <si>
    <t>623180000652</t>
  </si>
  <si>
    <t>FINAL ID DSE OKTOBER</t>
  </si>
  <si>
    <t>STATUS</t>
  </si>
  <si>
    <t>Closed</t>
  </si>
  <si>
    <t>ENTITY_ID_3ID</t>
  </si>
  <si>
    <t>ENTITY_ID_IM3</t>
  </si>
  <si>
    <t>DSEIN1253ID</t>
  </si>
  <si>
    <t>DSEIN1263ID</t>
  </si>
  <si>
    <t>DSEIN1273ID</t>
  </si>
  <si>
    <t>DSEIN1283ID</t>
  </si>
  <si>
    <t>DSEIN1293ID</t>
  </si>
  <si>
    <t>CREATE SALESHUB</t>
  </si>
  <si>
    <t>CREATE MOBO &amp; SALESHUB</t>
  </si>
  <si>
    <t>MOBII</t>
  </si>
  <si>
    <t>MOBO</t>
  </si>
  <si>
    <t>SALESHUB</t>
  </si>
  <si>
    <t>PT IM3</t>
  </si>
  <si>
    <t>PT 3ID</t>
  </si>
  <si>
    <t>DSEIN1303ID</t>
  </si>
  <si>
    <t>KARAWANG</t>
  </si>
  <si>
    <t>SOUTH JAKARTA DEPOK</t>
  </si>
  <si>
    <t>ID RE-CREATE
IM3 - 261007</t>
  </si>
  <si>
    <t>ID RE-CREATE
3ID - 261007</t>
  </si>
  <si>
    <t>STATUS - 261007</t>
  </si>
  <si>
    <t>x</t>
  </si>
  <si>
    <t>DSEIN1313ID</t>
  </si>
  <si>
    <t>DSEIN1323ID</t>
  </si>
  <si>
    <t>DSEIN133</t>
  </si>
  <si>
    <t>DSEIN134</t>
  </si>
  <si>
    <t>BIKIN ULANG</t>
  </si>
  <si>
    <t>CREATE 3ID &amp; SALESHUB</t>
  </si>
  <si>
    <t>CREATE IM3 &amp; SALESHUB</t>
  </si>
  <si>
    <t>MSISDN IM3</t>
  </si>
  <si>
    <t>MSISDN 3ID</t>
  </si>
  <si>
    <t>DSO</t>
  </si>
  <si>
    <t>HOA</t>
  </si>
  <si>
    <t>ADITYA HASANUDDIN</t>
  </si>
  <si>
    <t>RAHAYU UTAMININGSIH</t>
  </si>
  <si>
    <t>MUHAMAD RIFALDI</t>
  </si>
  <si>
    <t>RULLI PRATAMA</t>
  </si>
  <si>
    <t>SUHENDRA</t>
  </si>
  <si>
    <t>MUHAMAD YUNUS HIDAYAT</t>
  </si>
  <si>
    <t>ANANTO PRATIKNO</t>
  </si>
  <si>
    <t>NORMAN PARASIAN</t>
  </si>
  <si>
    <t>RUDI HARDANA DARMAWAN</t>
  </si>
  <si>
    <t>INVENT RADIANTI PRATIWI</t>
  </si>
  <si>
    <t>ARIBOWO</t>
  </si>
  <si>
    <t>FRILA HANDRIANI</t>
  </si>
  <si>
    <t>MUHAMMAD FAUZI</t>
  </si>
  <si>
    <t>FAHMI KURNIANTO</t>
  </si>
  <si>
    <t>ABDUL AZIZ KAMIL RAFIKOLAN</t>
  </si>
  <si>
    <t>RIZKY KURNIAWAN</t>
  </si>
  <si>
    <t>RICHARD YADI SIDAURUK</t>
  </si>
  <si>
    <t>MUHAMMAD GUFRON</t>
  </si>
  <si>
    <t>R. SYARIEF DURAHMAN</t>
  </si>
  <si>
    <t>RIAN SANJAYA SURNA</t>
  </si>
  <si>
    <t>MUHAMAD SHANDI MAULIDRIZKI</t>
  </si>
  <si>
    <t>THEOVILLUS MARTHIN YOHANES</t>
  </si>
  <si>
    <t>SANDY NOPRIANSYAH</t>
  </si>
  <si>
    <t>RONA DWI KARYO</t>
  </si>
  <si>
    <t>ADHITYA PRATAMA</t>
  </si>
  <si>
    <t>WIWIT PRASETYO</t>
  </si>
  <si>
    <t>MOCH ALI AS'AD</t>
  </si>
  <si>
    <t>SEPTIAN AJI PUTRA</t>
  </si>
  <si>
    <t>YUALITA PRASIDA RAMADHANI</t>
  </si>
  <si>
    <t>RINALDO FERNANDES SIREGAR</t>
  </si>
  <si>
    <t>ARIE SETYO PRABOWO</t>
  </si>
  <si>
    <t>AGAM EKANANDA GUMELAR</t>
  </si>
  <si>
    <t>RAIHAAN</t>
  </si>
  <si>
    <t>AHYADI</t>
  </si>
  <si>
    <t>LESTARI A. R.</t>
  </si>
  <si>
    <t>ALDIKA FAYZAL RAHADITYA</t>
  </si>
  <si>
    <t>Ali Sabana</t>
  </si>
  <si>
    <t>Ragus Sularto</t>
  </si>
  <si>
    <t>Roswida Sidauruk</t>
  </si>
  <si>
    <t>Muchlis</t>
  </si>
  <si>
    <t>Budi Priyambodo</t>
  </si>
  <si>
    <t>Apri Sugiyanto</t>
  </si>
  <si>
    <t>Antony Hermanto</t>
  </si>
  <si>
    <t>Propose</t>
  </si>
  <si>
    <t>DSE ID Im3</t>
  </si>
  <si>
    <t>ID RE-CREATE</t>
  </si>
  <si>
    <t>IM3 - 261007</t>
  </si>
  <si>
    <t>3ID - 261007</t>
  </si>
  <si>
    <t>Login SALESHUB</t>
  </si>
  <si>
    <t>RESET PIN IM3</t>
  </si>
  <si>
    <t>RESET PIN 3ID</t>
  </si>
  <si>
    <t>PJP IM3</t>
  </si>
  <si>
    <t>PJP 3ID</t>
  </si>
  <si>
    <t>Inject Saldo IM3</t>
  </si>
  <si>
    <t>Inject Saldo 3ID</t>
  </si>
  <si>
    <t>Sellin SP/VC IM3</t>
  </si>
  <si>
    <t>Sellin SP/VC 3ID</t>
  </si>
  <si>
    <t>perumahan puri lestari</t>
  </si>
  <si>
    <t>gang seroja 11 blok f32/07 sukajaya</t>
  </si>
  <si>
    <t>Kp Pedurenan</t>
  </si>
  <si>
    <t>Rt05</t>
  </si>
  <si>
    <t>Rw011</t>
  </si>
  <si>
    <t>Jatiluhur</t>
  </si>
  <si>
    <t>Jatiasih</t>
  </si>
  <si>
    <t>Bekasi kota</t>
  </si>
  <si>
    <t>DSEJKU14R3ID</t>
  </si>
  <si>
    <t>DSEJKU16R3ID</t>
  </si>
  <si>
    <t>DSEJKU17R3ID</t>
  </si>
  <si>
    <t>DSEJKU18R3ID</t>
  </si>
  <si>
    <t>DSEJKU20R3ID</t>
  </si>
  <si>
    <t>DUSUN KUNINGAN</t>
  </si>
  <si>
    <t xml:space="preserve"> RT.001/RW.008 KABUPATEN LAMPUNG SELATAN 35594</t>
  </si>
  <si>
    <t>DSEJKU19R3ID</t>
  </si>
  <si>
    <t>Feedback by SA Active</t>
  </si>
  <si>
    <t>JLTOLEISKANDAR RT.01/RW.01 KOTA DEPOK 16412</t>
  </si>
  <si>
    <t>JLN SWADAYA 8 NO 29 RT.006/RW.012 KOTA DEPOK 16426</t>
  </si>
  <si>
    <t>JL.RE MARTADINATA</t>
  </si>
  <si>
    <t xml:space="preserve"> RT.5/RW.4 KOTA TANGERANG SELATAN 15411</t>
  </si>
  <si>
    <t>PERUM PURI DINAR ASRI BLOK  N6/10 RT.006/RW.025 KOTA SEMARANG 50275</t>
  </si>
  <si>
    <t>dusun cintasari</t>
  </si>
  <si>
    <t>RT/RW:001/004</t>
  </si>
  <si>
    <t>kel/desa:KERTAMULYA</t>
  </si>
  <si>
    <t>kec:PEDES</t>
  </si>
  <si>
    <t>JL.  DR SUTOMO RT.002/RW.009 KOTA TANGERANG 15157</t>
  </si>
  <si>
    <t>JL KEDOYA RAYA RT.001/RW.007 KOTA JAKARTA BARAT 11520</t>
  </si>
  <si>
    <t>BRANCH/AREA</t>
  </si>
  <si>
    <t>Nama DSE</t>
  </si>
  <si>
    <t>Kode / Sales ID</t>
  </si>
  <si>
    <t>Sales Type</t>
  </si>
  <si>
    <t>Role</t>
  </si>
  <si>
    <t>Brand</t>
  </si>
  <si>
    <t>Territory (Cluster)</t>
  </si>
  <si>
    <t>CSE</t>
  </si>
  <si>
    <t>Telegram</t>
  </si>
  <si>
    <t>Status Telegram</t>
  </si>
  <si>
    <t>Aksi</t>
  </si>
  <si>
    <t>INNER JAKARTA EAST</t>
  </si>
  <si>
    <t>—</t>
  </si>
  <si>
    <t>● Aktif</t>
  </si>
  <si>
    <t>Edit Profil 🔴</t>
  </si>
  <si>
    <t>AGUS TRI BAHONO</t>
  </si>
  <si>
    <t>● Nonaktif</t>
  </si>
  <si>
    <t>Edit Profil 🟢</t>
  </si>
  <si>
    <t>INNER JAKARTA WEST</t>
  </si>
  <si>
    <t>MUHAMMAD REZA FAHLEVI</t>
  </si>
  <si>
    <t>Belum Dicek</t>
  </si>
  <si>
    <t>AAN KOS</t>
  </si>
  <si>
    <t>AAN SETIADI</t>
  </si>
  <si>
    <t>AAR ARDIANSYAH</t>
  </si>
  <si>
    <t>GSE-KARAWANG2</t>
  </si>
  <si>
    <t>GSE</t>
  </si>
  <si>
    <t>USR0037</t>
  </si>
  <si>
    <r>
      <t>Leader CSE/RSE/BSM</t>
    </r>
    <r>
      <rPr>
        <sz val="7"/>
        <color rgb="FF0F172A"/>
        <rFont val="Segoe UI"/>
        <family val="2"/>
      </rPr>
      <t xml:space="preserve"> </t>
    </r>
    <r>
      <rPr>
        <sz val="6"/>
        <color rgb="FFA21CAF"/>
        <rFont val="Segoe UI"/>
        <family val="2"/>
      </rPr>
      <t>+ Store Promotor</t>
    </r>
  </si>
  <si>
    <t>Supervisor</t>
  </si>
  <si>
    <t>NOT BINDED</t>
  </si>
  <si>
    <t>ABDUL HAKIM</t>
  </si>
  <si>
    <t>DSETMUN04</t>
  </si>
  <si>
    <t>ABDUL HALIM SOEMARDI</t>
  </si>
  <si>
    <t>1-136287627234</t>
  </si>
  <si>
    <t>ABDUL ROHIM</t>
  </si>
  <si>
    <t>ABDUL WAHAB IBRAHIM</t>
  </si>
  <si>
    <t>DSF</t>
  </si>
  <si>
    <t>ACHMAD SYARIF</t>
  </si>
  <si>
    <t>DSETMUN07</t>
  </si>
  <si>
    <r>
      <t>DSE</t>
    </r>
    <r>
      <rPr>
        <sz val="7"/>
        <color rgb="FF0F172A"/>
        <rFont val="Segoe UI"/>
        <family val="2"/>
      </rPr>
      <t xml:space="preserve"> </t>
    </r>
    <r>
      <rPr>
        <sz val="6"/>
        <color rgb="FF6D28D9"/>
        <rFont val="Segoe UI"/>
        <family val="2"/>
      </rPr>
      <t>+ DSE Promotor</t>
    </r>
  </si>
  <si>
    <t>USR0052</t>
  </si>
  <si>
    <t>Leader CSE/RSE/BSM</t>
  </si>
  <si>
    <t>ADIAR</t>
  </si>
  <si>
    <t>1-135556558807</t>
  </si>
  <si>
    <t>USR0027</t>
  </si>
  <si>
    <t>AGIL TIRTANA</t>
  </si>
  <si>
    <t>1-28825212122</t>
  </si>
  <si>
    <r>
      <t>DSE Promotor</t>
    </r>
    <r>
      <rPr>
        <sz val="7"/>
        <color rgb="FF0F172A"/>
        <rFont val="Segoe UI"/>
        <family val="2"/>
      </rPr>
      <t xml:space="preserve"> </t>
    </r>
    <r>
      <rPr>
        <sz val="6"/>
        <color rgb="FF1E40AF"/>
        <rFont val="Segoe UI"/>
        <family val="2"/>
      </rPr>
      <t>+ DSE</t>
    </r>
  </si>
  <si>
    <t>AGUS SURYO NUGROHO</t>
  </si>
  <si>
    <t>1-28825212076</t>
  </si>
  <si>
    <t>AHMAD JAMALUDIN</t>
  </si>
  <si>
    <t>CSOBKST-05</t>
  </si>
  <si>
    <t>AHMAD NUROFIQ</t>
  </si>
  <si>
    <t>1-28825212126</t>
  </si>
  <si>
    <t>AHMAD RISKY JUNAEDI</t>
  </si>
  <si>
    <t>GSE-BEKASI7</t>
  </si>
  <si>
    <t>AHMAD SOLIHIN</t>
  </si>
  <si>
    <t>CSOEASTRDK04</t>
  </si>
  <si>
    <t>AHMAD ZULFIKAR FAUJI</t>
  </si>
  <si>
    <t>AHSANI</t>
  </si>
  <si>
    <t>DSECGK02</t>
  </si>
  <si>
    <t>USR0053</t>
  </si>
  <si>
    <t>AJI BAYU TOPAN</t>
  </si>
  <si>
    <t>CSOBKSS-03</t>
  </si>
  <si>
    <t>AJIS SUDRAJAT</t>
  </si>
  <si>
    <t>1-135556558885</t>
  </si>
  <si>
    <t>ALAMSYAH</t>
  </si>
  <si>
    <t>GSE-EAST JAKARTA3</t>
  </si>
  <si>
    <t>ALDI GERALD HERYANA</t>
  </si>
  <si>
    <t>1-28825211900</t>
  </si>
  <si>
    <t>ALDI KRISTIAWAN</t>
  </si>
  <si>
    <t>GSE-KAB BEKASI1</t>
  </si>
  <si>
    <t>ALDI THAMRIN</t>
  </si>
  <si>
    <t>AMIN KURNIAWAN</t>
  </si>
  <si>
    <t>ANANTO</t>
  </si>
  <si>
    <t>DSE0670</t>
  </si>
  <si>
    <t>ANDHIKA PERMANA HADI SAPUTRA</t>
  </si>
  <si>
    <t>DSFINNER04</t>
  </si>
  <si>
    <t>ANDI NOVIAN</t>
  </si>
  <si>
    <t>1-28825212755</t>
  </si>
  <si>
    <t>ANDI WHISNU CHANDRA</t>
  </si>
  <si>
    <t>ANDI WISNU CHANDRA F</t>
  </si>
  <si>
    <t>DSE0749</t>
  </si>
  <si>
    <t>ANDIKA</t>
  </si>
  <si>
    <t>1-28825211910</t>
  </si>
  <si>
    <t>ANDINI OKTAVIANA</t>
  </si>
  <si>
    <t>ANDRI MULYANA</t>
  </si>
  <si>
    <t>CSOEASTRDK03</t>
  </si>
  <si>
    <t>ANDRI WIJANARKO</t>
  </si>
  <si>
    <t>1-135596391609</t>
  </si>
  <si>
    <t>ANDRIAN MULYA PUTRA</t>
  </si>
  <si>
    <t>1-136301153423</t>
  </si>
  <si>
    <t>ANDY PUTRA INTANI</t>
  </si>
  <si>
    <t>ANGGA PRASETYA</t>
  </si>
  <si>
    <t>1-136179672027</t>
  </si>
  <si>
    <t>ANGGI ANGGRAENI</t>
  </si>
  <si>
    <t>DSFINNER05</t>
  </si>
  <si>
    <t>Store Promotor</t>
  </si>
  <si>
    <t>ANGGIT CANDRA MUKTI</t>
  </si>
  <si>
    <t>GSE-BEKASI1</t>
  </si>
  <si>
    <t>ARI PAMBUDI NUGRAHA</t>
  </si>
  <si>
    <t>CSO-SELATAN-02</t>
  </si>
  <si>
    <t>USR0043</t>
  </si>
  <si>
    <t>ARIEF DARMAWAN</t>
  </si>
  <si>
    <t>CS0-SELATAN-09</t>
  </si>
  <si>
    <t>ARIEFARTA JAYADI</t>
  </si>
  <si>
    <t>ARIF BUDIONO</t>
  </si>
  <si>
    <t>1-28825212066</t>
  </si>
  <si>
    <t>ARIS MALAJAYA</t>
  </si>
  <si>
    <t>ARIS STIYANTO</t>
  </si>
  <si>
    <t>1-136301153475</t>
  </si>
  <si>
    <t>ASTUTI</t>
  </si>
  <si>
    <t>DSE0677</t>
  </si>
  <si>
    <t>1-136291164016</t>
  </si>
  <si>
    <t>AURALIA PUTRI</t>
  </si>
  <si>
    <t>1-135596391637</t>
  </si>
  <si>
    <t>AYU WANDIRA</t>
  </si>
  <si>
    <t>Aan nalury</t>
  </si>
  <si>
    <t>DSE0808</t>
  </si>
  <si>
    <r>
      <t>DSE</t>
    </r>
    <r>
      <rPr>
        <sz val="7"/>
        <color rgb="FF0F172A"/>
        <rFont val="Segoe UI"/>
        <family val="2"/>
      </rPr>
      <t xml:space="preserve"> </t>
    </r>
    <r>
      <rPr>
        <sz val="6"/>
        <color rgb="FFA21CAF"/>
        <rFont val="Segoe UI"/>
        <family val="2"/>
      </rPr>
      <t>+ Store Promotor</t>
    </r>
  </si>
  <si>
    <t>Ade Jafar Shodiq</t>
  </si>
  <si>
    <t>DSE0574</t>
  </si>
  <si>
    <t>Ade Novrianto</t>
  </si>
  <si>
    <t>Ade muhidin</t>
  </si>
  <si>
    <t>DSE0768</t>
  </si>
  <si>
    <t>Adini Aulia</t>
  </si>
  <si>
    <t>DSE0729</t>
  </si>
  <si>
    <t>Adnan S Badrun</t>
  </si>
  <si>
    <t>Ady Suhendry</t>
  </si>
  <si>
    <t>DSECIPCIR514</t>
  </si>
  <si>
    <t>Adytia Hasanudin</t>
  </si>
  <si>
    <t>DSE0666</t>
  </si>
  <si>
    <t>Agus Tri bahono</t>
  </si>
  <si>
    <t>DSE0669</t>
  </si>
  <si>
    <t>Ahmad Mustofa</t>
  </si>
  <si>
    <t>USR0005</t>
  </si>
  <si>
    <t>Manager</t>
  </si>
  <si>
    <t>Akhmad Ali Hozi</t>
  </si>
  <si>
    <t>DSE0750</t>
  </si>
  <si>
    <t>Aldika Fayzal Rahaditya</t>
  </si>
  <si>
    <t>DSE0664</t>
  </si>
  <si>
    <t>Aldisya nisrina putri</t>
  </si>
  <si>
    <t>STPRO-IN-M021</t>
  </si>
  <si>
    <t>Hybrid</t>
  </si>
  <si>
    <t>Ali Ibra</t>
  </si>
  <si>
    <t>CSOBKSS-08</t>
  </si>
  <si>
    <t>Ali sabana</t>
  </si>
  <si>
    <t>DSE0667</t>
  </si>
  <si>
    <t>Allifa</t>
  </si>
  <si>
    <t>STPRO-IN-M001X</t>
  </si>
  <si>
    <t>Alviana Natasa Pratiwi</t>
  </si>
  <si>
    <t>DSE0733</t>
  </si>
  <si>
    <t>Ananda sukria</t>
  </si>
  <si>
    <t>DSE0741</t>
  </si>
  <si>
    <t>Anas anwar</t>
  </si>
  <si>
    <t>DSE0578</t>
  </si>
  <si>
    <t>DSE Promotor</t>
  </si>
  <si>
    <t>Andeni safita mutri</t>
  </si>
  <si>
    <t>DSE0701</t>
  </si>
  <si>
    <t>Andrina Budiarti</t>
  </si>
  <si>
    <t>DSE0577</t>
  </si>
  <si>
    <t>Andy Rizaldi</t>
  </si>
  <si>
    <t>DSE0744</t>
  </si>
  <si>
    <t>Angga Sukma</t>
  </si>
  <si>
    <t>1-28825212092</t>
  </si>
  <si>
    <t>Anggi Bunga Zavira</t>
  </si>
  <si>
    <t>DSE0571</t>
  </si>
  <si>
    <t>USR0007</t>
  </si>
  <si>
    <t>Apita Asih Arianti</t>
  </si>
  <si>
    <t>DSE0805</t>
  </si>
  <si>
    <t>Aribowo</t>
  </si>
  <si>
    <t>DSE0583</t>
  </si>
  <si>
    <t>Arif Saepul Ardi</t>
  </si>
  <si>
    <t>DSE0766</t>
  </si>
  <si>
    <t>BAMBANG (NEW DSE)</t>
  </si>
  <si>
    <t>BAMBANG ARIEF BUDIARTO</t>
  </si>
  <si>
    <t>BAMBANG YUDIYANTO</t>
  </si>
  <si>
    <t>BERDY WIDIYANA ANUGRAH</t>
  </si>
  <si>
    <t>1-156243050039</t>
  </si>
  <si>
    <t>BERNANPO YETRO SITANGGANG BERNANPO YETRO SITANGGANG</t>
  </si>
  <si>
    <t>BRAM BASTIAN</t>
  </si>
  <si>
    <t>CSOBUANAJKB30</t>
  </si>
  <si>
    <t>Berri aji samporno</t>
  </si>
  <si>
    <t>Brahma Putra Tsusabath</t>
  </si>
  <si>
    <t>USR0011</t>
  </si>
  <si>
    <t>CHAIRUL</t>
  </si>
  <si>
    <t>CICI SANUSI</t>
  </si>
  <si>
    <t>Chelsia</t>
  </si>
  <si>
    <t>DSE0755</t>
  </si>
  <si>
    <r>
      <t>Store Promotor</t>
    </r>
    <r>
      <rPr>
        <sz val="7"/>
        <color rgb="FF0F172A"/>
        <rFont val="Segoe UI"/>
        <family val="2"/>
      </rPr>
      <t xml:space="preserve"> </t>
    </r>
    <r>
      <rPr>
        <sz val="6"/>
        <color rgb="FF0F172A"/>
        <rFont val="Segoe UI"/>
        <family val="2"/>
      </rPr>
      <t>+ Leader CSE/RSE/BSM</t>
    </r>
  </si>
  <si>
    <t>ChiMoTe</t>
  </si>
  <si>
    <t>BME RGE 07</t>
  </si>
  <si>
    <t>Citra</t>
  </si>
  <si>
    <t>DSE0818</t>
  </si>
  <si>
    <t>DANI RODIANA</t>
  </si>
  <si>
    <t>SH001631</t>
  </si>
  <si>
    <t>DEDI S</t>
  </si>
  <si>
    <t>DEDY R</t>
  </si>
  <si>
    <t>CSOBKST-04</t>
  </si>
  <si>
    <t>DERI JOVANDA</t>
  </si>
  <si>
    <t>DSECGK01</t>
  </si>
  <si>
    <t>DERI YANSAH</t>
  </si>
  <si>
    <t>1-135606329255</t>
  </si>
  <si>
    <t>DERRYS S</t>
  </si>
  <si>
    <t>DEVI INDRIANI</t>
  </si>
  <si>
    <t>DEVIANI TRI SUSANTI</t>
  </si>
  <si>
    <t>DSE0592</t>
  </si>
  <si>
    <t>DEWI ASTUTI</t>
  </si>
  <si>
    <t>DSFINNER09</t>
  </si>
  <si>
    <t>DIDIK NUGROHO SAPUTRA</t>
  </si>
  <si>
    <t>DIKA INDRIAN</t>
  </si>
  <si>
    <t>1-28825212084</t>
  </si>
  <si>
    <t>DIKY CANDRA WINATA</t>
  </si>
  <si>
    <t>DIMAS SATRIO</t>
  </si>
  <si>
    <t>1-135596391745</t>
  </si>
  <si>
    <t>DINDA INEKE WULANDARI</t>
  </si>
  <si>
    <t>DSFTAMBUN01</t>
  </si>
  <si>
    <t>DINDA LOLITA</t>
  </si>
  <si>
    <t>SH024562</t>
  </si>
  <si>
    <t>DINI FABIANTO</t>
  </si>
  <si>
    <t>GSE-CIBITUNG 3ID</t>
  </si>
  <si>
    <t>DJOKO SUBROTO</t>
  </si>
  <si>
    <t>DODY FAHAMSYAH</t>
  </si>
  <si>
    <t>DODY S</t>
  </si>
  <si>
    <t>DWI APRILLIANI</t>
  </si>
  <si>
    <t>Dede Nurlina</t>
  </si>
  <si>
    <t>DSE0765</t>
  </si>
  <si>
    <t>Dedeh amalia</t>
  </si>
  <si>
    <t>DSE0823</t>
  </si>
  <si>
    <t>Denda Safutry</t>
  </si>
  <si>
    <t>DSE0820</t>
  </si>
  <si>
    <t>Deni Kristian</t>
  </si>
  <si>
    <t>DSEDURSAW954</t>
  </si>
  <si>
    <r>
      <t>DSE</t>
    </r>
    <r>
      <rPr>
        <sz val="7"/>
        <color rgb="FF0F172A"/>
        <rFont val="Segoe UI"/>
        <family val="2"/>
      </rPr>
      <t xml:space="preserve"> </t>
    </r>
    <r>
      <rPr>
        <sz val="6"/>
        <color rgb="FF0F172A"/>
        <rFont val="Segoe UI"/>
        <family val="2"/>
      </rPr>
      <t>+ Leader CSE/RSE/BSM</t>
    </r>
  </si>
  <si>
    <t>Denova Rahmawati</t>
  </si>
  <si>
    <t>DSE0697</t>
  </si>
  <si>
    <t>Desi Haryanti</t>
  </si>
  <si>
    <t>DSE0797</t>
  </si>
  <si>
    <t>Dhika amran ghozali</t>
  </si>
  <si>
    <t>DSE0819</t>
  </si>
  <si>
    <t>Dian Febrianti</t>
  </si>
  <si>
    <t>DSE0804</t>
  </si>
  <si>
    <t>Didik Ari Budiyanto</t>
  </si>
  <si>
    <t>1-28825211912</t>
  </si>
  <si>
    <t>Diky Candra Winata</t>
  </si>
  <si>
    <t>DSE0721</t>
  </si>
  <si>
    <t>Dimas Andri Riyanto</t>
  </si>
  <si>
    <t>STPRO-IN-M024</t>
  </si>
  <si>
    <t>Doni</t>
  </si>
  <si>
    <t>1-186304119430</t>
  </si>
  <si>
    <t>Doni ariyanto</t>
  </si>
  <si>
    <t>DSE0740</t>
  </si>
  <si>
    <t>EBIT JUNAEDI</t>
  </si>
  <si>
    <t>DSFINNER01</t>
  </si>
  <si>
    <t>EDI WARSONO</t>
  </si>
  <si>
    <t>EDO WARDO HUTAHEAN</t>
  </si>
  <si>
    <t>1-28825212751</t>
  </si>
  <si>
    <t>EGA FITRIANSYAH SAPUTRA</t>
  </si>
  <si>
    <t>EGI LAZUARDY WAHYUDY</t>
  </si>
  <si>
    <t>EKO PURNAMA JAYA ATIP</t>
  </si>
  <si>
    <t>EKO STYAWAN</t>
  </si>
  <si>
    <t>GSE-KAB BEKASI3</t>
  </si>
  <si>
    <t>ELFIYANSYAH</t>
  </si>
  <si>
    <t>ERIK DWIYANTO</t>
  </si>
  <si>
    <t>ERIK ZULFIKAR</t>
  </si>
  <si>
    <t>SH004213</t>
  </si>
  <si>
    <t>Edi guntoro</t>
  </si>
  <si>
    <t>DSE0675</t>
  </si>
  <si>
    <t>Egipratama</t>
  </si>
  <si>
    <t>DSE0828</t>
  </si>
  <si>
    <r>
      <t>DSE Promotor</t>
    </r>
    <r>
      <rPr>
        <sz val="7"/>
        <color rgb="FF0F172A"/>
        <rFont val="Segoe UI"/>
        <family val="2"/>
      </rPr>
      <t xml:space="preserve"> </t>
    </r>
    <r>
      <rPr>
        <sz val="6"/>
        <color rgb="FFA21CAF"/>
        <rFont val="Segoe UI"/>
        <family val="2"/>
      </rPr>
      <t>+ Store Promotor</t>
    </r>
  </si>
  <si>
    <t>Ela Rusdiah</t>
  </si>
  <si>
    <t>Elina Annindya</t>
  </si>
  <si>
    <t>DSE0821</t>
  </si>
  <si>
    <t>Elly</t>
  </si>
  <si>
    <t>DSFTrial02</t>
  </si>
  <si>
    <t>Erick</t>
  </si>
  <si>
    <t>Erwin Jamaludin</t>
  </si>
  <si>
    <t>1-135606329203</t>
  </si>
  <si>
    <t>Erwin Santoso</t>
  </si>
  <si>
    <t>Evie noviani</t>
  </si>
  <si>
    <t>DSE0815</t>
  </si>
  <si>
    <t>USR0038</t>
  </si>
  <si>
    <t>FAISAL FACHRUDDIN P.</t>
  </si>
  <si>
    <t>FARID HIDAYAT</t>
  </si>
  <si>
    <t>FATURROHMAN AL BADRI</t>
  </si>
  <si>
    <t>1-136179672261</t>
  </si>
  <si>
    <t>FAUSIAH ERLYTA</t>
  </si>
  <si>
    <t>GSE-BEKASI5</t>
  </si>
  <si>
    <t>FIKRI ABDULLAH</t>
  </si>
  <si>
    <t>CSOEASTRDK10</t>
  </si>
  <si>
    <t>FIRMAN NUR HIDAYAT</t>
  </si>
  <si>
    <t>DSE0730</t>
  </si>
  <si>
    <t>FITRIA ARDITA</t>
  </si>
  <si>
    <t>DSE0711</t>
  </si>
  <si>
    <t>FITRIA RACHMA NINGSIH</t>
  </si>
  <si>
    <t>DSFINNER03</t>
  </si>
  <si>
    <t>USR0041</t>
  </si>
  <si>
    <t>Fachriansyah</t>
  </si>
  <si>
    <t>1-136173742173</t>
  </si>
  <si>
    <t>Fadly Nawawi</t>
  </si>
  <si>
    <t>Faisal Fadilah</t>
  </si>
  <si>
    <t>DSE0777</t>
  </si>
  <si>
    <t>Faisal Mudrika/Laraswati Indah Anggraeni (agustus)</t>
  </si>
  <si>
    <t>1-28825211918</t>
  </si>
  <si>
    <t>Fauzan Nawawi</t>
  </si>
  <si>
    <t>1-136287627056</t>
  </si>
  <si>
    <t>Ferga</t>
  </si>
  <si>
    <t>DSE0696</t>
  </si>
  <si>
    <t>Feri</t>
  </si>
  <si>
    <t>DSE0695</t>
  </si>
  <si>
    <t>Firdiani Dihan</t>
  </si>
  <si>
    <t>USR0001</t>
  </si>
  <si>
    <t>Firli Aprilia</t>
  </si>
  <si>
    <t>1-135606329099</t>
  </si>
  <si>
    <t>Fitri Tansya Trisna</t>
  </si>
  <si>
    <t>STPRO-IN-M016</t>
  </si>
  <si>
    <t>Fitri purnamasari</t>
  </si>
  <si>
    <t>STPRO-IN-M020</t>
  </si>
  <si>
    <t>Fitria Ningsih</t>
  </si>
  <si>
    <t>DSE0761</t>
  </si>
  <si>
    <t>Futri Rakaatturohimah F</t>
  </si>
  <si>
    <t>DSE0746</t>
  </si>
  <si>
    <t>GABRIEL ROSALINDA AGATHA</t>
  </si>
  <si>
    <t>SH023263</t>
  </si>
  <si>
    <t>GILANG AL FARIZZY</t>
  </si>
  <si>
    <t>GSE_BEKASI2</t>
  </si>
  <si>
    <t>Galuh Putri Aninditiya</t>
  </si>
  <si>
    <t>DSE0698</t>
  </si>
  <si>
    <t>Givany Nur Cahyo</t>
  </si>
  <si>
    <t>Guruh Jatibuana</t>
  </si>
  <si>
    <t>Gusna Welly</t>
  </si>
  <si>
    <t>DSE0770</t>
  </si>
  <si>
    <t>HAMDAN PERMANA</t>
  </si>
  <si>
    <t>DSERNAK09</t>
  </si>
  <si>
    <t>HARIS</t>
  </si>
  <si>
    <t>DSFINNER006</t>
  </si>
  <si>
    <t>HARY KRISTIANTO</t>
  </si>
  <si>
    <t>DSETMUN03</t>
  </si>
  <si>
    <t>1-28825212114</t>
  </si>
  <si>
    <t>HENDRA SAPUTRA</t>
  </si>
  <si>
    <t>1-28825212062</t>
  </si>
  <si>
    <t>HENDRA SUKMAMULYA</t>
  </si>
  <si>
    <t>SH032681</t>
  </si>
  <si>
    <t>HERY APRIYANTO</t>
  </si>
  <si>
    <t>HERY CHRISTIAN</t>
  </si>
  <si>
    <t>HIKMAH RAMADHAN</t>
  </si>
  <si>
    <t>HILAL</t>
  </si>
  <si>
    <t>CSOBUANAJKB0171</t>
  </si>
  <si>
    <t>Hadi Marwanto</t>
  </si>
  <si>
    <t>CSOBKSS-20</t>
  </si>
  <si>
    <t>Hafiz almufdi</t>
  </si>
  <si>
    <t>DSE0786</t>
  </si>
  <si>
    <t>Halimatus Sa'diyah</t>
  </si>
  <si>
    <t>DSE0803</t>
  </si>
  <si>
    <t>Hasta Putri Citra Dewi</t>
  </si>
  <si>
    <t>DSE0707</t>
  </si>
  <si>
    <t>Heri Saputra</t>
  </si>
  <si>
    <t>1-28824968788</t>
  </si>
  <si>
    <t>Heri Subianto</t>
  </si>
  <si>
    <t>USR0002</t>
  </si>
  <si>
    <t>Hermansyah</t>
  </si>
  <si>
    <t>Hestiono Nugrahadi</t>
  </si>
  <si>
    <t>USR0013</t>
  </si>
  <si>
    <t>IDHAM ROSADI</t>
  </si>
  <si>
    <t>IDIK PERMANA</t>
  </si>
  <si>
    <t>DSE0810</t>
  </si>
  <si>
    <t>IHSAN RIYADLUL</t>
  </si>
  <si>
    <t>IKBAL ZAELANI</t>
  </si>
  <si>
    <t>DSE0706</t>
  </si>
  <si>
    <t>IMAM FACHRUROZI</t>
  </si>
  <si>
    <t>1-28825212054</t>
  </si>
  <si>
    <t>IMAM YUSKY</t>
  </si>
  <si>
    <t>INDAH FITRIYASARI</t>
  </si>
  <si>
    <t>DSE0671</t>
  </si>
  <si>
    <t>INDAH KURNIAWATI</t>
  </si>
  <si>
    <t>INDRIYANTI</t>
  </si>
  <si>
    <t>DSE0731</t>
  </si>
  <si>
    <t>INRI VERONICA R</t>
  </si>
  <si>
    <t>DSFINNER07</t>
  </si>
  <si>
    <t>IRFAN SAPTIAN</t>
  </si>
  <si>
    <t>IVAN KURNIAWAN</t>
  </si>
  <si>
    <t>1-135598410108</t>
  </si>
  <si>
    <t>Ilham Setioadji</t>
  </si>
  <si>
    <t>DSE0572</t>
  </si>
  <si>
    <t>Ina Triana</t>
  </si>
  <si>
    <t>USR0008</t>
  </si>
  <si>
    <t>Intan Azzahra</t>
  </si>
  <si>
    <t>DSE0771</t>
  </si>
  <si>
    <t>Intan Septiana putri</t>
  </si>
  <si>
    <t>DSE0709</t>
  </si>
  <si>
    <t>Invent Radianti</t>
  </si>
  <si>
    <t>DSE0679</t>
  </si>
  <si>
    <t>Irma Oktaviani</t>
  </si>
  <si>
    <t>DSE0716</t>
  </si>
  <si>
    <t>Istiqomah</t>
  </si>
  <si>
    <t>DSE0540</t>
  </si>
  <si>
    <t>JEJEN ZAENAL MUTTAQIN</t>
  </si>
  <si>
    <t>JOKO WIDODO</t>
  </si>
  <si>
    <t>JUNITARIANA BR. TARINGAN</t>
  </si>
  <si>
    <t>Jamaludin</t>
  </si>
  <si>
    <t>1-135606329177</t>
  </si>
  <si>
    <t>Jeni pratiwi</t>
  </si>
  <si>
    <t>DSE0802</t>
  </si>
  <si>
    <t>Joko Sasongko</t>
  </si>
  <si>
    <t>BME RGE REGION 1</t>
  </si>
  <si>
    <t>KEKEN ARJUNA</t>
  </si>
  <si>
    <t>CSO-SELATAN-05</t>
  </si>
  <si>
    <t>KHINANTI MULYA SETYAWATI</t>
  </si>
  <si>
    <t>KUNJANG MUGNI ALKAROMI</t>
  </si>
  <si>
    <t>KUSWORO</t>
  </si>
  <si>
    <t>Keisya Maryam</t>
  </si>
  <si>
    <t>DSE0796</t>
  </si>
  <si>
    <t>Kondang david Hidayat</t>
  </si>
  <si>
    <t>DSE0792</t>
  </si>
  <si>
    <t>Kristin meilestari</t>
  </si>
  <si>
    <t>DSE0714</t>
  </si>
  <si>
    <t>Kurnia safitri</t>
  </si>
  <si>
    <t>DSE0659</t>
  </si>
  <si>
    <t>Kus Junaedi</t>
  </si>
  <si>
    <t>DSE0674</t>
  </si>
  <si>
    <t>Kusdaryadi</t>
  </si>
  <si>
    <t>LAILIA MUFARRIHA</t>
  </si>
  <si>
    <t>DSFIM3INR01</t>
  </si>
  <si>
    <t>USR0033</t>
  </si>
  <si>
    <t>Laila Ramadhani</t>
  </si>
  <si>
    <t>DSE0753</t>
  </si>
  <si>
    <t>Leli lelasari</t>
  </si>
  <si>
    <t>DSE0778</t>
  </si>
  <si>
    <t>Lia</t>
  </si>
  <si>
    <t>STPRO-IN-M019</t>
  </si>
  <si>
    <t>Lingga</t>
  </si>
  <si>
    <t>CSOBKSS-14</t>
  </si>
  <si>
    <t>M ALZIKRI</t>
  </si>
  <si>
    <t>M RIZKI</t>
  </si>
  <si>
    <t>DSE0763</t>
  </si>
  <si>
    <t>M SLAMET</t>
  </si>
  <si>
    <t>M.ALHAFIZHUDDIN IZHAR</t>
  </si>
  <si>
    <t>DSE0591</t>
  </si>
  <si>
    <t>MADHASAN</t>
  </si>
  <si>
    <t>1-28825212118</t>
  </si>
  <si>
    <t>MARISSA DWI UTAMI</t>
  </si>
  <si>
    <t>CSOBUANAJKB18</t>
  </si>
  <si>
    <t>MAYDANUL RIZKI</t>
  </si>
  <si>
    <t>DSE0752</t>
  </si>
  <si>
    <t>USR0023</t>
  </si>
  <si>
    <r>
      <t>Leader CSE/RSE/BSM</t>
    </r>
    <r>
      <rPr>
        <sz val="7"/>
        <color rgb="FF0F172A"/>
        <rFont val="Segoe UI"/>
        <family val="2"/>
      </rPr>
      <t xml:space="preserve"> </t>
    </r>
    <r>
      <rPr>
        <sz val="6"/>
        <color rgb="FF1E40AF"/>
        <rFont val="Segoe UI"/>
        <family val="2"/>
      </rPr>
      <t>+ DSE</t>
    </r>
  </si>
  <si>
    <t>MOCH SECONDSON BAHYANGKORO</t>
  </si>
  <si>
    <t>GSE-CIBITUNG Im3</t>
  </si>
  <si>
    <t>GSE-BEKASI4</t>
  </si>
  <si>
    <t>MUHAMAD IMAM SAPTIAJI</t>
  </si>
  <si>
    <t>MUHAMAD RIDWAN</t>
  </si>
  <si>
    <t>GSE-KAB BEKASI4</t>
  </si>
  <si>
    <t>USR0029</t>
  </si>
  <si>
    <t>USR0049</t>
  </si>
  <si>
    <t>MUHAMAD TAUFIQ</t>
  </si>
  <si>
    <t>DSE0676</t>
  </si>
  <si>
    <t>MUHAMMAD AGIM ROMADHON</t>
  </si>
  <si>
    <t>DSE0831</t>
  </si>
  <si>
    <t>DSE0832</t>
  </si>
  <si>
    <t>MUHAMMAD AMARUDIN</t>
  </si>
  <si>
    <t>MUHAMMAD FAISAL</t>
  </si>
  <si>
    <t>USR0040</t>
  </si>
  <si>
    <t>MUHAMMAD FIRNANDA PUTRA PRAYOGA</t>
  </si>
  <si>
    <t>GSE_Bekasi6</t>
  </si>
  <si>
    <t>USR0022</t>
  </si>
  <si>
    <t>1-136179672079</t>
  </si>
  <si>
    <t>MUHAMMAD IRFAN ARDIANSYAH</t>
  </si>
  <si>
    <t>1-28825212136</t>
  </si>
  <si>
    <t>MUHAMMAD IRWAN GOZALI</t>
  </si>
  <si>
    <t>CSO-UTARA10</t>
  </si>
  <si>
    <t>MUHAMMAD LUKMAN HAKIM</t>
  </si>
  <si>
    <t>MUHAMMAD SATRIO</t>
  </si>
  <si>
    <t>MUMTAZ AFIYATI YASYKUR</t>
  </si>
  <si>
    <t>DSE0587</t>
  </si>
  <si>
    <t>MYNAR SILVANI</t>
  </si>
  <si>
    <t>GSE-KARAWANG1</t>
  </si>
  <si>
    <t>Maggy</t>
  </si>
  <si>
    <t>BME RGE 1</t>
  </si>
  <si>
    <t>Masrufah</t>
  </si>
  <si>
    <t>DSE0760</t>
  </si>
  <si>
    <t>Maulana Ihsan</t>
  </si>
  <si>
    <t>DSE0826</t>
  </si>
  <si>
    <t>Mesya Helmalia Putri</t>
  </si>
  <si>
    <t>DSE0727</t>
  </si>
  <si>
    <t>Miftahudin Zaelani</t>
  </si>
  <si>
    <t>DSE0732</t>
  </si>
  <si>
    <t>Muchammad Ariful Fikri</t>
  </si>
  <si>
    <t>1-28825212104</t>
  </si>
  <si>
    <t>DSE0748</t>
  </si>
  <si>
    <t>Muhadi</t>
  </si>
  <si>
    <t>Muhamad Ade Indrawan</t>
  </si>
  <si>
    <t>1-28825211916</t>
  </si>
  <si>
    <t>Muhamad Firdaus</t>
  </si>
  <si>
    <t>Muhamad Yunus Hidayat</t>
  </si>
  <si>
    <t>DSE0660</t>
  </si>
  <si>
    <t>Muhamad sarjono</t>
  </si>
  <si>
    <t>DSE0742</t>
  </si>
  <si>
    <t>Muhammad Eza Azka Muzakki</t>
  </si>
  <si>
    <t>DSE0734</t>
  </si>
  <si>
    <t>Muhammad Nurhuda</t>
  </si>
  <si>
    <t>DSE0816</t>
  </si>
  <si>
    <t>Muhammad Reza Fahlevi</t>
  </si>
  <si>
    <t>DSE0678</t>
  </si>
  <si>
    <t>Muhammad Rizaldi</t>
  </si>
  <si>
    <t>Muhammad Zulfikar</t>
  </si>
  <si>
    <t>Mustakim</t>
  </si>
  <si>
    <t>DSEDURSAW705</t>
  </si>
  <si>
    <t>Mutia Irvina R</t>
  </si>
  <si>
    <t>DSE0726</t>
  </si>
  <si>
    <t>NIKEN AYU LIESTYOWATI</t>
  </si>
  <si>
    <t>DSE0680</t>
  </si>
  <si>
    <t>USR0034</t>
  </si>
  <si>
    <t>NUR AINUN</t>
  </si>
  <si>
    <t>NURHARIKI</t>
  </si>
  <si>
    <t>NURSARANITA</t>
  </si>
  <si>
    <t>NURUL AKBAR</t>
  </si>
  <si>
    <t>CSOBKST-19</t>
  </si>
  <si>
    <t>Nafinsa Bunga Ramadhan</t>
  </si>
  <si>
    <t>STPRO-IN-M022</t>
  </si>
  <si>
    <t>Nahrawi Regi Saputra</t>
  </si>
  <si>
    <t>1-135606436381</t>
  </si>
  <si>
    <t>Nuril Anwar</t>
  </si>
  <si>
    <t>CSO-LOKADPK01</t>
  </si>
  <si>
    <t>Nurul ianatul Aliyah</t>
  </si>
  <si>
    <t>DSE0747</t>
  </si>
  <si>
    <t>OHAN SOLIHAN</t>
  </si>
  <si>
    <t>PRJAYAIN1080</t>
  </si>
  <si>
    <t>OJO JOHAN</t>
  </si>
  <si>
    <t>CSO-UTARA-07</t>
  </si>
  <si>
    <t>OKI SETIAWAN</t>
  </si>
  <si>
    <t>PONCO HERU MULYONO</t>
  </si>
  <si>
    <t>1-136301153501</t>
  </si>
  <si>
    <t>PURNOMO</t>
  </si>
  <si>
    <t>PURWANTO</t>
  </si>
  <si>
    <t>Panisa Amelia Sapitri</t>
  </si>
  <si>
    <t>DSE0787</t>
  </si>
  <si>
    <t>Perdana Waleley</t>
  </si>
  <si>
    <t>Putri Aprilia</t>
  </si>
  <si>
    <t>DSE0785</t>
  </si>
  <si>
    <t>Putri Nur Komala</t>
  </si>
  <si>
    <t>Putri Salma</t>
  </si>
  <si>
    <t>DSE0756</t>
  </si>
  <si>
    <t>Putri anisa anggraini</t>
  </si>
  <si>
    <t>STPRO-IN-M028</t>
  </si>
  <si>
    <t>R Syarief Durahman</t>
  </si>
  <si>
    <t>DSE0665</t>
  </si>
  <si>
    <t>RADESTA FICRI</t>
  </si>
  <si>
    <t>CSO-UTARA-08</t>
  </si>
  <si>
    <t>RAFLI PERMANA</t>
  </si>
  <si>
    <t>USR0024</t>
  </si>
  <si>
    <t>RAHMAT MULYONO</t>
  </si>
  <si>
    <t>1-28825212050</t>
  </si>
  <si>
    <t>RAYHAN NURCHANI MUFID</t>
  </si>
  <si>
    <t>GSE-KARAWANG3</t>
  </si>
  <si>
    <t>REDOYAN PRAMUDIA</t>
  </si>
  <si>
    <t>DSE0822</t>
  </si>
  <si>
    <t>REGI PURNOMO</t>
  </si>
  <si>
    <t>RENDRA YURIAWAN SUHARNO</t>
  </si>
  <si>
    <t>1-28825212110</t>
  </si>
  <si>
    <t>RENDY JUNIAWAN SAPUTRA</t>
  </si>
  <si>
    <t>RENI YULIANI</t>
  </si>
  <si>
    <t>DSE0724</t>
  </si>
  <si>
    <t>REPI ANJANI</t>
  </si>
  <si>
    <t>RESTU S</t>
  </si>
  <si>
    <t>REZA AKBAR</t>
  </si>
  <si>
    <t>REZA HIDAYAT</t>
  </si>
  <si>
    <t>USR0039</t>
  </si>
  <si>
    <t>RICHI FAJAR RIBOWO</t>
  </si>
  <si>
    <t>1-136287627004</t>
  </si>
  <si>
    <t>RIDHO RIFAI</t>
  </si>
  <si>
    <t>RIDWAN MALIK</t>
  </si>
  <si>
    <t>CSO-LOKADPK28</t>
  </si>
  <si>
    <t>RIKA ADE WULANDARI</t>
  </si>
  <si>
    <t>DSE0781</t>
  </si>
  <si>
    <t>USR0044</t>
  </si>
  <si>
    <t>RIZA JULIANSYAH</t>
  </si>
  <si>
    <t>RIZKI WICAKSONO</t>
  </si>
  <si>
    <t>RIZKY ANDRIYANTO</t>
  </si>
  <si>
    <t>USR0057</t>
  </si>
  <si>
    <t>RIZKY RAMDHANI</t>
  </si>
  <si>
    <t>1-135606436083</t>
  </si>
  <si>
    <t>ROFAIL</t>
  </si>
  <si>
    <t>CSOBKSB-01</t>
  </si>
  <si>
    <t>ROIS</t>
  </si>
  <si>
    <t>DSE0754</t>
  </si>
  <si>
    <t>1-135598410135</t>
  </si>
  <si>
    <t>ROY MARTIN</t>
  </si>
  <si>
    <t>CSO-UTARA-01</t>
  </si>
  <si>
    <t>USR0036</t>
  </si>
  <si>
    <t>RUFAL DWI SUTTA</t>
  </si>
  <si>
    <t>1-186299433171</t>
  </si>
  <si>
    <t>RYAN HIDAYAT</t>
  </si>
  <si>
    <t>Rachmat Maulana</t>
  </si>
  <si>
    <t>DSE0661</t>
  </si>
  <si>
    <t>USR0006</t>
  </si>
  <si>
    <t>Rahayu Sukma</t>
  </si>
  <si>
    <t>BME RGE 02</t>
  </si>
  <si>
    <t>Rahmat Hidayat</t>
  </si>
  <si>
    <t>DSE0723</t>
  </si>
  <si>
    <t>Raihaan</t>
  </si>
  <si>
    <t>DSE0663</t>
  </si>
  <si>
    <t>Resa Maulida</t>
  </si>
  <si>
    <t>STPRO-IN-M011</t>
  </si>
  <si>
    <t>Rian Sanjaya</t>
  </si>
  <si>
    <t>DSE0668</t>
  </si>
  <si>
    <t>Rica gustian</t>
  </si>
  <si>
    <t>DSE0736</t>
  </si>
  <si>
    <t>Ricky Febrianto</t>
  </si>
  <si>
    <t>STPRO-IN-M002</t>
  </si>
  <si>
    <t>DSE0774</t>
  </si>
  <si>
    <t>Riki Irawan</t>
  </si>
  <si>
    <t>DSE0829</t>
  </si>
  <si>
    <t>DSE0827</t>
  </si>
  <si>
    <t>DSE0830</t>
  </si>
  <si>
    <t>Rini Angraeni</t>
  </si>
  <si>
    <t>DSE0759</t>
  </si>
  <si>
    <t>Risma septiani</t>
  </si>
  <si>
    <t>DSE0720</t>
  </si>
  <si>
    <t>Rixan Abdul Afif</t>
  </si>
  <si>
    <t>Rizky fadilah</t>
  </si>
  <si>
    <t>Rohita</t>
  </si>
  <si>
    <t>DSE0582</t>
  </si>
  <si>
    <t>Rona Dwi Karyo</t>
  </si>
  <si>
    <t>DSE0662</t>
  </si>
  <si>
    <t>USR0021</t>
  </si>
  <si>
    <t>Rulli Pratama</t>
  </si>
  <si>
    <t>DSE0738</t>
  </si>
  <si>
    <t>Ryan Adriadi</t>
  </si>
  <si>
    <t>DSE0795</t>
  </si>
  <si>
    <t>Ryan Setiadi</t>
  </si>
  <si>
    <t>DSE0793</t>
  </si>
  <si>
    <t>Leader CSE/RSE/BSM outer</t>
  </si>
  <si>
    <t>SAEFUL HANIF</t>
  </si>
  <si>
    <t>SAHRUL</t>
  </si>
  <si>
    <t>SAIFUL JAMAL</t>
  </si>
  <si>
    <t>SAMSUDIN UMAR</t>
  </si>
  <si>
    <t>CSOBKSB-07</t>
  </si>
  <si>
    <t>SAPINAH MAWARNI</t>
  </si>
  <si>
    <t>CSOBUANAJKB07</t>
  </si>
  <si>
    <t>SELA TRI AMELIA</t>
  </si>
  <si>
    <t>DSE0788</t>
  </si>
  <si>
    <t>SELVI HANDAYANI</t>
  </si>
  <si>
    <t>USR0046</t>
  </si>
  <si>
    <t>SITI AISYAH</t>
  </si>
  <si>
    <t>SITI HALIMAH</t>
  </si>
  <si>
    <t>JAKPUSSF08</t>
  </si>
  <si>
    <t>SLAMET IRZADH DIANGGARA</t>
  </si>
  <si>
    <t>GSE-KAB BEKASI5</t>
  </si>
  <si>
    <t>SOLIH KISWANTO</t>
  </si>
  <si>
    <t>1-28824968780</t>
  </si>
  <si>
    <t>SOPHIA ROSEMELIA</t>
  </si>
  <si>
    <t>DSFJAKSEL002</t>
  </si>
  <si>
    <t>SUHENDAR</t>
  </si>
  <si>
    <t>1-28825212082</t>
  </si>
  <si>
    <t>SUHENDI</t>
  </si>
  <si>
    <t>DSE0704</t>
  </si>
  <si>
    <t>USR0054</t>
  </si>
  <si>
    <t>SUNIA PUTRI</t>
  </si>
  <si>
    <t>1-28825211812</t>
  </si>
  <si>
    <t>SUPRIYONO</t>
  </si>
  <si>
    <t>JAKUTSF13</t>
  </si>
  <si>
    <t>SYAIFUL</t>
  </si>
  <si>
    <t>SYARIFAH WANDA</t>
  </si>
  <si>
    <t>Saidina Hamzah</t>
  </si>
  <si>
    <t>Sandra</t>
  </si>
  <si>
    <t>DSE0762</t>
  </si>
  <si>
    <t>Sandy Nopriansyah</t>
  </si>
  <si>
    <t>DSE0751</t>
  </si>
  <si>
    <t>Sandy Saputra</t>
  </si>
  <si>
    <t>Sardianto</t>
  </si>
  <si>
    <t>DSECKNG01</t>
  </si>
  <si>
    <t>Sayadi Mahmud</t>
  </si>
  <si>
    <t>Senna Syeptian</t>
  </si>
  <si>
    <t>USR0065</t>
  </si>
  <si>
    <t>Setio Hadi Wibowo</t>
  </si>
  <si>
    <t>DSE0713</t>
  </si>
  <si>
    <t>Shafira Maharani</t>
  </si>
  <si>
    <t>STPRO-IN-M010</t>
  </si>
  <si>
    <t>Shelina Roydinata Safira</t>
  </si>
  <si>
    <t>DSE0800</t>
  </si>
  <si>
    <t>Silvia Murnia</t>
  </si>
  <si>
    <t>STPRO-IN-M004</t>
  </si>
  <si>
    <t>Siti Faridatun</t>
  </si>
  <si>
    <t>STPRO-IN-M025</t>
  </si>
  <si>
    <t>Siti Nabila</t>
  </si>
  <si>
    <t>BME RGE 05</t>
  </si>
  <si>
    <t>Sri Hartati</t>
  </si>
  <si>
    <t>DSE0814</t>
  </si>
  <si>
    <t>Steby Arnanda</t>
  </si>
  <si>
    <t>DSE0769</t>
  </si>
  <si>
    <t>Sugiono</t>
  </si>
  <si>
    <t>1-186304119362</t>
  </si>
  <si>
    <t>Sulendra</t>
  </si>
  <si>
    <t>Sumianto</t>
  </si>
  <si>
    <t>DSE0789</t>
  </si>
  <si>
    <t>Surya Falah</t>
  </si>
  <si>
    <t>DSE0699</t>
  </si>
  <si>
    <t>Syaiful Ogi Hekmatiar</t>
  </si>
  <si>
    <t>DSE0767</t>
  </si>
  <si>
    <t>Syarif Hidayat</t>
  </si>
  <si>
    <t>USR0018</t>
  </si>
  <si>
    <t>Syarif Hidayatulloh</t>
  </si>
  <si>
    <t>DSE0573</t>
  </si>
  <si>
    <t>Syifa Fauziyah</t>
  </si>
  <si>
    <t>1-28824968800</t>
  </si>
  <si>
    <t>USR0026</t>
  </si>
  <si>
    <t>TOMMY</t>
  </si>
  <si>
    <t>TRI ADI P</t>
  </si>
  <si>
    <t>TRI ATMOKO</t>
  </si>
  <si>
    <t>TRIAS PRABOWO</t>
  </si>
  <si>
    <t>1-136297797487</t>
  </si>
  <si>
    <t>TRIAS YANUAR ISNAENI</t>
  </si>
  <si>
    <t>1-28825211886</t>
  </si>
  <si>
    <t>TRIYANTO</t>
  </si>
  <si>
    <t>CSOBKSB-05</t>
  </si>
  <si>
    <t>TUBAGUS MIFTAH HULJANNAH</t>
  </si>
  <si>
    <t>1-135606329307</t>
  </si>
  <si>
    <t>Tania Karamaya</t>
  </si>
  <si>
    <t>DSE0735</t>
  </si>
  <si>
    <t>Taopik Al gipari</t>
  </si>
  <si>
    <t>DSE0782</t>
  </si>
  <si>
    <t>Teguh Mandella</t>
  </si>
  <si>
    <t>CSO-LOKADPK10</t>
  </si>
  <si>
    <t>Tina Rosmayanti</t>
  </si>
  <si>
    <t>DSE0708</t>
  </si>
  <si>
    <t>Tiolina</t>
  </si>
  <si>
    <t>DSE0002</t>
  </si>
  <si>
    <t>Tofik hidayat</t>
  </si>
  <si>
    <t>Tri Wahyuni</t>
  </si>
  <si>
    <t>DSE0764</t>
  </si>
  <si>
    <t>TrialHOR</t>
  </si>
  <si>
    <t>DSFTrial01</t>
  </si>
  <si>
    <t>UKON SUKRON</t>
  </si>
  <si>
    <t>1-135606328995</t>
  </si>
  <si>
    <t>UMAR</t>
  </si>
  <si>
    <t>Udin syamsudin</t>
  </si>
  <si>
    <t>STPRO-IN-M018</t>
  </si>
  <si>
    <t>Ulfi Retno Palupi</t>
  </si>
  <si>
    <t>DSE0813</t>
  </si>
  <si>
    <t>Uti</t>
  </si>
  <si>
    <t>VEINY ISROANI DAHNIATI</t>
  </si>
  <si>
    <t>DSFINNER0017</t>
  </si>
  <si>
    <t>VICTOR RADIANTO</t>
  </si>
  <si>
    <t>WARDAH KAMILA SYAWALI</t>
  </si>
  <si>
    <t>DSE0791</t>
  </si>
  <si>
    <t>WIDHY GARMANDHANY</t>
  </si>
  <si>
    <t>GSE-BEKASI3</t>
  </si>
  <si>
    <t>WIDYA JULIANTI</t>
  </si>
  <si>
    <t>CSOBUANAJKB0111</t>
  </si>
  <si>
    <t>WINDA PURNAMA SARI</t>
  </si>
  <si>
    <t>DSE0590</t>
  </si>
  <si>
    <t>WIRYANTO</t>
  </si>
  <si>
    <t>DSFINNER02</t>
  </si>
  <si>
    <t>USR0028</t>
  </si>
  <si>
    <t>Wahyu</t>
  </si>
  <si>
    <t>DSE0825</t>
  </si>
  <si>
    <t>Wahyudi</t>
  </si>
  <si>
    <t>Wahyudin</t>
  </si>
  <si>
    <t>1-28825212090</t>
  </si>
  <si>
    <t>Wantih Febriyanti</t>
  </si>
  <si>
    <t>STPRO-IN-M012</t>
  </si>
  <si>
    <t>Widinda</t>
  </si>
  <si>
    <t>DSE0715</t>
  </si>
  <si>
    <t>Wifani Destantya</t>
  </si>
  <si>
    <t>DSE0824</t>
  </si>
  <si>
    <t>Wigatining Wulan</t>
  </si>
  <si>
    <t>USR0010</t>
  </si>
  <si>
    <t>Willy Firmansyah</t>
  </si>
  <si>
    <t>DSE0586</t>
  </si>
  <si>
    <t>YOHANES MANULLANG</t>
  </si>
  <si>
    <t>1-28830478993</t>
  </si>
  <si>
    <t>USR0042</t>
  </si>
  <si>
    <t>Yani</t>
  </si>
  <si>
    <t>STPRO-IN-M007</t>
  </si>
  <si>
    <t>Yani Andriyani</t>
  </si>
  <si>
    <t>DSE0772</t>
  </si>
  <si>
    <t>Yanto</t>
  </si>
  <si>
    <t>DSE0737</t>
  </si>
  <si>
    <t>Yayah Latifah</t>
  </si>
  <si>
    <t>STPRO-IN-M017</t>
  </si>
  <si>
    <t>Zaenal abidin</t>
  </si>
  <si>
    <t>DSE0811</t>
  </si>
  <si>
    <t>Zakia</t>
  </si>
  <si>
    <t>STPRO-IN-M005</t>
  </si>
  <si>
    <t>Ziehan</t>
  </si>
  <si>
    <t>DSE0585</t>
  </si>
  <si>
    <t>Ziehan Ecca Ratu Aliesya</t>
  </si>
  <si>
    <t>DSE0584</t>
  </si>
  <si>
    <t>Zikri Ramadhan</t>
  </si>
  <si>
    <t>DSE0700</t>
  </si>
  <si>
    <t>ZuLfikar</t>
  </si>
  <si>
    <t>apri sugiyanto</t>
  </si>
  <si>
    <t>USR0019</t>
  </si>
  <si>
    <t>arul</t>
  </si>
  <si>
    <t>DSE0743</t>
  </si>
  <si>
    <t>delia delfi fitri yani</t>
  </si>
  <si>
    <t>DSE0722</t>
  </si>
  <si>
    <t>desty nurfitriani</t>
  </si>
  <si>
    <t>DSE0702</t>
  </si>
  <si>
    <t>diana kartiani</t>
  </si>
  <si>
    <t>STPRO-IN-M006</t>
  </si>
  <si>
    <t>fara</t>
  </si>
  <si>
    <t>DSE0703</t>
  </si>
  <si>
    <t>hari sulistiyo</t>
  </si>
  <si>
    <t>CSOBKSS-22</t>
  </si>
  <si>
    <t>krisman ndruru</t>
  </si>
  <si>
    <t>DSE0809</t>
  </si>
  <si>
    <t>maulan</t>
  </si>
  <si>
    <t>DSE0537</t>
  </si>
  <si>
    <t>muammar suhendra</t>
  </si>
  <si>
    <t>DSE0672</t>
  </si>
  <si>
    <t>DSE0673</t>
  </si>
  <si>
    <t>muhamad angga Saputra</t>
  </si>
  <si>
    <t>STPRO-IN-M008</t>
  </si>
  <si>
    <t>MUHAMAD MAULIDI RIZKY</t>
  </si>
  <si>
    <t>najwa alika mumtazia</t>
  </si>
  <si>
    <t>DSE0798</t>
  </si>
  <si>
    <t>pitrotul amalia</t>
  </si>
  <si>
    <t>DSE0725</t>
  </si>
  <si>
    <t>praticia yulis audrianti</t>
  </si>
  <si>
    <t>DSE0718</t>
  </si>
  <si>
    <t>ramlanhadi hidayat</t>
  </si>
  <si>
    <t>DSE0717</t>
  </si>
  <si>
    <t>sahro</t>
  </si>
  <si>
    <t>DSE0710</t>
  </si>
  <si>
    <t>shatya</t>
  </si>
  <si>
    <t>DSE 001</t>
  </si>
  <si>
    <r>
      <t>DSE</t>
    </r>
    <r>
      <rPr>
        <sz val="7"/>
        <color rgb="FF0F172A"/>
        <rFont val="Segoe UI"/>
        <family val="2"/>
      </rPr>
      <t xml:space="preserve"> </t>
    </r>
    <r>
      <rPr>
        <sz val="6"/>
        <color rgb="FFA21CAF"/>
        <rFont val="Segoe UI"/>
        <family val="2"/>
      </rPr>
      <t>+ Store Promotor</t>
    </r>
    <r>
      <rPr>
        <sz val="7"/>
        <color rgb="FF0F172A"/>
        <rFont val="Segoe UI"/>
        <family val="2"/>
      </rPr>
      <t xml:space="preserve"> </t>
    </r>
    <r>
      <rPr>
        <sz val="6"/>
        <color rgb="FF6D28D9"/>
        <rFont val="Segoe UI"/>
        <family val="2"/>
      </rPr>
      <t>+ DSE Promotor</t>
    </r>
  </si>
  <si>
    <t>wardah kamila syawali</t>
  </si>
  <si>
    <t>DSE0817</t>
  </si>
  <si>
    <t>ID Telegram</t>
  </si>
  <si>
    <t>NAMA DSO</t>
  </si>
  <si>
    <t>NAMA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</si>
</sst>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ptos Display"/>
      <family val="2"/>
    </font>
    <font>
      <sz val="9"/>
      <color rgb="FF000000"/>
      <name val="Indosat Regular"/>
    </font>
    <font>
      <sz val="10"/>
      <color rgb="FF000000"/>
      <name val="Calibri"/>
      <family val="2"/>
    </font>
    <font>
      <sz val="10"/>
      <name val="Calibri"/>
      <family val="2"/>
    </font>
    <font>
      <b/>
      <sz val="11"/>
      <color rgb="FF000000"/>
      <name val="Aptos Narrow"/>
      <family val="2"/>
      <scheme val="minor"/>
    </font>
    <font>
      <b/>
      <sz val="10"/>
      <color rgb="FF000000"/>
      <name val="Indosat Regular"/>
    </font>
    <font>
      <b/>
      <sz val="10"/>
      <color theme="1"/>
      <name val="Indosat Regular"/>
    </font>
    <font>
      <sz val="10"/>
      <color theme="1"/>
      <name val="Indosat Regula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2"/>
      <color theme="0"/>
      <name val="Indosat Regula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006100"/>
      <name val="Indosat Regular"/>
    </font>
    <font>
      <b/>
      <sz val="9"/>
      <color rgb="FFFFFFFF"/>
      <name val="Aptos Narrow"/>
      <family val="2"/>
      <scheme val="minor"/>
    </font>
    <font>
      <b/>
      <sz val="9"/>
      <name val="Aptos Narrow"/>
      <family val="2"/>
      <scheme val="minor"/>
    </font>
    <font>
      <sz val="10"/>
      <color rgb="FF000000"/>
      <name val="Indosat Regular"/>
    </font>
    <font>
      <sz val="11"/>
      <color rgb="FF000000"/>
      <name val="Aptos Narrow"/>
      <family val="2"/>
      <scheme val="minor"/>
    </font>
    <font>
      <sz val="7"/>
      <color rgb="FF0F172A"/>
      <name val="Segoe UI"/>
      <family val="2"/>
    </font>
    <font>
      <b/>
      <sz val="7"/>
      <color rgb="FF0F172A"/>
      <name val="Segoe UI"/>
      <family val="2"/>
    </font>
    <font>
      <sz val="6"/>
      <color rgb="FF64748B"/>
      <name val="Courier New"/>
      <family val="3"/>
    </font>
    <font>
      <sz val="10"/>
      <color rgb="FF0F172A"/>
      <name val="Arial Unicode MS"/>
    </font>
    <font>
      <sz val="6"/>
      <color rgb="FF1E40AF"/>
      <name val="Segoe UI"/>
      <family val="2"/>
    </font>
    <font>
      <sz val="6"/>
      <color rgb="FF64748B"/>
      <name val="Segoe UI"/>
      <family val="2"/>
    </font>
    <font>
      <b/>
      <sz val="5"/>
      <color rgb="FFFFFFFF"/>
      <name val="Segoe UI"/>
      <family val="2"/>
    </font>
    <font>
      <b/>
      <sz val="6"/>
      <color rgb="FF0F172A"/>
      <name val="Segoe UI"/>
      <family val="2"/>
    </font>
    <font>
      <sz val="6"/>
      <color rgb="FF0F172A"/>
      <name val="Segoe UI"/>
      <family val="2"/>
    </font>
    <font>
      <sz val="5"/>
      <color rgb="FF64748B"/>
      <name val="Courier New"/>
      <family val="3"/>
    </font>
    <font>
      <b/>
      <sz val="5"/>
      <color rgb="FF64748B"/>
      <name val="Segoe UI"/>
      <family val="2"/>
    </font>
    <font>
      <sz val="6"/>
      <color rgb="FF22C55E"/>
      <name val="Segoe UI"/>
      <family val="2"/>
    </font>
    <font>
      <sz val="6"/>
      <color rgb="FFEF4444"/>
      <name val="Segoe UI"/>
      <family val="2"/>
    </font>
    <font>
      <sz val="6"/>
      <color rgb="FF0F172A"/>
      <name val="Courier New"/>
      <family val="3"/>
    </font>
    <font>
      <b/>
      <sz val="5"/>
      <color rgb="FF92400E"/>
      <name val="Segoe UI"/>
      <family val="2"/>
    </font>
    <font>
      <sz val="6"/>
      <color rgb="FF166534"/>
      <name val="Segoe UI"/>
      <family val="2"/>
    </font>
    <font>
      <sz val="7"/>
      <color rgb="FF64748B"/>
      <name val="Segoe UI"/>
      <family val="2"/>
    </font>
    <font>
      <sz val="5"/>
      <color rgb="FF6D28D9"/>
      <name val="Segoe UI"/>
      <family val="2"/>
    </font>
    <font>
      <sz val="6"/>
      <color rgb="FFA21CAF"/>
      <name val="Segoe UI"/>
      <family val="2"/>
    </font>
    <font>
      <sz val="6"/>
      <color rgb="FF92400E"/>
      <name val="Segoe UI"/>
      <family val="2"/>
    </font>
    <font>
      <b/>
      <sz val="5"/>
      <color rgb="FFB91C1C"/>
      <name val="Segoe UI"/>
      <family val="2"/>
    </font>
    <font>
      <sz val="6"/>
      <color rgb="FF6D28D9"/>
      <name val="Segoe UI"/>
      <family val="2"/>
    </font>
    <font>
      <u/>
      <sz val="11"/>
      <color theme="10"/>
      <name val="Aptos Narrow"/>
      <family val="2"/>
      <scheme val="minor"/>
    </font>
    <font>
      <sz val="7"/>
      <color theme="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DD"/>
        <bgColor rgb="FF000000"/>
      </patternFill>
    </fill>
    <fill>
      <patternFill patternType="solid">
        <fgColor rgb="FFF6DEF4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Border="0">
      <alignment vertical="top"/>
    </xf>
    <xf numFmtId="0" fontId="1" fillId="0" borderId="0"/>
    <xf numFmtId="43" fontId="1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214">
    <xf numFmtId="0" fontId="0" fillId="0" borderId="0" xfId="0"/>
    <xf numFmtId="0" fontId="2" fillId="2" borderId="0" xfId="1" applyFont="1" applyFill="1">
      <alignment vertical="top"/>
    </xf>
    <xf numFmtId="0" fontId="1" fillId="2" borderId="0" xfId="1" applyFill="1">
      <alignment vertical="top"/>
    </xf>
    <xf numFmtId="0" fontId="1" fillId="2" borderId="0" xfId="1" applyFill="1" applyAlignment="1">
      <alignment horizontal="center" vertical="top"/>
    </xf>
    <xf numFmtId="0" fontId="1" fillId="0" borderId="0" xfId="1" applyAlignment="1">
      <alignment horizontal="center" vertical="top"/>
    </xf>
    <xf numFmtId="1" fontId="1" fillId="2" borderId="0" xfId="1" applyNumberFormat="1" applyFill="1" applyAlignment="1">
      <alignment horizontal="center" vertical="top"/>
    </xf>
    <xf numFmtId="0" fontId="3" fillId="3" borderId="1" xfId="1" applyFont="1" applyFill="1" applyBorder="1" applyAlignment="1">
      <alignment horizontal="center" vertical="top"/>
    </xf>
    <xf numFmtId="0" fontId="3" fillId="4" borderId="1" xfId="1" applyFont="1" applyFill="1" applyBorder="1" applyAlignment="1">
      <alignment horizontal="center" vertical="top"/>
    </xf>
    <xf numFmtId="0" fontId="3" fillId="5" borderId="1" xfId="1" applyFont="1" applyFill="1" applyBorder="1" applyAlignment="1">
      <alignment horizontal="center" vertical="top"/>
    </xf>
    <xf numFmtId="1" fontId="3" fillId="5" borderId="1" xfId="1" applyNumberFormat="1" applyFont="1" applyFill="1" applyBorder="1" applyAlignment="1">
      <alignment horizontal="center" vertical="top"/>
    </xf>
    <xf numFmtId="0" fontId="3" fillId="5" borderId="2" xfId="1" applyFont="1" applyFill="1" applyBorder="1" applyAlignment="1">
      <alignment horizontal="center" vertical="top"/>
    </xf>
    <xf numFmtId="0" fontId="1" fillId="2" borderId="3" xfId="1" applyFill="1" applyBorder="1">
      <alignment vertical="top"/>
    </xf>
    <xf numFmtId="0" fontId="4" fillId="6" borderId="1" xfId="0" applyFont="1" applyFill="1" applyBorder="1"/>
    <xf numFmtId="0" fontId="5" fillId="0" borderId="1" xfId="0" applyFont="1" applyBorder="1"/>
    <xf numFmtId="0" fontId="4" fillId="7" borderId="1" xfId="0" applyFont="1" applyFill="1" applyBorder="1"/>
    <xf numFmtId="0" fontId="6" fillId="8" borderId="0" xfId="0" applyFont="1" applyFill="1"/>
    <xf numFmtId="0" fontId="7" fillId="9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0" borderId="1" xfId="0" applyFont="1" applyBorder="1"/>
    <xf numFmtId="0" fontId="8" fillId="6" borderId="1" xfId="0" applyFont="1" applyFill="1" applyBorder="1"/>
    <xf numFmtId="1" fontId="7" fillId="0" borderId="1" xfId="0" applyNumberFormat="1" applyFont="1" applyBorder="1" applyAlignment="1">
      <alignment horizontal="center"/>
    </xf>
    <xf numFmtId="1" fontId="7" fillId="0" borderId="1" xfId="0" quotePrefix="1" applyNumberFormat="1" applyFont="1" applyBorder="1"/>
    <xf numFmtId="0" fontId="9" fillId="3" borderId="4" xfId="1" applyFont="1" applyFill="1" applyBorder="1" applyAlignment="1">
      <alignment horizontal="center" vertical="top"/>
    </xf>
    <xf numFmtId="0" fontId="9" fillId="4" borderId="4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1" fontId="9" fillId="5" borderId="4" xfId="1" applyNumberFormat="1" applyFont="1" applyFill="1" applyBorder="1" applyAlignment="1">
      <alignment horizontal="center" vertical="top"/>
    </xf>
    <xf numFmtId="0" fontId="9" fillId="5" borderId="5" xfId="1" applyFont="1" applyFill="1" applyBorder="1" applyAlignment="1">
      <alignment horizontal="center" vertical="top"/>
    </xf>
    <xf numFmtId="0" fontId="3" fillId="3" borderId="6" xfId="1" applyFont="1" applyFill="1" applyBorder="1" applyAlignment="1">
      <alignment horizontal="center" vertical="top"/>
    </xf>
    <xf numFmtId="0" fontId="3" fillId="3" borderId="7" xfId="1" applyFont="1" applyFill="1" applyBorder="1" applyAlignment="1">
      <alignment horizontal="center" vertical="top"/>
    </xf>
    <xf numFmtId="0" fontId="3" fillId="4" borderId="7" xfId="1" applyFont="1" applyFill="1" applyBorder="1" applyAlignment="1">
      <alignment horizontal="center" vertical="top"/>
    </xf>
    <xf numFmtId="1" fontId="3" fillId="3" borderId="7" xfId="1" applyNumberFormat="1" applyFont="1" applyFill="1" applyBorder="1" applyAlignment="1">
      <alignment horizontal="center" vertical="top"/>
    </xf>
    <xf numFmtId="0" fontId="1" fillId="4" borderId="7" xfId="1" applyFill="1" applyBorder="1">
      <alignment vertical="top"/>
    </xf>
    <xf numFmtId="0" fontId="10" fillId="3" borderId="1" xfId="1" applyFont="1" applyFill="1" applyBorder="1" applyAlignment="1">
      <alignment horizontal="center" vertical="top"/>
    </xf>
    <xf numFmtId="0" fontId="10" fillId="4" borderId="1" xfId="1" applyFont="1" applyFill="1" applyBorder="1" applyAlignment="1">
      <alignment horizontal="center" vertical="top"/>
    </xf>
    <xf numFmtId="0" fontId="10" fillId="10" borderId="1" xfId="1" applyFont="1" applyFill="1" applyBorder="1" applyAlignment="1">
      <alignment horizontal="center" vertical="top"/>
    </xf>
    <xf numFmtId="0" fontId="10" fillId="5" borderId="1" xfId="1" applyFont="1" applyFill="1" applyBorder="1" applyAlignment="1">
      <alignment horizontal="center" vertical="top"/>
    </xf>
    <xf numFmtId="1" fontId="10" fillId="5" borderId="1" xfId="1" applyNumberFormat="1" applyFont="1" applyFill="1" applyBorder="1" applyAlignment="1">
      <alignment horizontal="center" vertical="top"/>
    </xf>
    <xf numFmtId="0" fontId="10" fillId="5" borderId="2" xfId="1" applyFont="1" applyFill="1" applyBorder="1" applyAlignment="1">
      <alignment horizontal="center" vertical="top"/>
    </xf>
    <xf numFmtId="0" fontId="10" fillId="5" borderId="0" xfId="1" applyFont="1" applyFill="1" applyBorder="1" applyAlignment="1">
      <alignment horizontal="center" vertical="top"/>
    </xf>
    <xf numFmtId="0" fontId="12" fillId="0" borderId="0" xfId="0" applyFont="1"/>
    <xf numFmtId="0" fontId="10" fillId="7" borderId="1" xfId="1" applyFont="1" applyFill="1" applyBorder="1" applyAlignment="1">
      <alignment horizontal="center" vertical="top"/>
    </xf>
    <xf numFmtId="0" fontId="10" fillId="9" borderId="1" xfId="1" applyFont="1" applyFill="1" applyBorder="1" applyAlignment="1">
      <alignment horizontal="center" vertical="top"/>
    </xf>
    <xf numFmtId="0" fontId="10" fillId="5" borderId="1" xfId="1" applyFont="1" applyFill="1" applyBorder="1" applyAlignment="1">
      <alignment horizontal="center" vertical="top" wrapText="1"/>
    </xf>
    <xf numFmtId="1" fontId="10" fillId="11" borderId="1" xfId="1" applyNumberFormat="1" applyFont="1" applyFill="1" applyBorder="1" applyAlignment="1">
      <alignment horizontal="center" vertical="top" wrapText="1"/>
    </xf>
    <xf numFmtId="1" fontId="12" fillId="0" borderId="0" xfId="0" applyNumberFormat="1" applyFont="1"/>
    <xf numFmtId="0" fontId="12" fillId="9" borderId="0" xfId="0" applyFont="1" applyFill="1"/>
    <xf numFmtId="0" fontId="12" fillId="9" borderId="0" xfId="0" applyFont="1" applyFill="1" applyAlignment="1">
      <alignment wrapText="1"/>
    </xf>
    <xf numFmtId="0" fontId="12" fillId="12" borderId="0" xfId="0" applyFont="1" applyFill="1" applyAlignment="1">
      <alignment wrapText="1"/>
    </xf>
    <xf numFmtId="0" fontId="0" fillId="9" borderId="0" xfId="0" applyFill="1"/>
    <xf numFmtId="1" fontId="12" fillId="9" borderId="0" xfId="0" applyNumberFormat="1" applyFont="1" applyFill="1"/>
    <xf numFmtId="0" fontId="13" fillId="0" borderId="3" xfId="0" applyFont="1" applyBorder="1" applyAlignment="1">
      <alignment horizontal="center" vertical="top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9" borderId="3" xfId="0" applyFill="1" applyBorder="1"/>
    <xf numFmtId="0" fontId="13" fillId="0" borderId="8" xfId="0" applyFont="1" applyBorder="1" applyAlignment="1">
      <alignment horizontal="center" vertical="top"/>
    </xf>
    <xf numFmtId="0" fontId="10" fillId="3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1" fontId="10" fillId="5" borderId="1" xfId="1" applyNumberFormat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" fontId="10" fillId="11" borderId="1" xfId="1" applyNumberFormat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center" vertical="center"/>
    </xf>
    <xf numFmtId="0" fontId="10" fillId="5" borderId="0" xfId="1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9" borderId="1" xfId="1" applyFont="1" applyFill="1" applyBorder="1" applyAlignment="1">
      <alignment horizontal="center" vertical="center" wrapText="1"/>
    </xf>
    <xf numFmtId="0" fontId="10" fillId="13" borderId="1" xfId="1" applyFont="1" applyFill="1" applyBorder="1" applyAlignment="1">
      <alignment horizontal="center" vertical="center"/>
    </xf>
    <xf numFmtId="0" fontId="10" fillId="14" borderId="1" xfId="1" applyFont="1" applyFill="1" applyBorder="1" applyAlignment="1">
      <alignment horizontal="center" vertical="center"/>
    </xf>
    <xf numFmtId="0" fontId="10" fillId="14" borderId="1" xfId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/>
    </xf>
    <xf numFmtId="0" fontId="12" fillId="0" borderId="3" xfId="0" applyFont="1" applyBorder="1"/>
    <xf numFmtId="0" fontId="10" fillId="5" borderId="3" xfId="1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/>
    </xf>
    <xf numFmtId="0" fontId="12" fillId="0" borderId="0" xfId="0" quotePrefix="1" applyFont="1"/>
    <xf numFmtId="49" fontId="0" fillId="0" borderId="0" xfId="0" applyNumberFormat="1"/>
    <xf numFmtId="0" fontId="12" fillId="0" borderId="0" xfId="2" applyFont="1"/>
    <xf numFmtId="1" fontId="0" fillId="0" borderId="0" xfId="0" applyNumberFormat="1"/>
    <xf numFmtId="0" fontId="0" fillId="0" borderId="0" xfId="0" quotePrefix="1"/>
    <xf numFmtId="0" fontId="15" fillId="17" borderId="0" xfId="0" applyFont="1" applyFill="1" applyAlignment="1">
      <alignment horizontal="center"/>
    </xf>
    <xf numFmtId="0" fontId="12" fillId="18" borderId="0" xfId="0" applyFont="1" applyFill="1"/>
    <xf numFmtId="0" fontId="12" fillId="19" borderId="0" xfId="0" applyFont="1" applyFill="1"/>
    <xf numFmtId="0" fontId="15" fillId="20" borderId="0" xfId="0" applyFont="1" applyFill="1" applyAlignment="1">
      <alignment horizontal="center"/>
    </xf>
    <xf numFmtId="0" fontId="0" fillId="21" borderId="0" xfId="0" applyFill="1"/>
    <xf numFmtId="0" fontId="12" fillId="21" borderId="0" xfId="0" applyFont="1" applyFill="1"/>
    <xf numFmtId="1" fontId="0" fillId="0" borderId="0" xfId="0" quotePrefix="1" applyNumberFormat="1"/>
    <xf numFmtId="0" fontId="12" fillId="14" borderId="0" xfId="0" applyFont="1" applyFill="1"/>
    <xf numFmtId="0" fontId="0" fillId="14" borderId="0" xfId="0" applyFill="1"/>
    <xf numFmtId="1" fontId="0" fillId="14" borderId="0" xfId="0" quotePrefix="1" applyNumberFormat="1" applyFill="1"/>
    <xf numFmtId="0" fontId="0" fillId="21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22" borderId="0" xfId="0" applyFont="1" applyFill="1" applyAlignment="1">
      <alignment horizontal="center" vertical="center" wrapText="1"/>
    </xf>
    <xf numFmtId="0" fontId="0" fillId="0" borderId="9" xfId="0" applyBorder="1"/>
    <xf numFmtId="0" fontId="16" fillId="22" borderId="3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164" fontId="0" fillId="0" borderId="3" xfId="3" applyNumberFormat="1" applyFont="1" applyBorder="1"/>
    <xf numFmtId="0" fontId="2" fillId="19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64" fontId="2" fillId="0" borderId="3" xfId="0" applyNumberFormat="1" applyFont="1" applyBorder="1"/>
    <xf numFmtId="1" fontId="15" fillId="17" borderId="0" xfId="0" applyNumberFormat="1" applyFont="1" applyFill="1" applyAlignment="1">
      <alignment horizontal="center"/>
    </xf>
    <xf numFmtId="1" fontId="10" fillId="18" borderId="1" xfId="1" applyNumberFormat="1" applyFont="1" applyFill="1" applyBorder="1" applyAlignment="1">
      <alignment horizontal="center" vertical="center" wrapText="1"/>
    </xf>
    <xf numFmtId="1" fontId="10" fillId="19" borderId="1" xfId="1" applyNumberFormat="1" applyFont="1" applyFill="1" applyBorder="1" applyAlignment="1">
      <alignment horizontal="center" vertical="center" wrapText="1"/>
    </xf>
    <xf numFmtId="1" fontId="12" fillId="19" borderId="0" xfId="0" applyNumberFormat="1" applyFont="1" applyFill="1"/>
    <xf numFmtId="1" fontId="12" fillId="18" borderId="0" xfId="0" applyNumberFormat="1" applyFont="1" applyFill="1"/>
    <xf numFmtId="0" fontId="17" fillId="23" borderId="0" xfId="0" applyFont="1" applyFill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0" fillId="7" borderId="4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26" borderId="4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wrapText="1"/>
    </xf>
    <xf numFmtId="0" fontId="22" fillId="0" borderId="0" xfId="0" applyFont="1"/>
    <xf numFmtId="0" fontId="22" fillId="31" borderId="0" xfId="0" applyFont="1" applyFill="1"/>
    <xf numFmtId="0" fontId="22" fillId="32" borderId="0" xfId="0" applyFont="1" applyFill="1"/>
    <xf numFmtId="0" fontId="19" fillId="33" borderId="0" xfId="0" applyFont="1" applyFill="1"/>
    <xf numFmtId="11" fontId="22" fillId="0" borderId="0" xfId="0" applyNumberFormat="1" applyFont="1"/>
    <xf numFmtId="0" fontId="23" fillId="0" borderId="0" xfId="0" applyFont="1"/>
    <xf numFmtId="0" fontId="10" fillId="25" borderId="4" xfId="0" applyFont="1" applyFill="1" applyBorder="1" applyAlignment="1">
      <alignment horizontal="center" vertical="center"/>
    </xf>
    <xf numFmtId="0" fontId="10" fillId="25" borderId="10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26" borderId="4" xfId="0" applyFont="1" applyFill="1" applyBorder="1" applyAlignment="1">
      <alignment horizontal="center" vertical="center"/>
    </xf>
    <xf numFmtId="0" fontId="10" fillId="26" borderId="10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26" borderId="4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wrapText="1"/>
    </xf>
    <xf numFmtId="0" fontId="10" fillId="25" borderId="13" xfId="0" applyFont="1" applyFill="1" applyBorder="1" applyAlignment="1">
      <alignment horizontal="center" vertical="center"/>
    </xf>
    <xf numFmtId="0" fontId="10" fillId="25" borderId="14" xfId="0" applyFont="1" applyFill="1" applyBorder="1" applyAlignment="1">
      <alignment horizontal="center" vertical="center"/>
    </xf>
    <xf numFmtId="0" fontId="20" fillId="27" borderId="11" xfId="0" applyFont="1" applyFill="1" applyBorder="1" applyAlignment="1">
      <alignment horizontal="center" vertical="center" wrapText="1"/>
    </xf>
    <xf numFmtId="0" fontId="20" fillId="27" borderId="12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vertical="center" wrapText="1"/>
    </xf>
    <xf numFmtId="0" fontId="21" fillId="28" borderId="11" xfId="0" applyFont="1" applyFill="1" applyBorder="1" applyAlignment="1">
      <alignment horizontal="center" vertical="center" wrapText="1"/>
    </xf>
    <xf numFmtId="0" fontId="21" fillId="28" borderId="12" xfId="0" applyFont="1" applyFill="1" applyBorder="1" applyAlignment="1">
      <alignment horizontal="center" vertical="center" wrapText="1"/>
    </xf>
    <xf numFmtId="0" fontId="21" fillId="28" borderId="15" xfId="0" applyFont="1" applyFill="1" applyBorder="1" applyAlignment="1">
      <alignment horizontal="center" vertical="center" wrapText="1"/>
    </xf>
    <xf numFmtId="0" fontId="21" fillId="28" borderId="16" xfId="0" applyFont="1" applyFill="1" applyBorder="1" applyAlignment="1">
      <alignment horizontal="center" vertical="center" wrapText="1"/>
    </xf>
    <xf numFmtId="0" fontId="10" fillId="29" borderId="4" xfId="0" applyFont="1" applyFill="1" applyBorder="1" applyAlignment="1">
      <alignment horizontal="center" vertical="center"/>
    </xf>
    <xf numFmtId="0" fontId="10" fillId="29" borderId="10" xfId="0" applyFont="1" applyFill="1" applyBorder="1" applyAlignment="1">
      <alignment horizontal="center" vertical="center"/>
    </xf>
    <xf numFmtId="0" fontId="10" fillId="30" borderId="4" xfId="0" applyFont="1" applyFill="1" applyBorder="1" applyAlignment="1">
      <alignment horizontal="center" vertical="center"/>
    </xf>
    <xf numFmtId="0" fontId="10" fillId="30" borderId="10" xfId="0" applyFont="1" applyFill="1" applyBorder="1" applyAlignment="1">
      <alignment horizontal="center" vertical="center"/>
    </xf>
    <xf numFmtId="0" fontId="10" fillId="30" borderId="4" xfId="0" applyFont="1" applyFill="1" applyBorder="1" applyAlignment="1">
      <alignment horizontal="center" vertical="center" wrapText="1"/>
    </xf>
    <xf numFmtId="0" fontId="10" fillId="30" borderId="10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30" borderId="17" xfId="0" applyFont="1" applyFill="1" applyBorder="1" applyAlignment="1">
      <alignment horizontal="center" vertical="center"/>
    </xf>
    <xf numFmtId="0" fontId="10" fillId="30" borderId="18" xfId="0" applyFont="1" applyFill="1" applyBorder="1" applyAlignment="1">
      <alignment horizontal="center" vertical="center"/>
    </xf>
    <xf numFmtId="0" fontId="10" fillId="30" borderId="11" xfId="0" applyFont="1" applyFill="1" applyBorder="1" applyAlignment="1">
      <alignment horizontal="center" vertical="center"/>
    </xf>
    <xf numFmtId="0" fontId="10" fillId="30" borderId="12" xfId="0" applyFont="1" applyFill="1" applyBorder="1" applyAlignment="1">
      <alignment horizontal="center" vertical="center"/>
    </xf>
    <xf numFmtId="0" fontId="10" fillId="30" borderId="19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0" fillId="28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2" fillId="0" borderId="20" xfId="0" applyFont="1" applyBorder="1"/>
    <xf numFmtId="0" fontId="22" fillId="31" borderId="0" xfId="0" applyFont="1" applyFill="1"/>
    <xf numFmtId="0" fontId="22" fillId="31" borderId="20" xfId="0" applyFont="1" applyFill="1" applyBorder="1"/>
    <xf numFmtId="0" fontId="22" fillId="32" borderId="0" xfId="0" applyFont="1" applyFill="1"/>
    <xf numFmtId="0" fontId="22" fillId="32" borderId="20" xfId="0" applyFont="1" applyFill="1" applyBorder="1"/>
    <xf numFmtId="0" fontId="19" fillId="33" borderId="0" xfId="0" applyFont="1" applyFill="1"/>
    <xf numFmtId="0" fontId="19" fillId="33" borderId="20" xfId="0" applyFont="1" applyFill="1" applyBorder="1"/>
    <xf numFmtId="0" fontId="22" fillId="0" borderId="21" xfId="0" applyFont="1" applyBorder="1"/>
    <xf numFmtId="0" fontId="0" fillId="36" borderId="0" xfId="0" applyFill="1" applyAlignment="1">
      <alignment vertical="center" wrapText="1"/>
    </xf>
    <xf numFmtId="0" fontId="25" fillId="36" borderId="0" xfId="0" applyFont="1" applyFill="1" applyAlignment="1">
      <alignment vertical="center" wrapText="1"/>
    </xf>
    <xf numFmtId="0" fontId="26" fillId="36" borderId="0" xfId="0" applyFont="1" applyFill="1" applyAlignment="1">
      <alignment vertical="center" wrapText="1"/>
    </xf>
    <xf numFmtId="0" fontId="27" fillId="36" borderId="0" xfId="0" applyFont="1" applyFill="1" applyAlignment="1">
      <alignment vertical="center" wrapText="1"/>
    </xf>
    <xf numFmtId="0" fontId="28" fillId="36" borderId="0" xfId="0" applyFont="1" applyFill="1" applyAlignment="1">
      <alignment vertical="center" wrapText="1"/>
    </xf>
    <xf numFmtId="0" fontId="29" fillId="36" borderId="0" xfId="0" applyFont="1" applyFill="1" applyAlignment="1">
      <alignment vertical="center" wrapText="1"/>
    </xf>
    <xf numFmtId="0" fontId="30" fillId="36" borderId="0" xfId="0" applyFont="1" applyFill="1" applyAlignment="1">
      <alignment vertical="center" wrapText="1"/>
    </xf>
    <xf numFmtId="0" fontId="31" fillId="36" borderId="0" xfId="0" applyFont="1" applyFill="1" applyAlignment="1">
      <alignment vertical="center" wrapText="1"/>
    </xf>
    <xf numFmtId="0" fontId="32" fillId="36" borderId="0" xfId="0" applyFont="1" applyFill="1" applyAlignment="1">
      <alignment vertical="center" wrapText="1"/>
    </xf>
    <xf numFmtId="0" fontId="33" fillId="36" borderId="0" xfId="0" applyFont="1" applyFill="1" applyAlignment="1">
      <alignment vertical="center" wrapText="1"/>
    </xf>
    <xf numFmtId="0" fontId="34" fillId="36" borderId="0" xfId="0" applyFont="1" applyFill="1" applyAlignment="1">
      <alignment vertical="center" wrapText="1"/>
    </xf>
    <xf numFmtId="0" fontId="35" fillId="36" borderId="0" xfId="0" applyFont="1" applyFill="1" applyAlignment="1">
      <alignment vertical="center" wrapText="1"/>
    </xf>
    <xf numFmtId="0" fontId="0" fillId="35" borderId="0" xfId="0" applyFill="1" applyAlignment="1">
      <alignment vertical="center" wrapText="1"/>
    </xf>
    <xf numFmtId="0" fontId="25" fillId="35" borderId="0" xfId="0" applyFont="1" applyFill="1" applyAlignment="1">
      <alignment vertical="center" wrapText="1"/>
    </xf>
    <xf numFmtId="0" fontId="26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8" fillId="35" borderId="0" xfId="0" applyFont="1" applyFill="1" applyAlignment="1">
      <alignment vertical="center" wrapText="1"/>
    </xf>
    <xf numFmtId="0" fontId="29" fillId="35" borderId="0" xfId="0" applyFont="1" applyFill="1" applyAlignment="1">
      <alignment vertical="center" wrapText="1"/>
    </xf>
    <xf numFmtId="0" fontId="30" fillId="35" borderId="0" xfId="0" applyFont="1" applyFill="1" applyAlignment="1">
      <alignment vertical="center" wrapText="1"/>
    </xf>
    <xf numFmtId="0" fontId="31" fillId="35" borderId="0" xfId="0" applyFont="1" applyFill="1" applyAlignment="1">
      <alignment vertical="center" wrapText="1"/>
    </xf>
    <xf numFmtId="0" fontId="32" fillId="35" borderId="0" xfId="0" applyFont="1" applyFill="1" applyAlignment="1">
      <alignment vertical="center" wrapText="1"/>
    </xf>
    <xf numFmtId="0" fontId="33" fillId="35" borderId="0" xfId="0" applyFont="1" applyFill="1" applyAlignment="1">
      <alignment vertical="center" wrapText="1"/>
    </xf>
    <xf numFmtId="0" fontId="34" fillId="35" borderId="0" xfId="0" applyFont="1" applyFill="1" applyAlignment="1">
      <alignment vertical="center" wrapText="1"/>
    </xf>
    <xf numFmtId="0" fontId="35" fillId="35" borderId="0" xfId="0" applyFont="1" applyFill="1" applyAlignment="1">
      <alignment vertical="center" wrapText="1"/>
    </xf>
    <xf numFmtId="0" fontId="36" fillId="35" borderId="0" xfId="0" applyFont="1" applyFill="1" applyAlignment="1">
      <alignment vertical="center" wrapText="1"/>
    </xf>
    <xf numFmtId="0" fontId="37" fillId="35" borderId="0" xfId="0" applyFont="1" applyFill="1" applyAlignment="1">
      <alignment vertical="center" wrapText="1"/>
    </xf>
    <xf numFmtId="0" fontId="38" fillId="35" borderId="0" xfId="0" applyFont="1" applyFill="1" applyAlignment="1">
      <alignment vertical="center" wrapText="1"/>
    </xf>
    <xf numFmtId="0" fontId="24" fillId="35" borderId="0" xfId="0" applyFont="1" applyFill="1" applyAlignment="1">
      <alignment vertical="center" wrapText="1"/>
    </xf>
    <xf numFmtId="0" fontId="39" fillId="35" borderId="0" xfId="0" applyFont="1" applyFill="1" applyAlignment="1">
      <alignment vertical="center" wrapText="1"/>
    </xf>
    <xf numFmtId="0" fontId="40" fillId="35" borderId="0" xfId="0" applyFont="1" applyFill="1" applyAlignment="1">
      <alignment vertical="center" wrapText="1"/>
    </xf>
    <xf numFmtId="0" fontId="41" fillId="35" borderId="0" xfId="0" applyFont="1" applyFill="1" applyAlignment="1">
      <alignment vertical="center" wrapText="1"/>
    </xf>
    <xf numFmtId="0" fontId="43" fillId="35" borderId="0" xfId="0" applyFont="1" applyFill="1" applyAlignment="1">
      <alignment vertical="center" wrapText="1"/>
    </xf>
    <xf numFmtId="0" fontId="44" fillId="35" borderId="0" xfId="0" applyFont="1" applyFill="1" applyAlignment="1">
      <alignment vertical="center" wrapText="1"/>
    </xf>
    <xf numFmtId="0" fontId="45" fillId="35" borderId="0" xfId="0" applyFont="1" applyFill="1" applyAlignment="1">
      <alignment vertical="center" wrapText="1"/>
    </xf>
    <xf numFmtId="0" fontId="42" fillId="35" borderId="0" xfId="0" applyFont="1" applyFill="1" applyAlignment="1">
      <alignment vertical="center" wrapText="1"/>
    </xf>
    <xf numFmtId="0" fontId="46" fillId="35" borderId="0" xfId="4" applyFill="1" applyAlignment="1">
      <alignment vertical="center"/>
    </xf>
    <xf numFmtId="0" fontId="46" fillId="36" borderId="0" xfId="4" applyFill="1" applyAlignment="1">
      <alignment vertical="center"/>
    </xf>
    <xf numFmtId="0" fontId="47" fillId="35" borderId="0" xfId="0" applyFont="1" applyFill="1" applyAlignment="1">
      <alignment horizontal="left" vertical="center"/>
    </xf>
    <xf numFmtId="0" fontId="47" fillId="35" borderId="0" xfId="0" applyFont="1" applyFill="1" applyAlignment="1">
      <alignment horizontal="center" vertical="center"/>
    </xf>
    <xf numFmtId="0" fontId="0" fillId="0" borderId="0" xfId="0" applyFont="1"/>
    <xf numFmtId="0" fontId="10" fillId="3" borderId="3" xfId="1" applyFont="1" applyFill="1" applyBorder="1" applyAlignment="1">
      <alignment horizontal="center" vertical="center"/>
    </xf>
    <xf numFmtId="0" fontId="12" fillId="34" borderId="3" xfId="0" applyFont="1" applyFill="1" applyBorder="1" applyAlignment="1">
      <alignment horizontal="center" vertical="center"/>
    </xf>
    <xf numFmtId="1" fontId="10" fillId="5" borderId="3" xfId="1" applyNumberFormat="1" applyFont="1" applyFill="1" applyBorder="1" applyAlignment="1">
      <alignment horizontal="center" vertical="center"/>
    </xf>
    <xf numFmtId="1" fontId="10" fillId="11" borderId="3" xfId="1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</cellXfs>
  <cellStyles count="5">
    <cellStyle name="Comma" xfId="3" builtinId="3"/>
    <cellStyle name="Hyperlink" xfId="4" builtinId="8"/>
    <cellStyle name="Normal" xfId="0" builtinId="0"/>
    <cellStyle name="Normal 2" xfId="1" xr:uid="{3EF2ED51-0E5C-F74A-80A8-7189BF50F39F}"/>
    <cellStyle name="Normal 3" xfId="2" xr:uid="{2CC3BC3A-E466-4884-A4AD-276D8F1DA3B7}"/>
  </cellStyles>
  <dxfs count="115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FFFFDD"/>
      <color rgb="FFF6DEF4"/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SA\request\oktober\2026\Copy%20of%2020261004_DSE_to_outlet_mapping_DQ_Master_4_All_Region_source.xlsx" TargetMode="External"/><Relationship Id="rId1" Type="http://schemas.openxmlformats.org/officeDocument/2006/relationships/externalLinkPath" Target="Copy%20of%2020261004_DSE_to_outlet_mapping_DQ_Master_4_All_Region_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Q Check Data"/>
      <sheetName val="Inner"/>
      <sheetName val="Sheet13"/>
      <sheetName val="Sheet15"/>
      <sheetName val="JKP"/>
      <sheetName val="REKAP INNER (2)"/>
      <sheetName val="REKAP INNER"/>
      <sheetName val="FB MC BEJI"/>
      <sheetName val="KAB BKS"/>
      <sheetName val="Sheet5"/>
      <sheetName val="CIMANGGIS"/>
      <sheetName val="MC Pancoran"/>
      <sheetName val="KBY"/>
      <sheetName val="KRW"/>
      <sheetName val="PSM"/>
      <sheetName val="Cipayung"/>
      <sheetName val="Sheet2"/>
      <sheetName val="Referensi New"/>
      <sheetName val="WEST CIKAMPE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V1" t="str">
            <v>gunakan referensi ini untuk update</v>
          </cell>
        </row>
        <row r="2">
          <cell r="D2" t="str">
            <v>PT</v>
          </cell>
          <cell r="V2" t="str">
            <v>Propose DSE ID Im3</v>
          </cell>
          <cell r="W2" t="str">
            <v>Propose DSE ID 3ID</v>
          </cell>
        </row>
        <row r="3">
          <cell r="D3" t="str">
            <v>PT-GROGOL</v>
          </cell>
          <cell r="V3">
            <v>2613051407</v>
          </cell>
          <cell r="W3" t="str">
            <v>26130514073ID</v>
          </cell>
        </row>
        <row r="4">
          <cell r="D4" t="str">
            <v>PT-CENGKARENG</v>
          </cell>
          <cell r="V4" t="str">
            <v>CSOBUANAJKB001</v>
          </cell>
          <cell r="W4" t="str">
            <v>CSOBUANAJKB0013ID</v>
          </cell>
        </row>
        <row r="5">
          <cell r="D5" t="str">
            <v>PT-CENGKARENG</v>
          </cell>
          <cell r="V5" t="str">
            <v>CSOBUANAJKB0041</v>
          </cell>
          <cell r="W5" t="str">
            <v>CSOBUANAJKB00413ID</v>
          </cell>
        </row>
        <row r="6">
          <cell r="D6" t="str">
            <v>PT-CENGKARENG</v>
          </cell>
          <cell r="V6" t="str">
            <v>CSOBUANAJKB009</v>
          </cell>
          <cell r="W6" t="str">
            <v>CSOBUANAJKB0093ID</v>
          </cell>
        </row>
        <row r="7">
          <cell r="D7" t="str">
            <v>PT-CENGKARENG</v>
          </cell>
          <cell r="V7" t="str">
            <v>CSOBUANAJKB0101</v>
          </cell>
          <cell r="W7" t="str">
            <v>CSOBUANAJKB01013ID</v>
          </cell>
        </row>
        <row r="8">
          <cell r="D8" t="str">
            <v>PT-GROGOL</v>
          </cell>
          <cell r="V8" t="str">
            <v>CSOBUANAJKB0191</v>
          </cell>
          <cell r="W8" t="str">
            <v>CSOBUANAJKB01913ID</v>
          </cell>
        </row>
        <row r="9">
          <cell r="D9" t="str">
            <v>PT-CENGKARENG</v>
          </cell>
          <cell r="V9" t="str">
            <v>CSOBUANAJKB02</v>
          </cell>
          <cell r="W9" t="str">
            <v>CSOBUANAJKB023ID</v>
          </cell>
        </row>
        <row r="10">
          <cell r="D10" t="str">
            <v>PT-GROGOL</v>
          </cell>
          <cell r="V10" t="str">
            <v>CSOBUANAJKB0201</v>
          </cell>
          <cell r="W10" t="str">
            <v>CSOBUANAJKB02013ID</v>
          </cell>
        </row>
        <row r="11">
          <cell r="D11" t="str">
            <v>PT-CENGKARENG</v>
          </cell>
          <cell r="V11" t="str">
            <v>CSOBUANAJKB03</v>
          </cell>
          <cell r="W11" t="str">
            <v>CSOBUANAJKB033ID</v>
          </cell>
        </row>
        <row r="12">
          <cell r="D12" t="str">
            <v>PT-KEMBANGAN</v>
          </cell>
          <cell r="V12" t="str">
            <v>CSOBUANAJKB06</v>
          </cell>
          <cell r="W12" t="str">
            <v>CSOBUANAJKB063ID</v>
          </cell>
        </row>
        <row r="13">
          <cell r="D13" t="str">
            <v>PT-KEMBANGAN</v>
          </cell>
          <cell r="V13" t="str">
            <v>CSOBUANAJKB08</v>
          </cell>
          <cell r="W13" t="str">
            <v>CSOBUANAJKB083ID</v>
          </cell>
        </row>
        <row r="14">
          <cell r="D14" t="str">
            <v>PT-GROGOL</v>
          </cell>
          <cell r="V14" t="str">
            <v>CSOBUANAJKB12</v>
          </cell>
          <cell r="W14" t="str">
            <v>CSOBUANAJKB123ID</v>
          </cell>
        </row>
        <row r="15">
          <cell r="D15" t="str">
            <v>PT-CIKARANG BARAT</v>
          </cell>
          <cell r="V15" t="str">
            <v>CSO-SELATAN-01</v>
          </cell>
          <cell r="W15" t="str">
            <v>CSO-SELATAN-013ID</v>
          </cell>
        </row>
        <row r="16">
          <cell r="D16" t="str">
            <v>PT-CIKARANG TIMUR</v>
          </cell>
          <cell r="V16" t="str">
            <v>CSO-SELATAN-03</v>
          </cell>
          <cell r="W16" t="str">
            <v>CSO-SELATAN-033ID</v>
          </cell>
        </row>
        <row r="17">
          <cell r="D17" t="str">
            <v>PT-CIKARANG BARAT</v>
          </cell>
          <cell r="V17" t="str">
            <v>CSO-SELATAN-04</v>
          </cell>
          <cell r="W17" t="str">
            <v>CSO-SELATAN-043ID</v>
          </cell>
        </row>
        <row r="18">
          <cell r="D18" t="str">
            <v>PT-CIBARUSAH</v>
          </cell>
          <cell r="V18" t="str">
            <v>CSO-SELATAN-07</v>
          </cell>
          <cell r="W18" t="str">
            <v>CSO-SELATAN-073ID</v>
          </cell>
        </row>
        <row r="19">
          <cell r="D19" t="str">
            <v>PT-CIKARANG BARAT</v>
          </cell>
          <cell r="V19" t="str">
            <v>CSO-SELATAN-08</v>
          </cell>
          <cell r="W19" t="str">
            <v>CSO-SELATAN-083ID</v>
          </cell>
        </row>
        <row r="20">
          <cell r="D20" t="str">
            <v>PT-CIKARANG TIMUR</v>
          </cell>
          <cell r="V20" t="str">
            <v>CSO-SELATAN-10</v>
          </cell>
          <cell r="W20" t="str">
            <v>CSO-SELATAN-103ID</v>
          </cell>
        </row>
        <row r="21">
          <cell r="D21" t="str">
            <v>PT-PEBAYURAN</v>
          </cell>
          <cell r="V21" t="str">
            <v>CSO-UTARA-02</v>
          </cell>
          <cell r="W21" t="str">
            <v>CSO-UTARA-023ID</v>
          </cell>
        </row>
        <row r="22">
          <cell r="D22" t="str">
            <v>PT-CIBITUNG</v>
          </cell>
          <cell r="V22" t="str">
            <v>CSO-UTARA-03</v>
          </cell>
          <cell r="W22" t="str">
            <v>CSO-UTARA-033ID</v>
          </cell>
        </row>
        <row r="23">
          <cell r="D23" t="str">
            <v>PT-PEBAYURAN</v>
          </cell>
          <cell r="V23" t="str">
            <v>CSO-UTARA-04</v>
          </cell>
          <cell r="W23" t="str">
            <v>CSO-UTARA-043ID</v>
          </cell>
        </row>
        <row r="24">
          <cell r="D24" t="str">
            <v>PT-PEBAYURAN</v>
          </cell>
          <cell r="V24" t="str">
            <v>CSO-UTARA-05</v>
          </cell>
          <cell r="W24" t="str">
            <v>CSO-UTARA-053ID</v>
          </cell>
        </row>
        <row r="25">
          <cell r="D25" t="str">
            <v>PT-CIBITUNG</v>
          </cell>
          <cell r="V25" t="str">
            <v>CSO-UTARA-06</v>
          </cell>
          <cell r="W25" t="str">
            <v>CSO-UTARA-063ID</v>
          </cell>
        </row>
        <row r="26">
          <cell r="D26" t="str">
            <v>PT-CIBITUNG</v>
          </cell>
          <cell r="V26" t="str">
            <v>CSO-UTARA-09</v>
          </cell>
          <cell r="W26" t="str">
            <v>CSO-UTARA-093ID</v>
          </cell>
        </row>
        <row r="27">
          <cell r="D27" t="str">
            <v>PT-GROGOL</v>
          </cell>
          <cell r="V27" t="str">
            <v>DSECGK04</v>
          </cell>
          <cell r="W27" t="str">
            <v>DSECGK043ID</v>
          </cell>
        </row>
        <row r="28">
          <cell r="D28" t="str">
            <v>PT-CIBARUSAH</v>
          </cell>
          <cell r="V28" t="str">
            <v>DSECKRG05</v>
          </cell>
          <cell r="W28" t="str">
            <v>DSECKRG053ID</v>
          </cell>
        </row>
        <row r="29">
          <cell r="D29" t="str">
            <v>PT-CIKARANG TIMUR</v>
          </cell>
          <cell r="V29" t="str">
            <v>DSECKRG06</v>
          </cell>
          <cell r="W29" t="str">
            <v>DSECKRG063ID</v>
          </cell>
        </row>
        <row r="30">
          <cell r="D30" t="str">
            <v>PT-CIBARUSAH</v>
          </cell>
          <cell r="V30" t="str">
            <v>DSECKRG09</v>
          </cell>
          <cell r="W30" t="str">
            <v>DSECKRG093ID</v>
          </cell>
        </row>
        <row r="31">
          <cell r="D31" t="str">
            <v>PT-GROGOL</v>
          </cell>
          <cell r="V31" t="str">
            <v>DSEGRGL01</v>
          </cell>
          <cell r="W31" t="str">
            <v>DSEGRGL013ID</v>
          </cell>
        </row>
        <row r="32">
          <cell r="D32" t="str">
            <v>PT-GROGOL</v>
          </cell>
          <cell r="V32" t="str">
            <v>DSEGRGL02</v>
          </cell>
          <cell r="W32" t="str">
            <v>DSEGRGL023ID</v>
          </cell>
        </row>
        <row r="33">
          <cell r="D33" t="str">
            <v>PT-KEMBANGAN</v>
          </cell>
          <cell r="V33" t="str">
            <v>DSEGRGL04</v>
          </cell>
          <cell r="W33" t="str">
            <v>DSEGRGL043ID</v>
          </cell>
        </row>
        <row r="34">
          <cell r="D34" t="str">
            <v>PT-CIKARANG TIMUR</v>
          </cell>
          <cell r="V34" t="str">
            <v>DSEIN005</v>
          </cell>
          <cell r="W34" t="str">
            <v>1-28825212134</v>
          </cell>
        </row>
        <row r="35">
          <cell r="D35" t="str">
            <v>PT-BABELAN</v>
          </cell>
          <cell r="V35" t="str">
            <v>DSEIN008</v>
          </cell>
          <cell r="W35" t="str">
            <v>1-135596391691</v>
          </cell>
        </row>
        <row r="36">
          <cell r="D36" t="str">
            <v>PT-BABELAN</v>
          </cell>
          <cell r="V36" t="str">
            <v>DSEIN009</v>
          </cell>
          <cell r="W36" t="str">
            <v>1-135596391717</v>
          </cell>
        </row>
        <row r="37">
          <cell r="D37" t="str">
            <v>PT-CIBITUNG</v>
          </cell>
          <cell r="V37" t="str">
            <v>DSEIN010</v>
          </cell>
          <cell r="W37" t="str">
            <v>1-28825212132</v>
          </cell>
        </row>
        <row r="38">
          <cell r="D38" t="str">
            <v>PT-CIBITUNG</v>
          </cell>
          <cell r="V38" t="str">
            <v>DSEIN011</v>
          </cell>
          <cell r="W38" t="str">
            <v>1-28825212124</v>
          </cell>
        </row>
        <row r="39">
          <cell r="D39" t="str">
            <v>PT-TAMBUN</v>
          </cell>
          <cell r="V39" t="str">
            <v>DSEIN012</v>
          </cell>
          <cell r="W39" t="str">
            <v>1-28825212128</v>
          </cell>
        </row>
        <row r="40">
          <cell r="D40" t="str">
            <v>PT-PEBAYURAN</v>
          </cell>
          <cell r="V40" t="str">
            <v>DSEIN015</v>
          </cell>
          <cell r="W40" t="str">
            <v>1-28825212106</v>
          </cell>
        </row>
        <row r="41">
          <cell r="D41" t="str">
            <v>PT-TAMBUN</v>
          </cell>
          <cell r="V41" t="str">
            <v>DSEIN017</v>
          </cell>
          <cell r="W41" t="str">
            <v>1-28825212116</v>
          </cell>
        </row>
        <row r="42">
          <cell r="D42" t="str">
            <v>PT-CIBITUNG</v>
          </cell>
          <cell r="V42" t="str">
            <v>DSEIN021</v>
          </cell>
          <cell r="W42" t="str">
            <v>1-28825212120</v>
          </cell>
        </row>
        <row r="43">
          <cell r="D43" t="str">
            <v>PT-CIBARUSAH</v>
          </cell>
          <cell r="V43" t="str">
            <v>DSEIN024</v>
          </cell>
          <cell r="W43" t="str">
            <v>1-28825212144</v>
          </cell>
        </row>
        <row r="44">
          <cell r="D44" t="str">
            <v>PT-PEBAYURAN</v>
          </cell>
          <cell r="V44" t="str">
            <v>DSEIN025</v>
          </cell>
          <cell r="W44" t="str">
            <v>1-135596391583</v>
          </cell>
        </row>
        <row r="45">
          <cell r="D45" t="str">
            <v>PT-TAMBUN</v>
          </cell>
          <cell r="V45" t="str">
            <v>DSEIN029</v>
          </cell>
          <cell r="W45" t="str">
            <v>1-136134646623</v>
          </cell>
        </row>
        <row r="46">
          <cell r="D46" t="str">
            <v>PT-CIKARANG BARAT</v>
          </cell>
          <cell r="V46" t="str">
            <v>DSEIN032</v>
          </cell>
          <cell r="W46" t="str">
            <v>1-28825212130</v>
          </cell>
        </row>
        <row r="47">
          <cell r="D47" t="str">
            <v>PT-CIBARUSAH</v>
          </cell>
          <cell r="V47" t="str">
            <v>DSEIN033</v>
          </cell>
          <cell r="W47" t="str">
            <v>1-28825212142</v>
          </cell>
        </row>
        <row r="48">
          <cell r="D48" t="str">
            <v>PT-CIKARANG BARAT</v>
          </cell>
          <cell r="V48" t="str">
            <v>DSEIN034</v>
          </cell>
          <cell r="W48" t="str">
            <v>1-28825212138</v>
          </cell>
        </row>
        <row r="49">
          <cell r="D49" t="str">
            <v>PT-CIKARANG BARAT</v>
          </cell>
          <cell r="V49" t="str">
            <v>DSEIN035</v>
          </cell>
          <cell r="W49" t="str">
            <v>1-28825212140</v>
          </cell>
        </row>
        <row r="50">
          <cell r="D50" t="str">
            <v>PT-CIKARANG TIMUR</v>
          </cell>
          <cell r="V50" t="str">
            <v>DSEIN036</v>
          </cell>
          <cell r="W50" t="str">
            <v>1-136179672287</v>
          </cell>
        </row>
        <row r="51">
          <cell r="D51" t="str">
            <v>PT-BABELAN</v>
          </cell>
          <cell r="V51" t="str">
            <v>DSEIN039</v>
          </cell>
          <cell r="W51" t="str">
            <v>1-193857017613</v>
          </cell>
        </row>
        <row r="52">
          <cell r="D52" t="str">
            <v>PT-CENGKARENG</v>
          </cell>
          <cell r="V52" t="str">
            <v>DSEIN042</v>
          </cell>
          <cell r="W52" t="str">
            <v>1-135606329021</v>
          </cell>
        </row>
        <row r="53">
          <cell r="D53" t="str">
            <v>PT-KEMBANGAN</v>
          </cell>
          <cell r="V53" t="str">
            <v>DSEIN043</v>
          </cell>
          <cell r="W53" t="str">
            <v>1-28824968786</v>
          </cell>
        </row>
        <row r="54">
          <cell r="D54" t="str">
            <v>PT-CENGKARENG</v>
          </cell>
          <cell r="V54" t="str">
            <v>DSEIN044</v>
          </cell>
          <cell r="W54" t="str">
            <v>1-135606436031</v>
          </cell>
        </row>
        <row r="55">
          <cell r="D55" t="str">
            <v>PT-CENGKARENG</v>
          </cell>
          <cell r="V55" t="str">
            <v>DSEIN055</v>
          </cell>
          <cell r="W55" t="str">
            <v>1-28824968782</v>
          </cell>
        </row>
        <row r="56">
          <cell r="D56" t="str">
            <v>PT-KEMBANGAN</v>
          </cell>
          <cell r="V56" t="str">
            <v>DSEIN056</v>
          </cell>
          <cell r="W56" t="str">
            <v>1-28824968784</v>
          </cell>
        </row>
        <row r="57">
          <cell r="D57" t="str">
            <v>PT-KEMBANGAN</v>
          </cell>
          <cell r="V57" t="str">
            <v>DSEIN057</v>
          </cell>
          <cell r="W57" t="str">
            <v>1-28824968790</v>
          </cell>
        </row>
        <row r="58">
          <cell r="D58" t="str">
            <v>PT-CENGKARENG</v>
          </cell>
          <cell r="V58" t="str">
            <v>DSEIN058</v>
          </cell>
          <cell r="W58" t="str">
            <v>1-28824968798</v>
          </cell>
        </row>
        <row r="59">
          <cell r="D59" t="str">
            <v>PT-GROGOL</v>
          </cell>
          <cell r="V59" t="str">
            <v>DSEIN059</v>
          </cell>
          <cell r="W59" t="str">
            <v>1-28825211802</v>
          </cell>
        </row>
        <row r="60">
          <cell r="D60" t="str">
            <v>PT-KEMBANGAN</v>
          </cell>
          <cell r="V60" t="str">
            <v>DSEIN060</v>
          </cell>
          <cell r="W60" t="str">
            <v>1-28825211808</v>
          </cell>
        </row>
        <row r="61">
          <cell r="D61" t="str">
            <v>PT-TAMBUN</v>
          </cell>
          <cell r="V61" t="str">
            <v>DSETMUN01</v>
          </cell>
          <cell r="W61" t="str">
            <v>DSETMUN013ID</v>
          </cell>
        </row>
        <row r="62">
          <cell r="D62" t="str">
            <v>PT-TAMBUN</v>
          </cell>
          <cell r="V62" t="str">
            <v>DSETMUN02</v>
          </cell>
          <cell r="W62" t="str">
            <v>DSETMUN023ID</v>
          </cell>
        </row>
        <row r="63">
          <cell r="D63" t="str">
            <v>PT-TAMBUN</v>
          </cell>
          <cell r="V63" t="str">
            <v>DSETMUN05</v>
          </cell>
          <cell r="W63" t="str">
            <v>DSETMUN053ID</v>
          </cell>
        </row>
        <row r="64">
          <cell r="D64" t="str">
            <v>PT-TAMBUN</v>
          </cell>
          <cell r="V64" t="str">
            <v>DSETMUN06</v>
          </cell>
          <cell r="W64" t="str">
            <v>DSETMUN063ID</v>
          </cell>
        </row>
        <row r="65">
          <cell r="D65" t="str">
            <v>PT-BABELAN</v>
          </cell>
          <cell r="V65" t="str">
            <v>DSETMUN09</v>
          </cell>
          <cell r="W65" t="str">
            <v>DSETMUN093ID</v>
          </cell>
        </row>
        <row r="66">
          <cell r="D66" t="str">
            <v>PT-BABELAN</v>
          </cell>
          <cell r="V66" t="str">
            <v>DSETMUN10</v>
          </cell>
          <cell r="W66" t="str">
            <v>DSETMUN103ID</v>
          </cell>
        </row>
        <row r="67">
          <cell r="D67" t="str">
            <v>PT-BABELAN</v>
          </cell>
          <cell r="V67" t="str">
            <v>DSETMUN11</v>
          </cell>
          <cell r="W67" t="str">
            <v>DSETMUN113ID</v>
          </cell>
        </row>
        <row r="68">
          <cell r="D68" t="str">
            <v>PT-BATUJAYA</v>
          </cell>
          <cell r="V68" t="str">
            <v>CSOEASTRDK05</v>
          </cell>
          <cell r="W68" t="str">
            <v>CSOEASTRDK053ID</v>
          </cell>
        </row>
        <row r="69">
          <cell r="D69" t="str">
            <v>PT-BATUJAYA</v>
          </cell>
          <cell r="V69" t="str">
            <v>CSOEASTRDK08</v>
          </cell>
          <cell r="W69" t="str">
            <v>CSOEASTRDK083ID</v>
          </cell>
        </row>
        <row r="70">
          <cell r="D70" t="str">
            <v>PT-BATUJAYA</v>
          </cell>
          <cell r="V70" t="str">
            <v>D526082014</v>
          </cell>
          <cell r="W70" t="str">
            <v>D5260820143ID</v>
          </cell>
        </row>
        <row r="71">
          <cell r="D71" t="str">
            <v>PT-BATUJAYA</v>
          </cell>
          <cell r="V71" t="str">
            <v>DSEIN026</v>
          </cell>
          <cell r="W71" t="str">
            <v>1-154089303029</v>
          </cell>
        </row>
        <row r="72">
          <cell r="D72" t="str">
            <v>PT-BATUJAYA</v>
          </cell>
          <cell r="V72" t="str">
            <v>DSERNAK05</v>
          </cell>
          <cell r="W72" t="str">
            <v>DSERNAK053ID</v>
          </cell>
        </row>
        <row r="73">
          <cell r="D73" t="str">
            <v>PT-BATUJAYA</v>
          </cell>
          <cell r="V73" t="str">
            <v>DSERNAK06</v>
          </cell>
          <cell r="W73" t="str">
            <v>DSERNAK063ID</v>
          </cell>
        </row>
        <row r="74">
          <cell r="D74" t="str">
            <v>PT-BATUJAYA</v>
          </cell>
          <cell r="V74" t="str">
            <v>DSERNAK04</v>
          </cell>
          <cell r="W74" t="str">
            <v>DSERNAK043ID</v>
          </cell>
        </row>
        <row r="75">
          <cell r="D75" t="str">
            <v>PT-BATUJAYA</v>
          </cell>
          <cell r="V75" t="str">
            <v>DSERNAK08</v>
          </cell>
          <cell r="W75" t="str">
            <v>DSERNAK083ID</v>
          </cell>
        </row>
        <row r="76">
          <cell r="D76" t="str">
            <v>PT-BATUJAYA</v>
          </cell>
          <cell r="V76" t="str">
            <v>CSOEASTRDK06</v>
          </cell>
          <cell r="W76" t="str">
            <v>CSOEASTRDK063ID</v>
          </cell>
        </row>
        <row r="77">
          <cell r="D77" t="str">
            <v>PT-BEJI</v>
          </cell>
          <cell r="V77">
            <v>2613052261</v>
          </cell>
          <cell r="W77" t="str">
            <v>26130522613ID</v>
          </cell>
        </row>
        <row r="78">
          <cell r="D78" t="str">
            <v>PT-BEJI</v>
          </cell>
          <cell r="V78" t="str">
            <v>CSO-LOKADPK09</v>
          </cell>
          <cell r="W78" t="str">
            <v>CSO-LOKADPK093ID</v>
          </cell>
        </row>
        <row r="79">
          <cell r="D79" t="str">
            <v>PT-BEJI</v>
          </cell>
          <cell r="V79" t="str">
            <v>DSEIN073</v>
          </cell>
          <cell r="W79" t="str">
            <v>1-28825211928</v>
          </cell>
        </row>
        <row r="80">
          <cell r="D80" t="str">
            <v>PT-BEJI</v>
          </cell>
          <cell r="V80" t="str">
            <v>DSEIN054</v>
          </cell>
          <cell r="W80" t="str">
            <v>1-186304893731</v>
          </cell>
        </row>
        <row r="81">
          <cell r="D81" t="str">
            <v>PT-BEJI</v>
          </cell>
          <cell r="V81" t="str">
            <v>DSEIN052</v>
          </cell>
          <cell r="W81" t="str">
            <v>1-186304119396</v>
          </cell>
        </row>
        <row r="82">
          <cell r="D82" t="str">
            <v>PT-BEJI</v>
          </cell>
          <cell r="V82" t="str">
            <v>CSO-LOKADPK02</v>
          </cell>
          <cell r="W82" t="str">
            <v>CSO-LOKADPK023ID</v>
          </cell>
        </row>
        <row r="83">
          <cell r="D83" t="str">
            <v>PT-BEKASI TENGAH</v>
          </cell>
          <cell r="V83" t="str">
            <v>DSEIN007</v>
          </cell>
          <cell r="W83" t="str">
            <v>1-135606436407</v>
          </cell>
        </row>
        <row r="84">
          <cell r="D84" t="str">
            <v>PT-BEKASI TENGAH</v>
          </cell>
          <cell r="V84" t="str">
            <v>DSEIN038</v>
          </cell>
          <cell r="W84" t="str">
            <v>1-170588695616</v>
          </cell>
        </row>
        <row r="85">
          <cell r="D85" t="str">
            <v>PT-BEKASI TENGAH</v>
          </cell>
          <cell r="V85" t="str">
            <v>DSEIN019</v>
          </cell>
          <cell r="W85" t="str">
            <v>1-28825212086</v>
          </cell>
        </row>
        <row r="86">
          <cell r="D86" t="str">
            <v>PT-BEKASI TENGAH</v>
          </cell>
          <cell r="V86" t="str">
            <v>DSEIN027</v>
          </cell>
          <cell r="W86" t="str">
            <v>1-135596391663</v>
          </cell>
        </row>
        <row r="87">
          <cell r="D87" t="str">
            <v>PT-BEKASI TENGAH</v>
          </cell>
          <cell r="V87" t="str">
            <v>CSOBKST-01</v>
          </cell>
          <cell r="W87" t="str">
            <v>CSOBKST-013ID</v>
          </cell>
        </row>
        <row r="88">
          <cell r="D88" t="str">
            <v>PT-BEKASI TENGAH</v>
          </cell>
          <cell r="V88" t="str">
            <v>DSEIN006</v>
          </cell>
          <cell r="W88" t="str">
            <v>1-28825212060</v>
          </cell>
        </row>
        <row r="89">
          <cell r="D89" t="str">
            <v>PT-BEKASI TENGAH</v>
          </cell>
          <cell r="V89" t="str">
            <v>DSEIN003</v>
          </cell>
          <cell r="W89" t="str">
            <v>1-28825212068</v>
          </cell>
        </row>
        <row r="90">
          <cell r="D90" t="str">
            <v>PT-BEKASI TENGAH</v>
          </cell>
          <cell r="V90" t="str">
            <v>DSEIN020</v>
          </cell>
          <cell r="W90" t="str">
            <v>1-136179672105</v>
          </cell>
        </row>
        <row r="91">
          <cell r="D91" t="str">
            <v>PT-BEKASI TENGAH</v>
          </cell>
          <cell r="V91" t="str">
            <v>CSOBKST-02</v>
          </cell>
          <cell r="W91" t="str">
            <v>CSOBKST-023ID</v>
          </cell>
        </row>
        <row r="92">
          <cell r="D92" t="str">
            <v>PT-BEKASI TENGAH</v>
          </cell>
          <cell r="V92" t="str">
            <v>CSOBKST-08</v>
          </cell>
          <cell r="W92" t="str">
            <v>CSOBKST-083ID</v>
          </cell>
        </row>
        <row r="93">
          <cell r="D93" t="str">
            <v>PT-BEKASI UTARA</v>
          </cell>
          <cell r="V93" t="str">
            <v>CSOBKST-06</v>
          </cell>
          <cell r="W93" t="str">
            <v>CSOBKST-063ID</v>
          </cell>
        </row>
        <row r="94">
          <cell r="D94" t="str">
            <v>PT-BEKASI UTARA</v>
          </cell>
          <cell r="V94" t="str">
            <v>DSEIN040</v>
          </cell>
          <cell r="W94" t="str">
            <v>1-28825212056</v>
          </cell>
        </row>
        <row r="95">
          <cell r="D95" t="str">
            <v>PT-BEKASI UTARA</v>
          </cell>
          <cell r="V95" t="str">
            <v>DSEIN041</v>
          </cell>
          <cell r="W95" t="str">
            <v>1-135596392079</v>
          </cell>
        </row>
        <row r="96">
          <cell r="D96" t="str">
            <v>PT-BEKASI UTARA</v>
          </cell>
          <cell r="V96" t="str">
            <v>DSEIN030</v>
          </cell>
          <cell r="W96" t="str">
            <v>1-28825212058</v>
          </cell>
        </row>
        <row r="97">
          <cell r="D97" t="str">
            <v>PT-BEKASI UTARA</v>
          </cell>
          <cell r="V97" t="str">
            <v>CSOBKST-09</v>
          </cell>
          <cell r="W97" t="str">
            <v>CSOBKST-093ID</v>
          </cell>
        </row>
        <row r="98">
          <cell r="D98" t="str">
            <v>PT-BEKASI UTARA</v>
          </cell>
          <cell r="V98" t="str">
            <v>CSOBKST-10</v>
          </cell>
          <cell r="W98" t="str">
            <v>CSOBKST-103ID</v>
          </cell>
        </row>
        <row r="99">
          <cell r="D99" t="str">
            <v>PT-CAKUNG</v>
          </cell>
          <cell r="V99" t="str">
            <v>DSEIN061</v>
          </cell>
          <cell r="W99" t="str">
            <v>1-28825211814</v>
          </cell>
        </row>
        <row r="100">
          <cell r="D100" t="str">
            <v>PT-CAKUNG</v>
          </cell>
          <cell r="V100" t="str">
            <v>DSEIN062</v>
          </cell>
          <cell r="W100" t="str">
            <v>1-28825211818</v>
          </cell>
        </row>
        <row r="101">
          <cell r="D101" t="str">
            <v>PT-CAKUNG</v>
          </cell>
          <cell r="V101" t="str">
            <v>DSEIN064</v>
          </cell>
          <cell r="W101" t="str">
            <v>1-28825211822</v>
          </cell>
        </row>
        <row r="102">
          <cell r="D102" t="str">
            <v>PT-CAKUNG</v>
          </cell>
          <cell r="V102" t="str">
            <v>DSEIN068</v>
          </cell>
          <cell r="W102" t="str">
            <v>1-28825211834</v>
          </cell>
        </row>
        <row r="103">
          <cell r="D103" t="str">
            <v>PT-CAKUNG</v>
          </cell>
          <cell r="V103" t="str">
            <v>DSEIN069</v>
          </cell>
          <cell r="W103" t="str">
            <v>1-28825211840</v>
          </cell>
        </row>
        <row r="104">
          <cell r="D104" t="str">
            <v>PT-CAKUNG</v>
          </cell>
          <cell r="V104" t="str">
            <v>DSEIN072</v>
          </cell>
          <cell r="W104" t="str">
            <v>1-28825211858</v>
          </cell>
        </row>
        <row r="105">
          <cell r="D105" t="str">
            <v>PT-CAKUNG</v>
          </cell>
          <cell r="V105" t="str">
            <v>DSEDURSAW083</v>
          </cell>
          <cell r="W105" t="str">
            <v>DSEDURSAW0833ID</v>
          </cell>
        </row>
        <row r="106">
          <cell r="D106" t="str">
            <v>PT-CAKUNG</v>
          </cell>
          <cell r="V106" t="str">
            <v>DSEDURSAW703</v>
          </cell>
          <cell r="W106" t="str">
            <v>DSEDURSAW7033ID</v>
          </cell>
        </row>
        <row r="107">
          <cell r="D107" t="str">
            <v>PT-CAKUNG</v>
          </cell>
          <cell r="V107" t="str">
            <v>DSEDURSAW704</v>
          </cell>
          <cell r="W107" t="str">
            <v>DSEDURSAW7043ID</v>
          </cell>
        </row>
        <row r="108">
          <cell r="D108" t="str">
            <v>PT-CAKUNG</v>
          </cell>
          <cell r="V108" t="str">
            <v>DSEDURSAW707</v>
          </cell>
          <cell r="W108" t="str">
            <v>DSEDURSAW7073ID</v>
          </cell>
        </row>
        <row r="109">
          <cell r="D109" t="str">
            <v>PT-CAKUNG</v>
          </cell>
          <cell r="V109" t="str">
            <v>DSEDURSAW957</v>
          </cell>
          <cell r="W109" t="str">
            <v>DSEDURSAW9573ID</v>
          </cell>
        </row>
        <row r="110">
          <cell r="D110" t="str">
            <v>PT-CAKUNG</v>
          </cell>
          <cell r="V110" t="str">
            <v>DSEMATJAT739</v>
          </cell>
          <cell r="W110" t="str">
            <v>DSEMATJAT7393ID</v>
          </cell>
        </row>
        <row r="111">
          <cell r="D111" t="str">
            <v>PT-CEMPAKA PUTIH</v>
          </cell>
          <cell r="V111">
            <v>2613050977</v>
          </cell>
          <cell r="W111" t="str">
            <v>26130509773ID</v>
          </cell>
        </row>
        <row r="112">
          <cell r="D112" t="str">
            <v>PT-CEMPAKA PUTIH</v>
          </cell>
          <cell r="V112">
            <v>2613052398</v>
          </cell>
          <cell r="W112" t="str">
            <v>26130523983ID</v>
          </cell>
        </row>
        <row r="113">
          <cell r="D113" t="str">
            <v>PT-CEMPAKA PUTIH</v>
          </cell>
          <cell r="V113" t="str">
            <v>CSOBUANAJKP05</v>
          </cell>
          <cell r="W113" t="str">
            <v>CSOBUANAJKP053ID</v>
          </cell>
        </row>
        <row r="114">
          <cell r="D114" t="str">
            <v>PT-CEMPAKA PUTIH</v>
          </cell>
          <cell r="V114" t="str">
            <v>CSOBUANAJKP07</v>
          </cell>
          <cell r="W114" t="str">
            <v>CSOBUANAJKP073ID</v>
          </cell>
        </row>
        <row r="115">
          <cell r="D115" t="str">
            <v>PT-CEMPAKA PUTIH</v>
          </cell>
          <cell r="V115" t="str">
            <v>CSOBUANAJKP08</v>
          </cell>
          <cell r="W115" t="str">
            <v>CSOBUANAJKP083ID</v>
          </cell>
        </row>
        <row r="116">
          <cell r="D116" t="str">
            <v>PT-CEMPAKA PUTIH</v>
          </cell>
          <cell r="V116" t="str">
            <v>CSOBUANAJKP09</v>
          </cell>
          <cell r="W116" t="str">
            <v>CSOBUANAJKP093ID</v>
          </cell>
        </row>
        <row r="117">
          <cell r="D117" t="str">
            <v>PT-CEMPAKA PUTIH</v>
          </cell>
          <cell r="V117" t="str">
            <v>CSOBUANAJKP11</v>
          </cell>
          <cell r="W117" t="str">
            <v>CSOBUANAJKP113ID</v>
          </cell>
        </row>
        <row r="118">
          <cell r="D118" t="str">
            <v>PT-CEMPAKA PUTIH</v>
          </cell>
          <cell r="V118" t="str">
            <v>CSOBUANAJKP12</v>
          </cell>
          <cell r="W118" t="str">
            <v>CSOBUANAJKP123ID</v>
          </cell>
        </row>
        <row r="119">
          <cell r="D119" t="str">
            <v>PT-CEMPAKA PUTIH</v>
          </cell>
          <cell r="V119" t="str">
            <v>CSOBUANAJKP14</v>
          </cell>
          <cell r="W119" t="str">
            <v>CSOBUANAJKP143ID</v>
          </cell>
        </row>
        <row r="120">
          <cell r="D120" t="str">
            <v>PT-CIMANGGIS</v>
          </cell>
          <cell r="V120" t="str">
            <v>CSO-LOKADPK20</v>
          </cell>
          <cell r="W120" t="str">
            <v>CSO-LOKADPK203ID</v>
          </cell>
        </row>
        <row r="121">
          <cell r="D121" t="str">
            <v>PT-CIMANGGIS</v>
          </cell>
          <cell r="V121" t="str">
            <v>CSO-LOKADPK06</v>
          </cell>
          <cell r="W121" t="str">
            <v>CSO-LOKADPK063ID</v>
          </cell>
        </row>
        <row r="122">
          <cell r="D122" t="str">
            <v>PT-CIMANGGIS</v>
          </cell>
          <cell r="V122" t="str">
            <v>CSO-LOKADPK27</v>
          </cell>
          <cell r="W122" t="str">
            <v>CSO-LOKADPK273ID</v>
          </cell>
        </row>
        <row r="123">
          <cell r="D123" t="str">
            <v>PT-CIMANGGIS</v>
          </cell>
          <cell r="V123" t="str">
            <v>CSO-LOKADPK25</v>
          </cell>
          <cell r="W123" t="str">
            <v>CSO-LOKADPK253ID</v>
          </cell>
        </row>
        <row r="124">
          <cell r="D124" t="str">
            <v>PT-CIMANGGIS</v>
          </cell>
          <cell r="V124" t="str">
            <v>CSO-LOKADPK17</v>
          </cell>
          <cell r="W124" t="str">
            <v>CSO-LOKADPK173ID</v>
          </cell>
        </row>
        <row r="125">
          <cell r="D125" t="str">
            <v>PT-CIMANGGIS</v>
          </cell>
          <cell r="V125" t="str">
            <v>CSO-LOKADPK23</v>
          </cell>
          <cell r="W125" t="str">
            <v>CSO-LOKADPK233ID</v>
          </cell>
        </row>
        <row r="126">
          <cell r="D126" t="str">
            <v>PT-CIPAYUNG</v>
          </cell>
          <cell r="V126" t="str">
            <v>CSO-LOKADPK26</v>
          </cell>
          <cell r="W126" t="str">
            <v>CSO-LOKADPK263ID</v>
          </cell>
        </row>
        <row r="127">
          <cell r="D127" t="str">
            <v>PT-CIPAYUNG</v>
          </cell>
          <cell r="V127" t="str">
            <v>CSO-LOKADPK21</v>
          </cell>
          <cell r="W127" t="str">
            <v>CSO-LOKADPK213ID</v>
          </cell>
        </row>
        <row r="128">
          <cell r="D128" t="str">
            <v>PT-CIPAYUNG</v>
          </cell>
          <cell r="V128" t="str">
            <v>DSEIN045</v>
          </cell>
          <cell r="W128" t="str">
            <v>1-136291163598</v>
          </cell>
        </row>
        <row r="129">
          <cell r="D129" t="str">
            <v>PT-CIPAYUNG</v>
          </cell>
          <cell r="V129" t="str">
            <v>1-186306401553</v>
          </cell>
          <cell r="W129" t="str">
            <v>1-1863064015533ID</v>
          </cell>
        </row>
        <row r="130">
          <cell r="D130" t="str">
            <v>PT-CIPAYUNG</v>
          </cell>
          <cell r="V130" t="str">
            <v>CSO-LOKADPK19</v>
          </cell>
          <cell r="W130" t="str">
            <v>CSO-LOKADPK193ID</v>
          </cell>
        </row>
        <row r="131">
          <cell r="D131" t="str">
            <v>PT-CIPAYUNG</v>
          </cell>
          <cell r="V131" t="str">
            <v>CSO-LOKADPK07</v>
          </cell>
          <cell r="W131" t="str">
            <v>CSO-LOKADPK073ID</v>
          </cell>
        </row>
        <row r="132">
          <cell r="D132" t="str">
            <v>PT-CIPAYUNG</v>
          </cell>
          <cell r="V132" t="str">
            <v>CSO-LOKADPK29</v>
          </cell>
          <cell r="W132" t="str">
            <v>CSO-LOKADPK293ID</v>
          </cell>
        </row>
        <row r="133">
          <cell r="D133" t="str">
            <v>PT-CIPAYUNG</v>
          </cell>
          <cell r="V133" t="str">
            <v>CSO-LOKADPK08</v>
          </cell>
          <cell r="W133" t="str">
            <v>CSO-LOKADPK083ID</v>
          </cell>
        </row>
        <row r="134">
          <cell r="D134" t="str">
            <v>PT-CIRACAS</v>
          </cell>
          <cell r="V134" t="str">
            <v>DSEIN047</v>
          </cell>
          <cell r="W134" t="str">
            <v>1-136297797461</v>
          </cell>
        </row>
        <row r="135">
          <cell r="D135" t="str">
            <v>PT-CIRACAS</v>
          </cell>
          <cell r="V135" t="str">
            <v>DSEIN049</v>
          </cell>
          <cell r="W135" t="str">
            <v>1-136301153371</v>
          </cell>
        </row>
        <row r="136">
          <cell r="D136" t="str">
            <v>PT-CIRACAS</v>
          </cell>
          <cell r="V136" t="str">
            <v>DSEIN070</v>
          </cell>
          <cell r="W136" t="str">
            <v>1-28825211850</v>
          </cell>
        </row>
        <row r="137">
          <cell r="D137" t="str">
            <v>PT-CIRACAS</v>
          </cell>
          <cell r="V137" t="str">
            <v>DSEIN071</v>
          </cell>
          <cell r="W137" t="str">
            <v>1-28825211852</v>
          </cell>
        </row>
        <row r="138">
          <cell r="D138" t="str">
            <v>PT-CIRACAS</v>
          </cell>
          <cell r="V138">
            <v>2613050742</v>
          </cell>
          <cell r="W138" t="str">
            <v>26130507423ID</v>
          </cell>
        </row>
        <row r="139">
          <cell r="D139" t="str">
            <v>PT-CIRACAS</v>
          </cell>
          <cell r="V139" t="str">
            <v>DSECIPCIR271</v>
          </cell>
          <cell r="W139" t="str">
            <v>DSECIPCIR2713ID</v>
          </cell>
        </row>
        <row r="140">
          <cell r="D140" t="str">
            <v>PT-CIRACAS</v>
          </cell>
          <cell r="V140" t="str">
            <v>DSECIPCIR273</v>
          </cell>
          <cell r="W140" t="str">
            <v>DSECIPCIR2733ID</v>
          </cell>
        </row>
        <row r="141">
          <cell r="D141" t="str">
            <v>PT-CIRACAS</v>
          </cell>
          <cell r="V141" t="str">
            <v>DSECIPCIR276</v>
          </cell>
          <cell r="W141" t="str">
            <v>DSECIPCIR2763ID</v>
          </cell>
        </row>
        <row r="142">
          <cell r="D142" t="str">
            <v>PT-CIRACAS</v>
          </cell>
          <cell r="V142" t="str">
            <v>DSECIPCIR295</v>
          </cell>
          <cell r="W142" t="str">
            <v>DSECIPCIR2953ID</v>
          </cell>
        </row>
        <row r="143">
          <cell r="D143" t="str">
            <v>PT-EAST CIKAMPEK</v>
          </cell>
          <cell r="V143">
            <v>2613050983</v>
          </cell>
          <cell r="W143" t="str">
            <v>26130509833ID</v>
          </cell>
        </row>
        <row r="144">
          <cell r="D144" t="str">
            <v>PT-EAST CIKAMPEK</v>
          </cell>
          <cell r="V144" t="str">
            <v>CSO-CKP004</v>
          </cell>
          <cell r="W144" t="str">
            <v>CSO-CKP0043ID</v>
          </cell>
        </row>
        <row r="145">
          <cell r="D145" t="str">
            <v>PT-EAST CIKAMPEK</v>
          </cell>
          <cell r="V145" t="str">
            <v>CSO-CKP007</v>
          </cell>
          <cell r="W145" t="str">
            <v>CSO-CKP0073ID</v>
          </cell>
        </row>
        <row r="146">
          <cell r="D146" t="str">
            <v>PT-BANYUSARI</v>
          </cell>
          <cell r="V146" t="str">
            <v>DSE22310006</v>
          </cell>
          <cell r="W146" t="str">
            <v>DSE223100063ID</v>
          </cell>
        </row>
        <row r="147">
          <cell r="D147" t="str">
            <v>PT-EAST CIKAMPEK</v>
          </cell>
          <cell r="V147" t="str">
            <v>DSECKMK03</v>
          </cell>
          <cell r="W147" t="str">
            <v>DSECKMK033ID</v>
          </cell>
        </row>
        <row r="148">
          <cell r="D148" t="str">
            <v>PT-EAST CIKAMPEK</v>
          </cell>
          <cell r="V148" t="str">
            <v>DSECKMK05</v>
          </cell>
          <cell r="W148" t="str">
            <v>DSECKMK053ID</v>
          </cell>
        </row>
        <row r="149">
          <cell r="D149" t="str">
            <v>PT-KARAWANG</v>
          </cell>
          <cell r="V149">
            <v>2613050705</v>
          </cell>
          <cell r="W149" t="str">
            <v>26130507053ID</v>
          </cell>
        </row>
        <row r="150">
          <cell r="D150" t="str">
            <v>PT-KARAWANG</v>
          </cell>
          <cell r="V150" t="str">
            <v>DSEKRWG02</v>
          </cell>
          <cell r="W150" t="str">
            <v>DSEKRWG023ID</v>
          </cell>
        </row>
        <row r="151">
          <cell r="D151" t="str">
            <v>PT-KARAWANG</v>
          </cell>
          <cell r="V151" t="str">
            <v>DSEKRWG03</v>
          </cell>
          <cell r="W151" t="str">
            <v>DSEKRWG033ID</v>
          </cell>
        </row>
        <row r="152">
          <cell r="D152" t="str">
            <v>PT-KARAWANG</v>
          </cell>
          <cell r="V152" t="str">
            <v>DSEKRWG04</v>
          </cell>
          <cell r="W152" t="str">
            <v>DSEKRWG043ID</v>
          </cell>
        </row>
        <row r="153">
          <cell r="D153" t="str">
            <v>PT-KARAWANG</v>
          </cell>
          <cell r="V153">
            <v>2613051097</v>
          </cell>
          <cell r="W153" t="str">
            <v>26130510973ID</v>
          </cell>
        </row>
        <row r="154">
          <cell r="D154" t="str">
            <v>PT-KARAWANG</v>
          </cell>
          <cell r="V154" t="str">
            <v>DSEKRWG06</v>
          </cell>
          <cell r="W154" t="str">
            <v>DSEKRWG063ID</v>
          </cell>
        </row>
        <row r="155">
          <cell r="D155" t="str">
            <v>PT-KARAWANG</v>
          </cell>
          <cell r="V155">
            <v>2613051098</v>
          </cell>
          <cell r="W155" t="str">
            <v>26130510983ID</v>
          </cell>
        </row>
        <row r="156">
          <cell r="D156" t="str">
            <v>PT-KARAWANG</v>
          </cell>
          <cell r="V156" t="str">
            <v>DSEKRWG08</v>
          </cell>
          <cell r="W156" t="str">
            <v>DSEKRWG083ID</v>
          </cell>
        </row>
        <row r="157">
          <cell r="D157" t="str">
            <v>PT-KEBAYORAN</v>
          </cell>
          <cell r="V157" t="str">
            <v>DSEKEBAY775</v>
          </cell>
          <cell r="W157" t="str">
            <v>DSEKEBAY7753ID</v>
          </cell>
        </row>
        <row r="158">
          <cell r="D158" t="str">
            <v>PT-KEBAYORAN</v>
          </cell>
          <cell r="V158" t="str">
            <v>DSEKEBAY168</v>
          </cell>
          <cell r="W158" t="str">
            <v>DSEKEBAY1683ID</v>
          </cell>
        </row>
        <row r="159">
          <cell r="D159" t="str">
            <v>PT-KEBAYORAN</v>
          </cell>
          <cell r="V159">
            <v>2613051196</v>
          </cell>
          <cell r="W159" t="str">
            <v>26130511963ID</v>
          </cell>
        </row>
        <row r="160">
          <cell r="D160" t="str">
            <v>PT-KEBAYORAN</v>
          </cell>
          <cell r="V160" t="str">
            <v>DSEKEBAY768</v>
          </cell>
          <cell r="W160" t="str">
            <v>DSEKEBAY7683ID</v>
          </cell>
        </row>
        <row r="161">
          <cell r="D161" t="str">
            <v>PT-KEBAYORAN</v>
          </cell>
          <cell r="V161" t="str">
            <v>DSEKEBAY965</v>
          </cell>
          <cell r="W161" t="str">
            <v>DSEKEBAY9653ID</v>
          </cell>
        </row>
        <row r="162">
          <cell r="D162" t="str">
            <v>PT-KEBAYORAN</v>
          </cell>
          <cell r="V162" t="str">
            <v>DSEKEBAY084</v>
          </cell>
          <cell r="W162" t="str">
            <v>DSEKEBAY0843ID</v>
          </cell>
        </row>
        <row r="163">
          <cell r="D163" t="str">
            <v>PT-KEBAYORAN</v>
          </cell>
          <cell r="V163">
            <v>2613051197</v>
          </cell>
          <cell r="W163" t="str">
            <v>26130511973ID</v>
          </cell>
        </row>
        <row r="164">
          <cell r="D164" t="str">
            <v>PT-KEBAYORAN</v>
          </cell>
          <cell r="V164">
            <v>2613052472</v>
          </cell>
          <cell r="W164" t="str">
            <v>26130524723ID</v>
          </cell>
        </row>
        <row r="165">
          <cell r="D165" t="str">
            <v>PT-KEBAYORAN</v>
          </cell>
          <cell r="V165">
            <v>2613051371</v>
          </cell>
          <cell r="W165" t="str">
            <v>26130513713ID</v>
          </cell>
        </row>
        <row r="166">
          <cell r="D166" t="str">
            <v>PT-KELAPA GADING</v>
          </cell>
          <cell r="V166">
            <v>2613050474</v>
          </cell>
          <cell r="W166" t="str">
            <v>26130504743ID</v>
          </cell>
        </row>
        <row r="167">
          <cell r="D167" t="str">
            <v>PT-KELAPA GADING</v>
          </cell>
          <cell r="V167">
            <v>2613051092</v>
          </cell>
          <cell r="W167" t="str">
            <v>26130510923ID</v>
          </cell>
        </row>
        <row r="168">
          <cell r="D168" t="str">
            <v>PT-KELAPA GADING</v>
          </cell>
          <cell r="V168">
            <v>2613051872</v>
          </cell>
          <cell r="W168" t="str">
            <v>26130518723ID</v>
          </cell>
        </row>
        <row r="169">
          <cell r="D169" t="str">
            <v>PT-KELAPA GADING</v>
          </cell>
          <cell r="V169" t="str">
            <v>DSEBUANAJKU03</v>
          </cell>
          <cell r="W169" t="str">
            <v>DSEBUANAJKU033ID</v>
          </cell>
        </row>
        <row r="170">
          <cell r="D170" t="str">
            <v>PT-KELAPA GADING</v>
          </cell>
          <cell r="V170" t="str">
            <v>DSEBUANAJKU04</v>
          </cell>
          <cell r="W170" t="str">
            <v>DSEBUANAJKU043ID</v>
          </cell>
        </row>
        <row r="171">
          <cell r="D171" t="str">
            <v>PT-KELAPA GADING</v>
          </cell>
          <cell r="V171" t="str">
            <v>DSEBUANAJKU05</v>
          </cell>
          <cell r="W171" t="str">
            <v>DSEBUANAJKU053ID</v>
          </cell>
        </row>
        <row r="172">
          <cell r="D172" t="str">
            <v>PT-KELAPA GADING</v>
          </cell>
          <cell r="V172" t="str">
            <v>DSEBUANAJKU08</v>
          </cell>
          <cell r="W172" t="str">
            <v>DSEBUANAJKU083ID</v>
          </cell>
        </row>
        <row r="173">
          <cell r="D173" t="str">
            <v>PT-KRAMATJATI</v>
          </cell>
          <cell r="V173" t="str">
            <v>DSEIN050</v>
          </cell>
          <cell r="W173" t="str">
            <v>1-136301153553</v>
          </cell>
        </row>
        <row r="174">
          <cell r="D174" t="str">
            <v>PT-KRAMATJATI</v>
          </cell>
          <cell r="V174">
            <v>2613050467</v>
          </cell>
          <cell r="W174" t="str">
            <v>26130504673ID</v>
          </cell>
        </row>
        <row r="175">
          <cell r="D175" t="str">
            <v>PT-KRAMATJATI</v>
          </cell>
          <cell r="V175" t="str">
            <v>DSEMATJAT751</v>
          </cell>
          <cell r="W175" t="str">
            <v>DSEMATJAT7513ID</v>
          </cell>
        </row>
        <row r="176">
          <cell r="D176" t="str">
            <v>PT-KRAMATJATI</v>
          </cell>
          <cell r="V176" t="str">
            <v>DSEIN046</v>
          </cell>
          <cell r="W176" t="str">
            <v>1-136291164227</v>
          </cell>
        </row>
        <row r="177">
          <cell r="D177" t="str">
            <v>PT-KRAMATJATI</v>
          </cell>
          <cell r="V177" t="str">
            <v>DSEIN013</v>
          </cell>
          <cell r="W177" t="str">
            <v>1-136297797435</v>
          </cell>
        </row>
        <row r="178">
          <cell r="D178" t="str">
            <v>PT-KRAMATJATI</v>
          </cell>
          <cell r="V178" t="str">
            <v>DSEIN048</v>
          </cell>
          <cell r="W178" t="str">
            <v>1-136297797513</v>
          </cell>
        </row>
        <row r="179">
          <cell r="D179" t="str">
            <v>PT-KRAMATJATI</v>
          </cell>
          <cell r="V179" t="str">
            <v>DSEMATJAT750</v>
          </cell>
          <cell r="W179" t="str">
            <v>DSEMATJAT7503ID</v>
          </cell>
        </row>
        <row r="180">
          <cell r="D180" t="str">
            <v>PT-MATRAMAN</v>
          </cell>
          <cell r="V180" t="str">
            <v>DSEIN063</v>
          </cell>
          <cell r="W180" t="str">
            <v>1-28825211820</v>
          </cell>
        </row>
        <row r="181">
          <cell r="D181" t="str">
            <v>PT-MATRAMAN</v>
          </cell>
          <cell r="V181" t="str">
            <v>DSEIN065</v>
          </cell>
          <cell r="W181" t="str">
            <v>1-28825211824</v>
          </cell>
        </row>
        <row r="182">
          <cell r="D182" t="str">
            <v>PT-MATRAMAN</v>
          </cell>
          <cell r="V182" t="str">
            <v>DSEIN066</v>
          </cell>
          <cell r="W182" t="str">
            <v>1-28825211826</v>
          </cell>
        </row>
        <row r="183">
          <cell r="D183" t="str">
            <v>PT-MATRAMAN</v>
          </cell>
          <cell r="V183" t="str">
            <v>DSEIN067</v>
          </cell>
          <cell r="W183" t="str">
            <v>1-28825211828</v>
          </cell>
        </row>
        <row r="184">
          <cell r="D184" t="str">
            <v>PT-MATRAMAN</v>
          </cell>
          <cell r="V184" t="str">
            <v>DSEMATJAT740</v>
          </cell>
          <cell r="W184" t="str">
            <v>DSEMATJAT7403ID</v>
          </cell>
        </row>
        <row r="185">
          <cell r="D185" t="str">
            <v>PT-MATRAMAN</v>
          </cell>
          <cell r="V185" t="str">
            <v>DSEMATJAT746</v>
          </cell>
          <cell r="W185" t="str">
            <v>DSEMATJAT7463ID</v>
          </cell>
        </row>
        <row r="186">
          <cell r="D186" t="str">
            <v>PT-MATRAMAN</v>
          </cell>
          <cell r="V186" t="str">
            <v>DSEMATJAT752</v>
          </cell>
          <cell r="W186" t="str">
            <v>DSEMATJAT7523ID</v>
          </cell>
        </row>
        <row r="187">
          <cell r="D187" t="str">
            <v>PT-MATRAMAN</v>
          </cell>
          <cell r="V187" t="str">
            <v>DSEMATJAT753</v>
          </cell>
          <cell r="W187" t="str">
            <v>DSEMATJAT7533ID</v>
          </cell>
        </row>
        <row r="188">
          <cell r="D188" t="str">
            <v>PT-MUSTIKA JAYA</v>
          </cell>
          <cell r="V188" t="str">
            <v>DSEIN028</v>
          </cell>
          <cell r="W188" t="str">
            <v>1-28825212100</v>
          </cell>
        </row>
        <row r="189">
          <cell r="D189" t="str">
            <v>PT-MUSTIKA JAYA</v>
          </cell>
          <cell r="V189" t="str">
            <v>CSOBKSS-12</v>
          </cell>
          <cell r="W189" t="str">
            <v>CSOBKSS-123ID</v>
          </cell>
        </row>
        <row r="190">
          <cell r="D190" t="str">
            <v>PT-MUSTIKA JAYA</v>
          </cell>
          <cell r="V190" t="str">
            <v>DSEIN002</v>
          </cell>
          <cell r="W190" t="str">
            <v>1-28825212088</v>
          </cell>
        </row>
        <row r="191">
          <cell r="D191" t="str">
            <v>PT-MUSTIKA JAYA</v>
          </cell>
          <cell r="V191" t="str">
            <v>DSEIN018</v>
          </cell>
          <cell r="W191" t="str">
            <v>1-136173742121</v>
          </cell>
        </row>
        <row r="192">
          <cell r="D192" t="str">
            <v>PT-MUSTIKA JAYA</v>
          </cell>
          <cell r="V192" t="str">
            <v>CSOBKST-11</v>
          </cell>
          <cell r="W192" t="str">
            <v>CSOBKST-113ID</v>
          </cell>
        </row>
        <row r="193">
          <cell r="D193" t="str">
            <v>PT-MUSTIKA JAYA</v>
          </cell>
          <cell r="V193" t="str">
            <v>CSOBKSB-02</v>
          </cell>
          <cell r="W193" t="str">
            <v>CSOBKSB-023ID</v>
          </cell>
        </row>
        <row r="194">
          <cell r="D194" t="str">
            <v>PT-MUSTIKA JAYA</v>
          </cell>
          <cell r="V194" t="str">
            <v>CSOBKSS-05</v>
          </cell>
          <cell r="W194" t="str">
            <v>CSOBKSS-053ID</v>
          </cell>
        </row>
        <row r="195">
          <cell r="D195" t="str">
            <v>PT-MUSTIKA JAYA</v>
          </cell>
          <cell r="V195" t="str">
            <v>CSOBKSS-04</v>
          </cell>
          <cell r="W195" t="str">
            <v>CSOBKSS-043ID</v>
          </cell>
        </row>
        <row r="196">
          <cell r="D196" t="str">
            <v>PT-PADEMANGAN</v>
          </cell>
          <cell r="V196">
            <v>2613050954</v>
          </cell>
          <cell r="W196" t="str">
            <v>26130509543ID</v>
          </cell>
        </row>
        <row r="197">
          <cell r="D197" t="str">
            <v>PT-PADEMANGAN</v>
          </cell>
          <cell r="V197" t="str">
            <v>CSOSDP2023036</v>
          </cell>
          <cell r="W197" t="str">
            <v>CSOSDP20230363ID</v>
          </cell>
        </row>
        <row r="198">
          <cell r="D198" t="str">
            <v>PT-PADEMANGAN</v>
          </cell>
          <cell r="V198" t="str">
            <v>DSEBUANAJKU11R</v>
          </cell>
          <cell r="W198" t="str">
            <v>DSEBUANAJKU11R3ID</v>
          </cell>
        </row>
        <row r="199">
          <cell r="D199" t="str">
            <v>PT-PADEMANGAN</v>
          </cell>
          <cell r="V199" t="str">
            <v>DSEBUANAJKU14R</v>
          </cell>
          <cell r="W199" t="str">
            <v>DSEBUANAJKU14R3ID</v>
          </cell>
        </row>
        <row r="200">
          <cell r="D200" t="str">
            <v>PT-PADEMANGAN</v>
          </cell>
          <cell r="V200" t="str">
            <v>DSEBUANAJKU16R</v>
          </cell>
          <cell r="W200" t="str">
            <v>DSEBUANAJKU16R3ID</v>
          </cell>
        </row>
        <row r="201">
          <cell r="D201" t="str">
            <v>PT-PADEMANGAN</v>
          </cell>
          <cell r="V201" t="str">
            <v>DSEBUANAJKU17R</v>
          </cell>
          <cell r="W201" t="str">
            <v>DSEBUANAJKU17R3ID</v>
          </cell>
        </row>
        <row r="202">
          <cell r="D202" t="str">
            <v>PT-PADEMANGAN</v>
          </cell>
          <cell r="V202" t="str">
            <v>DSEBUANAJKU18R</v>
          </cell>
          <cell r="W202" t="str">
            <v>DSEBUANAJKU18R3ID</v>
          </cell>
        </row>
        <row r="203">
          <cell r="D203" t="str">
            <v>PT-PADEMANGAN</v>
          </cell>
          <cell r="V203" t="str">
            <v>DSEBUANAJKU20R</v>
          </cell>
          <cell r="W203" t="str">
            <v>DSEBUANAJKU20R3ID</v>
          </cell>
        </row>
        <row r="204">
          <cell r="D204" t="str">
            <v>PT-PANCORAN</v>
          </cell>
          <cell r="V204">
            <v>2613051039</v>
          </cell>
          <cell r="W204" t="str">
            <v>26130510393ID</v>
          </cell>
        </row>
        <row r="205">
          <cell r="D205" t="str">
            <v>PT-PANCORAN</v>
          </cell>
          <cell r="V205">
            <v>2613051011</v>
          </cell>
          <cell r="W205" t="str">
            <v>26130510113ID</v>
          </cell>
        </row>
        <row r="206">
          <cell r="D206" t="str">
            <v>PT-PANCORAN</v>
          </cell>
          <cell r="V206" t="str">
            <v>DSESETPAN656</v>
          </cell>
          <cell r="W206" t="str">
            <v>DSESETPAN6563ID</v>
          </cell>
        </row>
        <row r="207">
          <cell r="D207" t="str">
            <v>PT-PANCORAN</v>
          </cell>
          <cell r="V207">
            <v>2613051040</v>
          </cell>
          <cell r="W207" t="str">
            <v>26130510403ID</v>
          </cell>
        </row>
        <row r="208">
          <cell r="D208" t="str">
            <v>PT-PANCORAN</v>
          </cell>
          <cell r="V208" t="str">
            <v>DSESETPAN663</v>
          </cell>
          <cell r="W208" t="str">
            <v>DSESETPAN6633ID</v>
          </cell>
        </row>
        <row r="209">
          <cell r="D209" t="str">
            <v>PT-PANCORAN</v>
          </cell>
          <cell r="V209">
            <v>2613051141</v>
          </cell>
          <cell r="W209" t="str">
            <v>26130511413ID</v>
          </cell>
        </row>
        <row r="210">
          <cell r="D210" t="str">
            <v>PT-PANCORAN</v>
          </cell>
          <cell r="V210" t="str">
            <v>DSESETPAN856</v>
          </cell>
          <cell r="W210" t="str">
            <v>DSESETPAN8563ID</v>
          </cell>
        </row>
        <row r="211">
          <cell r="D211" t="str">
            <v>PT-PANCORAN</v>
          </cell>
          <cell r="V211" t="str">
            <v>DSESETPAN858</v>
          </cell>
          <cell r="W211" t="str">
            <v>DSESETPAN8583ID</v>
          </cell>
        </row>
        <row r="212">
          <cell r="D212" t="str">
            <v>PT-PANCORAN</v>
          </cell>
          <cell r="V212">
            <v>2613051010</v>
          </cell>
          <cell r="W212" t="str">
            <v>26130510103ID</v>
          </cell>
        </row>
        <row r="213">
          <cell r="D213" t="str">
            <v>PT-PASAR MINGGU</v>
          </cell>
          <cell r="V213" t="str">
            <v>DSEPASMING631</v>
          </cell>
          <cell r="W213" t="str">
            <v>DSEPASMING6313ID</v>
          </cell>
        </row>
        <row r="214">
          <cell r="D214" t="str">
            <v>PT-PASAR MINGGU</v>
          </cell>
          <cell r="V214">
            <v>2613051012</v>
          </cell>
          <cell r="W214" t="str">
            <v>26130510123ID</v>
          </cell>
        </row>
        <row r="215">
          <cell r="D215" t="str">
            <v>PT-PASAR MINGGU</v>
          </cell>
          <cell r="V215">
            <v>2613051037</v>
          </cell>
          <cell r="W215" t="str">
            <v>26130510373ID</v>
          </cell>
        </row>
        <row r="216">
          <cell r="D216" t="str">
            <v>PT-PASAR MINGGU</v>
          </cell>
          <cell r="V216">
            <v>2613051076</v>
          </cell>
          <cell r="W216" t="str">
            <v>26130510763ID</v>
          </cell>
        </row>
        <row r="217">
          <cell r="D217" t="str">
            <v>PT-PASAR MINGGU</v>
          </cell>
          <cell r="V217" t="str">
            <v>DSEPASMING665</v>
          </cell>
          <cell r="W217" t="str">
            <v>DSEPASMING6653ID</v>
          </cell>
        </row>
        <row r="218">
          <cell r="D218" t="str">
            <v>PT-PASAR MINGGU</v>
          </cell>
          <cell r="V218" t="str">
            <v>DSEPASMING667</v>
          </cell>
          <cell r="W218" t="str">
            <v>DSEPASMING6673ID</v>
          </cell>
        </row>
        <row r="219">
          <cell r="D219" t="str">
            <v>PT-PASAR MINGGU</v>
          </cell>
          <cell r="V219">
            <v>2613051003</v>
          </cell>
          <cell r="W219" t="str">
            <v>26130510033ID</v>
          </cell>
        </row>
        <row r="220">
          <cell r="D220" t="str">
            <v>PT-PASAR MINGGU</v>
          </cell>
          <cell r="V220" t="str">
            <v>DSEPASMING669</v>
          </cell>
          <cell r="W220" t="str">
            <v>DSEPASMING6693ID</v>
          </cell>
        </row>
        <row r="221">
          <cell r="D221" t="str">
            <v>PT-PASAR MINGGU</v>
          </cell>
          <cell r="V221">
            <v>2613051004</v>
          </cell>
          <cell r="W221" t="str">
            <v>26130510043ID</v>
          </cell>
        </row>
        <row r="222">
          <cell r="D222" t="str">
            <v>PT-PASAR MINGGU</v>
          </cell>
          <cell r="V222" t="str">
            <v>DSEPASMING760</v>
          </cell>
          <cell r="W222" t="str">
            <v>DSEPASMING7603ID</v>
          </cell>
        </row>
        <row r="223">
          <cell r="D223" t="str">
            <v>PT-PASAR MINGGU</v>
          </cell>
          <cell r="V223" t="str">
            <v>DSEPASMING864</v>
          </cell>
          <cell r="W223" t="str">
            <v>DSEPASMING8643ID</v>
          </cell>
        </row>
        <row r="224">
          <cell r="D224" t="str">
            <v>PT-PASAR MINGGU</v>
          </cell>
          <cell r="V224">
            <v>2613051005</v>
          </cell>
          <cell r="W224" t="str">
            <v>26130510053ID</v>
          </cell>
        </row>
        <row r="225">
          <cell r="D225" t="str">
            <v>PT-MUARAGEMBONG</v>
          </cell>
          <cell r="V225" t="str">
            <v>DSE1807</v>
          </cell>
          <cell r="W225" t="str">
            <v>DSE18073ID</v>
          </cell>
        </row>
        <row r="226">
          <cell r="D226" t="str">
            <v>PT-PONDOK GEDE</v>
          </cell>
          <cell r="V226" t="str">
            <v>CSOBKSB-16</v>
          </cell>
          <cell r="W226" t="str">
            <v>CSOBKSB-163ID</v>
          </cell>
        </row>
        <row r="227">
          <cell r="D227" t="str">
            <v>PT-PONDOK GEDE</v>
          </cell>
          <cell r="V227" t="str">
            <v>CSOBKSB-04</v>
          </cell>
          <cell r="W227" t="str">
            <v>CSOBKSB-043ID</v>
          </cell>
        </row>
        <row r="228">
          <cell r="D228" t="str">
            <v>PT-PONDOK GEDE</v>
          </cell>
          <cell r="V228" t="str">
            <v>CSOBKSB-09</v>
          </cell>
          <cell r="W228" t="str">
            <v>CSOBKSB-093ID</v>
          </cell>
        </row>
        <row r="229">
          <cell r="D229" t="str">
            <v>PT-PONDOK GEDE</v>
          </cell>
          <cell r="V229" t="str">
            <v>DSEIN004</v>
          </cell>
          <cell r="W229" t="str">
            <v>1-28825212094</v>
          </cell>
        </row>
        <row r="230">
          <cell r="D230" t="str">
            <v>PT-PONDOK GEDE</v>
          </cell>
          <cell r="V230" t="str">
            <v>DSEIN037</v>
          </cell>
          <cell r="W230" t="str">
            <v>1-28825212098</v>
          </cell>
        </row>
        <row r="231">
          <cell r="D231" t="str">
            <v>PT-PONDOK GEDE</v>
          </cell>
          <cell r="V231" t="str">
            <v>DSEIN001</v>
          </cell>
          <cell r="W231" t="str">
            <v>1-136173742147</v>
          </cell>
        </row>
        <row r="232">
          <cell r="D232" t="str">
            <v>PT-PONDOK GEDE</v>
          </cell>
          <cell r="V232" t="str">
            <v>CSOBKSB-11</v>
          </cell>
          <cell r="W232" t="str">
            <v>CSOBKSB-113ID</v>
          </cell>
        </row>
        <row r="233">
          <cell r="D233" t="str">
            <v>PT-PONDOK GEDE</v>
          </cell>
          <cell r="V233" t="str">
            <v>CSOBKSB-08</v>
          </cell>
          <cell r="W233" t="str">
            <v>CSOBKSB-083ID</v>
          </cell>
        </row>
        <row r="234">
          <cell r="D234" t="str">
            <v>PT-PONDOK GEDE</v>
          </cell>
          <cell r="V234" t="str">
            <v>CSOBKSB-10</v>
          </cell>
          <cell r="W234" t="str">
            <v>CSOBKSB-103ID</v>
          </cell>
        </row>
        <row r="235">
          <cell r="D235" t="str">
            <v>PT-PONDOK GEDE</v>
          </cell>
          <cell r="V235" t="str">
            <v>DSEIN022</v>
          </cell>
          <cell r="W235" t="str">
            <v>1-28825212096</v>
          </cell>
        </row>
        <row r="236">
          <cell r="D236" t="str">
            <v>PT-RENGASDENGKLOK</v>
          </cell>
          <cell r="V236" t="str">
            <v>DSEIN016</v>
          </cell>
          <cell r="W236" t="str">
            <v>1-167506658513</v>
          </cell>
        </row>
        <row r="237">
          <cell r="D237" t="str">
            <v>PT-RENGASDENGKLOK</v>
          </cell>
          <cell r="V237" t="str">
            <v>DSEIN031</v>
          </cell>
          <cell r="W237" t="str">
            <v>1-28825212765</v>
          </cell>
        </row>
        <row r="238">
          <cell r="D238" t="str">
            <v>PT-RENGASDENGKLOK</v>
          </cell>
          <cell r="V238" t="str">
            <v>DSEIN014</v>
          </cell>
          <cell r="W238" t="str">
            <v>1-28825212759</v>
          </cell>
        </row>
        <row r="239">
          <cell r="D239" t="str">
            <v>PT-RENGASDENGKLOK</v>
          </cell>
          <cell r="V239" t="str">
            <v>CSOEASTRDK02</v>
          </cell>
          <cell r="W239" t="str">
            <v>CSOEASTRDK023ID</v>
          </cell>
        </row>
        <row r="240">
          <cell r="D240" t="str">
            <v>PT-RENGASDENGKLOK</v>
          </cell>
          <cell r="V240" t="str">
            <v>DSEIN023</v>
          </cell>
          <cell r="W240" t="str">
            <v>1-197559543881</v>
          </cell>
        </row>
        <row r="241">
          <cell r="D241" t="str">
            <v>PT-RENGASDENGKLOK</v>
          </cell>
          <cell r="V241" t="str">
            <v>DSERNAK03</v>
          </cell>
          <cell r="W241" t="str">
            <v>DSERNAK033ID</v>
          </cell>
        </row>
        <row r="242">
          <cell r="D242" t="str">
            <v>PT-RENGASDENGKLOK</v>
          </cell>
          <cell r="V242" t="str">
            <v>DSERNAK02</v>
          </cell>
          <cell r="W242" t="str">
            <v>DSERNAK023ID</v>
          </cell>
        </row>
        <row r="243">
          <cell r="D243" t="str">
            <v>PT-SAWANGAN</v>
          </cell>
          <cell r="V243" t="str">
            <v>CSO-LOKADPK03</v>
          </cell>
          <cell r="W243" t="str">
            <v>CSO-LOKADPK033ID</v>
          </cell>
        </row>
        <row r="244">
          <cell r="D244" t="str">
            <v>PT-SAWANGAN</v>
          </cell>
          <cell r="V244" t="str">
            <v>DSEIN051</v>
          </cell>
          <cell r="W244" t="str">
            <v>1-186295831761</v>
          </cell>
        </row>
        <row r="245">
          <cell r="D245" t="str">
            <v>PT-SAWANGAN</v>
          </cell>
          <cell r="V245" t="str">
            <v>DSEIN074</v>
          </cell>
          <cell r="W245" t="str">
            <v>1-28825211936</v>
          </cell>
        </row>
        <row r="246">
          <cell r="D246" t="str">
            <v>PT-SAWANGAN</v>
          </cell>
          <cell r="V246" t="str">
            <v>CSO-LOKADPK04</v>
          </cell>
          <cell r="W246" t="str">
            <v>CSO-LOKADPK043ID</v>
          </cell>
        </row>
        <row r="247">
          <cell r="D247" t="str">
            <v>PT-SAWANGAN</v>
          </cell>
          <cell r="V247" t="str">
            <v>DSEIN053</v>
          </cell>
          <cell r="W247" t="str">
            <v>1-186304119485</v>
          </cell>
        </row>
        <row r="248">
          <cell r="D248" t="str">
            <v>PT-TANAH ABANG</v>
          </cell>
          <cell r="V248" t="str">
            <v>CSOBUANAJKP01</v>
          </cell>
          <cell r="W248" t="str">
            <v>CSOBUANAJKP013ID</v>
          </cell>
        </row>
        <row r="249">
          <cell r="D249" t="str">
            <v>PT-TANAH ABANG</v>
          </cell>
          <cell r="V249" t="str">
            <v>CSOBUANAJKP02</v>
          </cell>
          <cell r="W249" t="str">
            <v>CSOBUANAJKP023ID</v>
          </cell>
        </row>
        <row r="250">
          <cell r="D250" t="str">
            <v>PT-TANAH ABANG</v>
          </cell>
          <cell r="V250" t="str">
            <v>CSOBUANAJKP03</v>
          </cell>
          <cell r="W250" t="str">
            <v>CSOBUANAJKP033ID</v>
          </cell>
        </row>
        <row r="251">
          <cell r="D251" t="str">
            <v>PT-TANAH ABANG</v>
          </cell>
          <cell r="V251" t="str">
            <v>CSOBUANAJKP06</v>
          </cell>
          <cell r="W251" t="str">
            <v>CSOBUANAJKP063ID</v>
          </cell>
        </row>
        <row r="252">
          <cell r="D252" t="str">
            <v>PT-TANAH ABANG</v>
          </cell>
          <cell r="V252" t="str">
            <v>CSOBUANAJKP13</v>
          </cell>
          <cell r="W252" t="str">
            <v>CSOBUANAJKP133ID</v>
          </cell>
        </row>
        <row r="253">
          <cell r="D253" t="str">
            <v>PT-TANJUNG PRIOK</v>
          </cell>
          <cell r="V253">
            <v>2613051093</v>
          </cell>
          <cell r="W253" t="str">
            <v>26130510933ID</v>
          </cell>
        </row>
        <row r="254">
          <cell r="D254" t="str">
            <v>PT-TANJUNG PRIOK</v>
          </cell>
          <cell r="V254">
            <v>2613051413</v>
          </cell>
          <cell r="W254" t="str">
            <v>26130514133ID</v>
          </cell>
        </row>
        <row r="255">
          <cell r="D255" t="str">
            <v>PT-TANJUNG PRIOK</v>
          </cell>
          <cell r="V255" t="str">
            <v>DSEBUANAJKU06</v>
          </cell>
          <cell r="W255" t="str">
            <v>DSEBUANAJKU063ID</v>
          </cell>
        </row>
        <row r="256">
          <cell r="D256" t="str">
            <v>PT-TANJUNG PRIOK</v>
          </cell>
          <cell r="V256" t="str">
            <v>DSEBUANAJKU07</v>
          </cell>
          <cell r="W256" t="str">
            <v>DSEBUANAJKU073ID</v>
          </cell>
        </row>
        <row r="257">
          <cell r="D257" t="str">
            <v>PT-TANJUNG PRIOK</v>
          </cell>
          <cell r="V257">
            <v>2613052473</v>
          </cell>
          <cell r="W257" t="str">
            <v>26130524733ID</v>
          </cell>
        </row>
        <row r="258">
          <cell r="D258" t="str">
            <v>PT-TANJUNG PRIOK</v>
          </cell>
          <cell r="V258" t="str">
            <v>DSEBUANAJKU10R</v>
          </cell>
          <cell r="W258" t="str">
            <v>DSEBUANAJKU10R3ID</v>
          </cell>
        </row>
        <row r="259">
          <cell r="D259" t="str">
            <v>PT-TANJUNG PRIOK</v>
          </cell>
          <cell r="V259" t="str">
            <v>DSEBUANAJKU13R</v>
          </cell>
          <cell r="W259" t="str">
            <v>DSEBUANAJKU13R3ID</v>
          </cell>
        </row>
        <row r="260">
          <cell r="D260" t="str">
            <v>PT-TANJUNG PRIOK</v>
          </cell>
          <cell r="V260" t="str">
            <v>DSEBUANAJKU19R</v>
          </cell>
          <cell r="W260" t="str">
            <v>DSEBUANAJKU19R3ID</v>
          </cell>
        </row>
        <row r="261">
          <cell r="D261" t="str">
            <v>PT-PANGKALAN</v>
          </cell>
          <cell r="V261" t="str">
            <v>DSEPNKN03</v>
          </cell>
          <cell r="W261" t="str">
            <v>DSEPNKN033ID</v>
          </cell>
        </row>
        <row r="262">
          <cell r="D262" t="str">
            <v>PT-PANGKALAN</v>
          </cell>
          <cell r="V262" t="str">
            <v>DSEPNKN02</v>
          </cell>
          <cell r="W262" t="str">
            <v>DSEPNKN023ID</v>
          </cell>
        </row>
        <row r="263">
          <cell r="D263" t="str">
            <v>PT-PANGKALAN</v>
          </cell>
          <cell r="V263">
            <v>2613052277</v>
          </cell>
          <cell r="W263" t="str">
            <v>26130522773ID</v>
          </cell>
        </row>
        <row r="264">
          <cell r="D264" t="str">
            <v>PT-PANGKALAN</v>
          </cell>
          <cell r="V264" t="str">
            <v>DSEPNKN05</v>
          </cell>
          <cell r="W264" t="str">
            <v>DSEPNKN053ID</v>
          </cell>
        </row>
        <row r="265">
          <cell r="D265" t="str">
            <v>PT-TEGALWARU</v>
          </cell>
          <cell r="V265" t="str">
            <v>CSOSDP301712</v>
          </cell>
          <cell r="W265" t="str">
            <v>CSOSDP3017123ID</v>
          </cell>
        </row>
        <row r="266">
          <cell r="D266" t="str">
            <v>PT-TEGALWARU</v>
          </cell>
          <cell r="V266" t="str">
            <v>CSOSDP30171</v>
          </cell>
          <cell r="W266" t="str">
            <v>CSOSDP301713ID</v>
          </cell>
        </row>
        <row r="267">
          <cell r="D267" t="str">
            <v>PT-PANGKALAN</v>
          </cell>
          <cell r="V267" t="str">
            <v>DSEPNKN04</v>
          </cell>
          <cell r="W267" t="str">
            <v>DSEPNKN043ID</v>
          </cell>
        </row>
        <row r="268">
          <cell r="D268" t="str">
            <v>PT-WEST CIKAMPEK</v>
          </cell>
          <cell r="V268">
            <v>2613050980</v>
          </cell>
          <cell r="W268" t="str">
            <v>26130509803ID</v>
          </cell>
        </row>
        <row r="269">
          <cell r="D269" t="str">
            <v>PT-WEST CIKAMPEK</v>
          </cell>
          <cell r="V269">
            <v>2613050981</v>
          </cell>
          <cell r="W269" t="str">
            <v>26130509813ID</v>
          </cell>
        </row>
        <row r="270">
          <cell r="D270" t="str">
            <v>PT-WEST CIKAMPEK</v>
          </cell>
          <cell r="V270">
            <v>2613050982</v>
          </cell>
          <cell r="W270" t="str">
            <v>26130509823ID</v>
          </cell>
        </row>
        <row r="271">
          <cell r="D271" t="str">
            <v>PT-WEST CIKAMPEK</v>
          </cell>
          <cell r="V271">
            <v>2613053164</v>
          </cell>
          <cell r="W271" t="str">
            <v>26130531643ID</v>
          </cell>
        </row>
        <row r="272">
          <cell r="D272" t="str">
            <v>PT-WEST CIKAMPEK</v>
          </cell>
          <cell r="V272" t="str">
            <v>CSO-CKP003</v>
          </cell>
          <cell r="W272" t="str">
            <v>CSO-CKP0033ID</v>
          </cell>
        </row>
        <row r="273">
          <cell r="D273" t="str">
            <v>PT-WEST CIKAMPEK</v>
          </cell>
          <cell r="V273" t="str">
            <v>CSO-CKP005</v>
          </cell>
          <cell r="W273" t="str">
            <v>CSO-CKP0053ID</v>
          </cell>
        </row>
        <row r="274">
          <cell r="D274" t="str">
            <v>PT-WEST CIKAMPEK</v>
          </cell>
          <cell r="V274" t="str">
            <v>DSECKMK02</v>
          </cell>
          <cell r="W274" t="str">
            <v>DSECKMK023ID</v>
          </cell>
        </row>
        <row r="275">
          <cell r="D275"/>
        </row>
        <row r="276">
          <cell r="D276"/>
        </row>
      </sheetData>
      <sheetData sheetId="19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0217DE9-7BED-419C-9440-8646DDB88DF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f3062eef-02be-43ce-a9f2-d433b9b7cb1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D2C458D-CC03-4B26-B914-53690EDF8FB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956d1ba5-9448-459f-93b0-068193c0c5a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CFCE27B7-FC76-4543-9234-4E6ED36BE6D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72daf6d-d574-442a-a331-32f92781b8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rontliner.gamextopia.id/dse/133" TargetMode="External"/><Relationship Id="rId21" Type="http://schemas.openxmlformats.org/officeDocument/2006/relationships/hyperlink" Target="https://frontliner.gamextopia.id/dse/11" TargetMode="External"/><Relationship Id="rId324" Type="http://schemas.openxmlformats.org/officeDocument/2006/relationships/hyperlink" Target="https://frontliner.gamextopia.id/dse/591" TargetMode="External"/><Relationship Id="rId531" Type="http://schemas.openxmlformats.org/officeDocument/2006/relationships/hyperlink" Target="https://frontliner.gamextopia.id/dse/814" TargetMode="External"/><Relationship Id="rId170" Type="http://schemas.openxmlformats.org/officeDocument/2006/relationships/hyperlink" Target="https://frontliner.gamextopia.id/dse/797" TargetMode="External"/><Relationship Id="rId268" Type="http://schemas.openxmlformats.org/officeDocument/2006/relationships/hyperlink" Target="https://frontliner.gamextopia.id/dse/102" TargetMode="External"/><Relationship Id="rId475" Type="http://schemas.openxmlformats.org/officeDocument/2006/relationships/hyperlink" Target="https://frontliner.gamextopia.id/dse/759" TargetMode="External"/><Relationship Id="rId32" Type="http://schemas.openxmlformats.org/officeDocument/2006/relationships/hyperlink" Target="https://frontliner.gamextopia.id/dse/57" TargetMode="External"/><Relationship Id="rId128" Type="http://schemas.openxmlformats.org/officeDocument/2006/relationships/hyperlink" Target="https://frontliner.gamextopia.id/dse/246" TargetMode="External"/><Relationship Id="rId335" Type="http://schemas.openxmlformats.org/officeDocument/2006/relationships/hyperlink" Target="https://frontliner.gamextopia.id/dse/560" TargetMode="External"/><Relationship Id="rId542" Type="http://schemas.openxmlformats.org/officeDocument/2006/relationships/hyperlink" Target="https://frontliner.gamextopia.id/dse/639" TargetMode="External"/><Relationship Id="rId181" Type="http://schemas.openxmlformats.org/officeDocument/2006/relationships/hyperlink" Target="https://frontliner.gamextopia.id/dse/334" TargetMode="External"/><Relationship Id="rId402" Type="http://schemas.openxmlformats.org/officeDocument/2006/relationships/hyperlink" Target="https://frontliner.gamextopia.id/dse/74" TargetMode="External"/><Relationship Id="rId279" Type="http://schemas.openxmlformats.org/officeDocument/2006/relationships/hyperlink" Target="https://frontliner.gamextopia.id/dse/312" TargetMode="External"/><Relationship Id="rId486" Type="http://schemas.openxmlformats.org/officeDocument/2006/relationships/hyperlink" Target="https://frontliner.gamextopia.id/dse/399" TargetMode="External"/><Relationship Id="rId43" Type="http://schemas.openxmlformats.org/officeDocument/2006/relationships/hyperlink" Target="https://frontliner.gamextopia.id/dse/462" TargetMode="External"/><Relationship Id="rId139" Type="http://schemas.openxmlformats.org/officeDocument/2006/relationships/hyperlink" Target="https://frontliner.gamextopia.id/dse/33" TargetMode="External"/><Relationship Id="rId346" Type="http://schemas.openxmlformats.org/officeDocument/2006/relationships/hyperlink" Target="https://frontliner.gamextopia.id/dse/445" TargetMode="External"/><Relationship Id="rId553" Type="http://schemas.openxmlformats.org/officeDocument/2006/relationships/hyperlink" Target="https://frontliner.gamextopia.id/dse/207" TargetMode="External"/><Relationship Id="rId192" Type="http://schemas.openxmlformats.org/officeDocument/2006/relationships/hyperlink" Target="https://frontliner.gamextopia.id/dse/83" TargetMode="External"/><Relationship Id="rId206" Type="http://schemas.openxmlformats.org/officeDocument/2006/relationships/hyperlink" Target="https://frontliner.gamextopia.id/dse/52" TargetMode="External"/><Relationship Id="rId413" Type="http://schemas.openxmlformats.org/officeDocument/2006/relationships/hyperlink" Target="https://frontliner.gamextopia.id/dse/205" TargetMode="External"/><Relationship Id="rId497" Type="http://schemas.openxmlformats.org/officeDocument/2006/relationships/hyperlink" Target="https://frontliner.gamextopia.id/dse/543" TargetMode="External"/><Relationship Id="rId620" Type="http://schemas.openxmlformats.org/officeDocument/2006/relationships/hyperlink" Target="https://frontliner.gamextopia.id/dse/817" TargetMode="External"/><Relationship Id="rId357" Type="http://schemas.openxmlformats.org/officeDocument/2006/relationships/hyperlink" Target="https://frontliner.gamextopia.id/dse/69" TargetMode="External"/><Relationship Id="rId54" Type="http://schemas.openxmlformats.org/officeDocument/2006/relationships/hyperlink" Target="https://frontliner.gamextopia.id/dse/468" TargetMode="External"/><Relationship Id="rId217" Type="http://schemas.openxmlformats.org/officeDocument/2006/relationships/hyperlink" Target="https://frontliner.gamextopia.id/dse/711" TargetMode="External"/><Relationship Id="rId564" Type="http://schemas.openxmlformats.org/officeDocument/2006/relationships/hyperlink" Target="https://frontliner.gamextopia.id/dse/15" TargetMode="External"/><Relationship Id="rId424" Type="http://schemas.openxmlformats.org/officeDocument/2006/relationships/hyperlink" Target="https://frontliner.gamextopia.id/dse/557" TargetMode="External"/><Relationship Id="rId270" Type="http://schemas.openxmlformats.org/officeDocument/2006/relationships/hyperlink" Target="https://frontliner.gamextopia.id/dse/165" TargetMode="External"/><Relationship Id="rId65" Type="http://schemas.openxmlformats.org/officeDocument/2006/relationships/hyperlink" Target="https://frontliner.gamextopia.id/dse/43" TargetMode="External"/><Relationship Id="rId130" Type="http://schemas.openxmlformats.org/officeDocument/2006/relationships/hyperlink" Target="https://frontliner.gamextopia.id/dse/261" TargetMode="External"/><Relationship Id="rId368" Type="http://schemas.openxmlformats.org/officeDocument/2006/relationships/hyperlink" Target="https://frontliner.gamextopia.id/dse/280" TargetMode="External"/><Relationship Id="rId575" Type="http://schemas.openxmlformats.org/officeDocument/2006/relationships/hyperlink" Target="https://frontliner.gamextopia.id/dse/274" TargetMode="External"/><Relationship Id="rId228" Type="http://schemas.openxmlformats.org/officeDocument/2006/relationships/hyperlink" Target="https://frontliner.gamextopia.id/dse/410" TargetMode="External"/><Relationship Id="rId435" Type="http://schemas.openxmlformats.org/officeDocument/2006/relationships/hyperlink" Target="https://frontliner.gamextopia.id/dse/291" TargetMode="External"/><Relationship Id="rId281" Type="http://schemas.openxmlformats.org/officeDocument/2006/relationships/hyperlink" Target="https://frontliner.gamextopia.id/dse/572" TargetMode="External"/><Relationship Id="rId502" Type="http://schemas.openxmlformats.org/officeDocument/2006/relationships/hyperlink" Target="https://frontliner.gamextopia.id/dse/155" TargetMode="External"/><Relationship Id="rId76" Type="http://schemas.openxmlformats.org/officeDocument/2006/relationships/hyperlink" Target="https://frontliner.gamextopia.id/dse/677" TargetMode="External"/><Relationship Id="rId141" Type="http://schemas.openxmlformats.org/officeDocument/2006/relationships/hyperlink" Target="https://frontliner.gamextopia.id/dse/24" TargetMode="External"/><Relationship Id="rId379" Type="http://schemas.openxmlformats.org/officeDocument/2006/relationships/hyperlink" Target="https://frontliner.gamextopia.id/dse/816" TargetMode="External"/><Relationship Id="rId586" Type="http://schemas.openxmlformats.org/officeDocument/2006/relationships/hyperlink" Target="https://frontliner.gamextopia.id/dse/264" TargetMode="External"/><Relationship Id="rId7" Type="http://schemas.openxmlformats.org/officeDocument/2006/relationships/hyperlink" Target="https://frontliner.gamextopia.id/dse/491" TargetMode="External"/><Relationship Id="rId239" Type="http://schemas.openxmlformats.org/officeDocument/2006/relationships/hyperlink" Target="https://frontliner.gamextopia.id/dse/175" TargetMode="External"/><Relationship Id="rId446" Type="http://schemas.openxmlformats.org/officeDocument/2006/relationships/hyperlink" Target="https://frontliner.gamextopia.id/dse/110" TargetMode="External"/><Relationship Id="rId292" Type="http://schemas.openxmlformats.org/officeDocument/2006/relationships/hyperlink" Target="https://frontliner.gamextopia.id/dse/209" TargetMode="External"/><Relationship Id="rId306" Type="http://schemas.openxmlformats.org/officeDocument/2006/relationships/hyperlink" Target="https://frontliner.gamextopia.id/dse/714" TargetMode="External"/><Relationship Id="rId87" Type="http://schemas.openxmlformats.org/officeDocument/2006/relationships/hyperlink" Target="https://frontliner.gamextopia.id/dse/179" TargetMode="External"/><Relationship Id="rId513" Type="http://schemas.openxmlformats.org/officeDocument/2006/relationships/hyperlink" Target="https://frontliner.gamextopia.id/dse/45" TargetMode="External"/><Relationship Id="rId597" Type="http://schemas.openxmlformats.org/officeDocument/2006/relationships/hyperlink" Target="https://frontliner.gamextopia.id/dse/514" TargetMode="External"/><Relationship Id="rId152" Type="http://schemas.openxmlformats.org/officeDocument/2006/relationships/hyperlink" Target="https://frontliner.gamextopia.id/dse/258" TargetMode="External"/><Relationship Id="rId457" Type="http://schemas.openxmlformats.org/officeDocument/2006/relationships/hyperlink" Target="https://frontliner.gamextopia.id/dse/493" TargetMode="External"/><Relationship Id="rId14" Type="http://schemas.openxmlformats.org/officeDocument/2006/relationships/hyperlink" Target="https://frontliner.gamextopia.id/dse/40" TargetMode="External"/><Relationship Id="rId317" Type="http://schemas.openxmlformats.org/officeDocument/2006/relationships/hyperlink" Target="https://frontliner.gamextopia.id/dse/19" TargetMode="External"/><Relationship Id="rId524" Type="http://schemas.openxmlformats.org/officeDocument/2006/relationships/hyperlink" Target="https://frontliner.gamextopia.id/dse/713" TargetMode="External"/><Relationship Id="rId98" Type="http://schemas.openxmlformats.org/officeDocument/2006/relationships/hyperlink" Target="https://frontliner.gamextopia.id/dse/733" TargetMode="External"/><Relationship Id="rId163" Type="http://schemas.openxmlformats.org/officeDocument/2006/relationships/hyperlink" Target="https://frontliner.gamextopia.id/dse/214" TargetMode="External"/><Relationship Id="rId370" Type="http://schemas.openxmlformats.org/officeDocument/2006/relationships/hyperlink" Target="https://frontliner.gamextopia.id/dse/202" TargetMode="External"/><Relationship Id="rId230" Type="http://schemas.openxmlformats.org/officeDocument/2006/relationships/hyperlink" Target="https://frontliner.gamextopia.id/dse/529" TargetMode="External"/><Relationship Id="rId468" Type="http://schemas.openxmlformats.org/officeDocument/2006/relationships/hyperlink" Target="https://frontliner.gamextopia.id/dse/736" TargetMode="External"/><Relationship Id="rId25" Type="http://schemas.openxmlformats.org/officeDocument/2006/relationships/hyperlink" Target="https://frontliner.gamextopia.id/dse/171" TargetMode="External"/><Relationship Id="rId328" Type="http://schemas.openxmlformats.org/officeDocument/2006/relationships/hyperlink" Target="https://frontliner.gamextopia.id/dse/86" TargetMode="External"/><Relationship Id="rId535" Type="http://schemas.openxmlformats.org/officeDocument/2006/relationships/hyperlink" Target="https://frontliner.gamextopia.id/dse/789" TargetMode="External"/><Relationship Id="rId132" Type="http://schemas.openxmlformats.org/officeDocument/2006/relationships/hyperlink" Target="https://frontliner.gamextopia.id/dse/80" TargetMode="External"/><Relationship Id="rId174" Type="http://schemas.openxmlformats.org/officeDocument/2006/relationships/hyperlink" Target="https://frontliner.gamextopia.id/dse/721" TargetMode="External"/><Relationship Id="rId381" Type="http://schemas.openxmlformats.org/officeDocument/2006/relationships/hyperlink" Target="https://frontliner.gamextopia.id/dse/12" TargetMode="External"/><Relationship Id="rId602" Type="http://schemas.openxmlformats.org/officeDocument/2006/relationships/hyperlink" Target="https://frontliner.gamextopia.id/dse/690" TargetMode="External"/><Relationship Id="rId241" Type="http://schemas.openxmlformats.org/officeDocument/2006/relationships/hyperlink" Target="https://frontliner.gamextopia.id/dse/97" TargetMode="External"/><Relationship Id="rId437" Type="http://schemas.openxmlformats.org/officeDocument/2006/relationships/hyperlink" Target="https://frontliner.gamextopia.id/dse/490" TargetMode="External"/><Relationship Id="rId479" Type="http://schemas.openxmlformats.org/officeDocument/2006/relationships/hyperlink" Target="https://frontliner.gamextopia.id/dse/582" TargetMode="External"/><Relationship Id="rId36" Type="http://schemas.openxmlformats.org/officeDocument/2006/relationships/hyperlink" Target="https://frontliner.gamextopia.id/dse/14" TargetMode="External"/><Relationship Id="rId283" Type="http://schemas.openxmlformats.org/officeDocument/2006/relationships/hyperlink" Target="https://frontliner.gamextopia.id/dse/771" TargetMode="External"/><Relationship Id="rId339" Type="http://schemas.openxmlformats.org/officeDocument/2006/relationships/hyperlink" Target="https://frontliner.gamextopia.id/dse/330" TargetMode="External"/><Relationship Id="rId490" Type="http://schemas.openxmlformats.org/officeDocument/2006/relationships/hyperlink" Target="https://frontliner.gamextopia.id/dse/36" TargetMode="External"/><Relationship Id="rId504" Type="http://schemas.openxmlformats.org/officeDocument/2006/relationships/hyperlink" Target="https://frontliner.gamextopia.id/dse/704" TargetMode="External"/><Relationship Id="rId546" Type="http://schemas.openxmlformats.org/officeDocument/2006/relationships/hyperlink" Target="https://frontliner.gamextopia.id/dse/457" TargetMode="External"/><Relationship Id="rId78" Type="http://schemas.openxmlformats.org/officeDocument/2006/relationships/hyperlink" Target="https://frontliner.gamextopia.id/dse/252" TargetMode="External"/><Relationship Id="rId101" Type="http://schemas.openxmlformats.org/officeDocument/2006/relationships/hyperlink" Target="https://frontliner.gamextopia.id/dse/701" TargetMode="External"/><Relationship Id="rId143" Type="http://schemas.openxmlformats.org/officeDocument/2006/relationships/hyperlink" Target="https://frontliner.gamextopia.id/dse/437" TargetMode="External"/><Relationship Id="rId185" Type="http://schemas.openxmlformats.org/officeDocument/2006/relationships/hyperlink" Target="https://frontliner.gamextopia.id/dse/130" TargetMode="External"/><Relationship Id="rId350" Type="http://schemas.openxmlformats.org/officeDocument/2006/relationships/hyperlink" Target="https://frontliner.gamextopia.id/dse/492" TargetMode="External"/><Relationship Id="rId406" Type="http://schemas.openxmlformats.org/officeDocument/2006/relationships/hyperlink" Target="https://frontliner.gamextopia.id/dse/424" TargetMode="External"/><Relationship Id="rId588" Type="http://schemas.openxmlformats.org/officeDocument/2006/relationships/hyperlink" Target="https://frontliner.gamextopia.id/dse/135" TargetMode="External"/><Relationship Id="rId9" Type="http://schemas.openxmlformats.org/officeDocument/2006/relationships/hyperlink" Target="https://frontliner.gamextopia.id/dse/551" TargetMode="External"/><Relationship Id="rId210" Type="http://schemas.openxmlformats.org/officeDocument/2006/relationships/hyperlink" Target="https://frontliner.gamextopia.id/dse/495" TargetMode="External"/><Relationship Id="rId392" Type="http://schemas.openxmlformats.org/officeDocument/2006/relationships/hyperlink" Target="https://frontliner.gamextopia.id/dse/42" TargetMode="External"/><Relationship Id="rId448" Type="http://schemas.openxmlformats.org/officeDocument/2006/relationships/hyperlink" Target="https://frontliner.gamextopia.id/dse/658" TargetMode="External"/><Relationship Id="rId613" Type="http://schemas.openxmlformats.org/officeDocument/2006/relationships/hyperlink" Target="https://frontliner.gamextopia.id/dse/517" TargetMode="External"/><Relationship Id="rId252" Type="http://schemas.openxmlformats.org/officeDocument/2006/relationships/hyperlink" Target="https://frontliner.gamextopia.id/dse/121" TargetMode="External"/><Relationship Id="rId294" Type="http://schemas.openxmlformats.org/officeDocument/2006/relationships/hyperlink" Target="https://frontliner.gamextopia.id/dse/802" TargetMode="External"/><Relationship Id="rId308" Type="http://schemas.openxmlformats.org/officeDocument/2006/relationships/hyperlink" Target="https://frontliner.gamextopia.id/dse/674" TargetMode="External"/><Relationship Id="rId515" Type="http://schemas.openxmlformats.org/officeDocument/2006/relationships/hyperlink" Target="https://frontliner.gamextopia.id/dse/161" TargetMode="External"/><Relationship Id="rId47" Type="http://schemas.openxmlformats.org/officeDocument/2006/relationships/hyperlink" Target="https://frontliner.gamextopia.id/dse/124" TargetMode="External"/><Relationship Id="rId89" Type="http://schemas.openxmlformats.org/officeDocument/2006/relationships/hyperlink" Target="https://frontliner.gamextopia.id/dse/669" TargetMode="External"/><Relationship Id="rId112" Type="http://schemas.openxmlformats.org/officeDocument/2006/relationships/hyperlink" Target="https://frontliner.gamextopia.id/dse/296" TargetMode="External"/><Relationship Id="rId154" Type="http://schemas.openxmlformats.org/officeDocument/2006/relationships/hyperlink" Target="https://frontliner.gamextopia.id/dse/284" TargetMode="External"/><Relationship Id="rId361" Type="http://schemas.openxmlformats.org/officeDocument/2006/relationships/hyperlink" Target="https://frontliner.gamextopia.id/dse/565" TargetMode="External"/><Relationship Id="rId557" Type="http://schemas.openxmlformats.org/officeDocument/2006/relationships/hyperlink" Target="https://frontliner.gamextopia.id/dse/764" TargetMode="External"/><Relationship Id="rId599" Type="http://schemas.openxmlformats.org/officeDocument/2006/relationships/hyperlink" Target="https://frontliner.gamextopia.id/dse/584" TargetMode="External"/><Relationship Id="rId196" Type="http://schemas.openxmlformats.org/officeDocument/2006/relationships/hyperlink" Target="https://frontliner.gamextopia.id/dse/212" TargetMode="External"/><Relationship Id="rId417" Type="http://schemas.openxmlformats.org/officeDocument/2006/relationships/hyperlink" Target="https://frontliner.gamextopia.id/dse/61" TargetMode="External"/><Relationship Id="rId459" Type="http://schemas.openxmlformats.org/officeDocument/2006/relationships/hyperlink" Target="https://frontliner.gamextopia.id/dse/588" TargetMode="External"/><Relationship Id="rId16" Type="http://schemas.openxmlformats.org/officeDocument/2006/relationships/hyperlink" Target="https://frontliner.gamextopia.id/dse/94" TargetMode="External"/><Relationship Id="rId221" Type="http://schemas.openxmlformats.org/officeDocument/2006/relationships/hyperlink" Target="https://frontliner.gamextopia.id/dse/482" TargetMode="External"/><Relationship Id="rId263" Type="http://schemas.openxmlformats.org/officeDocument/2006/relationships/hyperlink" Target="https://frontliner.gamextopia.id/dse/432" TargetMode="External"/><Relationship Id="rId319" Type="http://schemas.openxmlformats.org/officeDocument/2006/relationships/hyperlink" Target="https://frontliner.gamextopia.id/dse/443" TargetMode="External"/><Relationship Id="rId470" Type="http://schemas.openxmlformats.org/officeDocument/2006/relationships/hyperlink" Target="https://frontliner.gamextopia.id/dse/774" TargetMode="External"/><Relationship Id="rId526" Type="http://schemas.openxmlformats.org/officeDocument/2006/relationships/hyperlink" Target="https://frontliner.gamextopia.id/dse/800" TargetMode="External"/><Relationship Id="rId58" Type="http://schemas.openxmlformats.org/officeDocument/2006/relationships/hyperlink" Target="https://frontliner.gamextopia.id/dse/441" TargetMode="External"/><Relationship Id="rId123" Type="http://schemas.openxmlformats.org/officeDocument/2006/relationships/hyperlink" Target="https://frontliner.gamextopia.id/dse/409" TargetMode="External"/><Relationship Id="rId330" Type="http://schemas.openxmlformats.org/officeDocument/2006/relationships/hyperlink" Target="https://frontliner.gamextopia.id/dse/752" TargetMode="External"/><Relationship Id="rId568" Type="http://schemas.openxmlformats.org/officeDocument/2006/relationships/hyperlink" Target="https://frontliner.gamextopia.id/dse/568" TargetMode="External"/><Relationship Id="rId165" Type="http://schemas.openxmlformats.org/officeDocument/2006/relationships/hyperlink" Target="https://frontliner.gamextopia.id/dse/765" TargetMode="External"/><Relationship Id="rId372" Type="http://schemas.openxmlformats.org/officeDocument/2006/relationships/hyperlink" Target="https://frontliner.gamextopia.id/dse/484" TargetMode="External"/><Relationship Id="rId428" Type="http://schemas.openxmlformats.org/officeDocument/2006/relationships/hyperlink" Target="https://frontliner.gamextopia.id/dse/301" TargetMode="External"/><Relationship Id="rId232" Type="http://schemas.openxmlformats.org/officeDocument/2006/relationships/hyperlink" Target="https://frontliner.gamextopia.id/dse/746" TargetMode="External"/><Relationship Id="rId274" Type="http://schemas.openxmlformats.org/officeDocument/2006/relationships/hyperlink" Target="https://frontliner.gamextopia.id/dse/259" TargetMode="External"/><Relationship Id="rId481" Type="http://schemas.openxmlformats.org/officeDocument/2006/relationships/hyperlink" Target="https://frontliner.gamextopia.id/dse/758" TargetMode="External"/><Relationship Id="rId27" Type="http://schemas.openxmlformats.org/officeDocument/2006/relationships/hyperlink" Target="https://frontliner.gamextopia.id/dse/76" TargetMode="External"/><Relationship Id="rId69" Type="http://schemas.openxmlformats.org/officeDocument/2006/relationships/hyperlink" Target="https://frontliner.gamextopia.id/dse/158" TargetMode="External"/><Relationship Id="rId134" Type="http://schemas.openxmlformats.org/officeDocument/2006/relationships/hyperlink" Target="https://frontliner.gamextopia.id/dse/684" TargetMode="External"/><Relationship Id="rId537" Type="http://schemas.openxmlformats.org/officeDocument/2006/relationships/hyperlink" Target="https://frontliner.gamextopia.id/dse/767" TargetMode="External"/><Relationship Id="rId579" Type="http://schemas.openxmlformats.org/officeDocument/2006/relationships/hyperlink" Target="https://frontliner.gamextopia.id/dse/688" TargetMode="External"/><Relationship Id="rId80" Type="http://schemas.openxmlformats.org/officeDocument/2006/relationships/hyperlink" Target="https://frontliner.gamextopia.id/dse/808" TargetMode="External"/><Relationship Id="rId176" Type="http://schemas.openxmlformats.org/officeDocument/2006/relationships/hyperlink" Target="https://frontliner.gamextopia.id/dse/223" TargetMode="External"/><Relationship Id="rId341" Type="http://schemas.openxmlformats.org/officeDocument/2006/relationships/hyperlink" Target="https://frontliner.gamextopia.id/dse/676" TargetMode="External"/><Relationship Id="rId383" Type="http://schemas.openxmlformats.org/officeDocument/2006/relationships/hyperlink" Target="https://frontliner.gamextopia.id/dse/185" TargetMode="External"/><Relationship Id="rId439" Type="http://schemas.openxmlformats.org/officeDocument/2006/relationships/hyperlink" Target="https://frontliner.gamextopia.id/dse/292" TargetMode="External"/><Relationship Id="rId590" Type="http://schemas.openxmlformats.org/officeDocument/2006/relationships/hyperlink" Target="https://frontliner.gamextopia.id/dse/516" TargetMode="External"/><Relationship Id="rId604" Type="http://schemas.openxmlformats.org/officeDocument/2006/relationships/hyperlink" Target="https://frontliner.gamextopia.id/dse/722" TargetMode="External"/><Relationship Id="rId201" Type="http://schemas.openxmlformats.org/officeDocument/2006/relationships/hyperlink" Target="https://frontliner.gamextopia.id/dse/509" TargetMode="External"/><Relationship Id="rId243" Type="http://schemas.openxmlformats.org/officeDocument/2006/relationships/hyperlink" Target="https://frontliner.gamextopia.id/dse/548" TargetMode="External"/><Relationship Id="rId285" Type="http://schemas.openxmlformats.org/officeDocument/2006/relationships/hyperlink" Target="https://frontliner.gamextopia.id/dse/679" TargetMode="External"/><Relationship Id="rId450" Type="http://schemas.openxmlformats.org/officeDocument/2006/relationships/hyperlink" Target="https://frontliner.gamextopia.id/dse/3" TargetMode="External"/><Relationship Id="rId506" Type="http://schemas.openxmlformats.org/officeDocument/2006/relationships/hyperlink" Target="https://frontliner.gamextopia.id/dse/70" TargetMode="External"/><Relationship Id="rId38" Type="http://schemas.openxmlformats.org/officeDocument/2006/relationships/hyperlink" Target="https://frontliner.gamextopia.id/dse/266" TargetMode="External"/><Relationship Id="rId103" Type="http://schemas.openxmlformats.org/officeDocument/2006/relationships/hyperlink" Target="https://frontliner.gamextopia.id/dse/744" TargetMode="External"/><Relationship Id="rId310" Type="http://schemas.openxmlformats.org/officeDocument/2006/relationships/hyperlink" Target="https://frontliner.gamextopia.id/dse/542" TargetMode="External"/><Relationship Id="rId492" Type="http://schemas.openxmlformats.org/officeDocument/2006/relationships/hyperlink" Target="https://frontliner.gamextopia.id/dse/114" TargetMode="External"/><Relationship Id="rId548" Type="http://schemas.openxmlformats.org/officeDocument/2006/relationships/hyperlink" Target="https://frontliner.gamextopia.id/dse/466" TargetMode="External"/><Relationship Id="rId91" Type="http://schemas.openxmlformats.org/officeDocument/2006/relationships/hyperlink" Target="https://frontliner.gamextopia.id/dse/174" TargetMode="External"/><Relationship Id="rId145" Type="http://schemas.openxmlformats.org/officeDocument/2006/relationships/hyperlink" Target="https://frontliner.gamextopia.id/dse/400" TargetMode="External"/><Relationship Id="rId187" Type="http://schemas.openxmlformats.org/officeDocument/2006/relationships/hyperlink" Target="https://frontliner.gamextopia.id/dse/556" TargetMode="External"/><Relationship Id="rId352" Type="http://schemas.openxmlformats.org/officeDocument/2006/relationships/hyperlink" Target="https://frontliner.gamextopia.id/dse/691" TargetMode="External"/><Relationship Id="rId394" Type="http://schemas.openxmlformats.org/officeDocument/2006/relationships/hyperlink" Target="https://frontliner.gamextopia.id/dse/31" TargetMode="External"/><Relationship Id="rId408" Type="http://schemas.openxmlformats.org/officeDocument/2006/relationships/hyperlink" Target="https://frontliner.gamextopia.id/dse/241" TargetMode="External"/><Relationship Id="rId615" Type="http://schemas.openxmlformats.org/officeDocument/2006/relationships/hyperlink" Target="https://frontliner.gamextopia.id/dse/725" TargetMode="External"/><Relationship Id="rId212" Type="http://schemas.openxmlformats.org/officeDocument/2006/relationships/hyperlink" Target="https://frontliner.gamextopia.id/dse/564" TargetMode="External"/><Relationship Id="rId254" Type="http://schemas.openxmlformats.org/officeDocument/2006/relationships/hyperlink" Target="https://frontliner.gamextopia.id/dse/786" TargetMode="External"/><Relationship Id="rId49" Type="http://schemas.openxmlformats.org/officeDocument/2006/relationships/hyperlink" Target="https://frontliner.gamextopia.id/dse/90" TargetMode="External"/><Relationship Id="rId114" Type="http://schemas.openxmlformats.org/officeDocument/2006/relationships/hyperlink" Target="https://frontliner.gamextopia.id/dse/134" TargetMode="External"/><Relationship Id="rId296" Type="http://schemas.openxmlformats.org/officeDocument/2006/relationships/hyperlink" Target="https://frontliner.gamextopia.id/dse/75" TargetMode="External"/><Relationship Id="rId461" Type="http://schemas.openxmlformats.org/officeDocument/2006/relationships/hyperlink" Target="https://frontliner.gamextopia.id/dse/186" TargetMode="External"/><Relationship Id="rId517" Type="http://schemas.openxmlformats.org/officeDocument/2006/relationships/hyperlink" Target="https://frontliner.gamextopia.id/dse/206" TargetMode="External"/><Relationship Id="rId559" Type="http://schemas.openxmlformats.org/officeDocument/2006/relationships/hyperlink" Target="https://frontliner.gamextopia.id/dse/398" TargetMode="External"/><Relationship Id="rId60" Type="http://schemas.openxmlformats.org/officeDocument/2006/relationships/hyperlink" Target="https://frontliner.gamextopia.id/dse/299" TargetMode="External"/><Relationship Id="rId156" Type="http://schemas.openxmlformats.org/officeDocument/2006/relationships/hyperlink" Target="https://frontliner.gamextopia.id/dse/581" TargetMode="External"/><Relationship Id="rId198" Type="http://schemas.openxmlformats.org/officeDocument/2006/relationships/hyperlink" Target="https://frontliner.gamextopia.id/dse/828" TargetMode="External"/><Relationship Id="rId321" Type="http://schemas.openxmlformats.org/officeDocument/2006/relationships/hyperlink" Target="https://frontliner.gamextopia.id/dse/763" TargetMode="External"/><Relationship Id="rId363" Type="http://schemas.openxmlformats.org/officeDocument/2006/relationships/hyperlink" Target="https://frontliner.gamextopia.id/dse/225" TargetMode="External"/><Relationship Id="rId419" Type="http://schemas.openxmlformats.org/officeDocument/2006/relationships/hyperlink" Target="https://frontliner.gamextopia.id/dse/692" TargetMode="External"/><Relationship Id="rId570" Type="http://schemas.openxmlformats.org/officeDocument/2006/relationships/hyperlink" Target="https://frontliner.gamextopia.id/dse/590" TargetMode="External"/><Relationship Id="rId223" Type="http://schemas.openxmlformats.org/officeDocument/2006/relationships/hyperlink" Target="https://frontliner.gamextopia.id/dse/489" TargetMode="External"/><Relationship Id="rId430" Type="http://schemas.openxmlformats.org/officeDocument/2006/relationships/hyperlink" Target="https://frontliner.gamextopia.id/dse/724" TargetMode="External"/><Relationship Id="rId18" Type="http://schemas.openxmlformats.org/officeDocument/2006/relationships/hyperlink" Target="https://frontliner.gamextopia.id/dse/640" TargetMode="External"/><Relationship Id="rId265" Type="http://schemas.openxmlformats.org/officeDocument/2006/relationships/hyperlink" Target="https://frontliner.gamextopia.id/dse/138" TargetMode="External"/><Relationship Id="rId472" Type="http://schemas.openxmlformats.org/officeDocument/2006/relationships/hyperlink" Target="https://frontliner.gamextopia.id/dse/827" TargetMode="External"/><Relationship Id="rId528" Type="http://schemas.openxmlformats.org/officeDocument/2006/relationships/hyperlink" Target="https://frontliner.gamextopia.id/dse/534" TargetMode="External"/><Relationship Id="rId125" Type="http://schemas.openxmlformats.org/officeDocument/2006/relationships/hyperlink" Target="https://frontliner.gamextopia.id/dse/314" TargetMode="External"/><Relationship Id="rId167" Type="http://schemas.openxmlformats.org/officeDocument/2006/relationships/hyperlink" Target="https://frontliner.gamextopia.id/dse/820" TargetMode="External"/><Relationship Id="rId332" Type="http://schemas.openxmlformats.org/officeDocument/2006/relationships/hyperlink" Target="https://frontliner.gamextopia.id/dse/638" TargetMode="External"/><Relationship Id="rId374" Type="http://schemas.openxmlformats.org/officeDocument/2006/relationships/hyperlink" Target="https://frontliner.gamextopia.id/dse/660" TargetMode="External"/><Relationship Id="rId581" Type="http://schemas.openxmlformats.org/officeDocument/2006/relationships/hyperlink" Target="https://frontliner.gamextopia.id/dse/148" TargetMode="External"/><Relationship Id="rId71" Type="http://schemas.openxmlformats.org/officeDocument/2006/relationships/hyperlink" Target="https://frontliner.gamextopia.id/dse/142" TargetMode="External"/><Relationship Id="rId234" Type="http://schemas.openxmlformats.org/officeDocument/2006/relationships/hyperlink" Target="https://frontliner.gamextopia.id/dse/79" TargetMode="External"/><Relationship Id="rId2" Type="http://schemas.openxmlformats.org/officeDocument/2006/relationships/hyperlink" Target="https://frontliner.gamextopia.id/dse/26" TargetMode="External"/><Relationship Id="rId29" Type="http://schemas.openxmlformats.org/officeDocument/2006/relationships/hyperlink" Target="https://frontliner.gamextopia.id/dse/287" TargetMode="External"/><Relationship Id="rId276" Type="http://schemas.openxmlformats.org/officeDocument/2006/relationships/hyperlink" Target="https://frontliner.gamextopia.id/dse/503" TargetMode="External"/><Relationship Id="rId441" Type="http://schemas.openxmlformats.org/officeDocument/2006/relationships/hyperlink" Target="https://frontliner.gamextopia.id/dse/781" TargetMode="External"/><Relationship Id="rId483" Type="http://schemas.openxmlformats.org/officeDocument/2006/relationships/hyperlink" Target="https://frontliner.gamextopia.id/dse/795" TargetMode="External"/><Relationship Id="rId539" Type="http://schemas.openxmlformats.org/officeDocument/2006/relationships/hyperlink" Target="https://frontliner.gamextopia.id/dse/573" TargetMode="External"/><Relationship Id="rId40" Type="http://schemas.openxmlformats.org/officeDocument/2006/relationships/hyperlink" Target="https://frontliner.gamextopia.id/dse/85" TargetMode="External"/><Relationship Id="rId136" Type="http://schemas.openxmlformats.org/officeDocument/2006/relationships/hyperlink" Target="https://frontliner.gamextopia.id/dse/504" TargetMode="External"/><Relationship Id="rId178" Type="http://schemas.openxmlformats.org/officeDocument/2006/relationships/hyperlink" Target="https://frontliner.gamextopia.id/dse/740" TargetMode="External"/><Relationship Id="rId301" Type="http://schemas.openxmlformats.org/officeDocument/2006/relationships/hyperlink" Target="https://frontliner.gamextopia.id/dse/77" TargetMode="External"/><Relationship Id="rId343" Type="http://schemas.openxmlformats.org/officeDocument/2006/relationships/hyperlink" Target="https://frontliner.gamextopia.id/dse/832" TargetMode="External"/><Relationship Id="rId550" Type="http://schemas.openxmlformats.org/officeDocument/2006/relationships/hyperlink" Target="https://frontliner.gamextopia.id/dse/413" TargetMode="External"/><Relationship Id="rId82" Type="http://schemas.openxmlformats.org/officeDocument/2006/relationships/hyperlink" Target="https://frontliner.gamextopia.id/dse/574" TargetMode="External"/><Relationship Id="rId203" Type="http://schemas.openxmlformats.org/officeDocument/2006/relationships/hyperlink" Target="https://frontliner.gamextopia.id/dse/412" TargetMode="External"/><Relationship Id="rId385" Type="http://schemas.openxmlformats.org/officeDocument/2006/relationships/hyperlink" Target="https://frontliner.gamextopia.id/dse/726" TargetMode="External"/><Relationship Id="rId592" Type="http://schemas.openxmlformats.org/officeDocument/2006/relationships/hyperlink" Target="https://frontliner.gamextopia.id/dse/737" TargetMode="External"/><Relationship Id="rId606" Type="http://schemas.openxmlformats.org/officeDocument/2006/relationships/hyperlink" Target="https://frontliner.gamextopia.id/dse/515" TargetMode="External"/><Relationship Id="rId245" Type="http://schemas.openxmlformats.org/officeDocument/2006/relationships/hyperlink" Target="https://frontliner.gamextopia.id/dse/302" TargetMode="External"/><Relationship Id="rId287" Type="http://schemas.openxmlformats.org/officeDocument/2006/relationships/hyperlink" Target="https://frontliner.gamextopia.id/dse/540" TargetMode="External"/><Relationship Id="rId410" Type="http://schemas.openxmlformats.org/officeDocument/2006/relationships/hyperlink" Target="https://frontliner.gamextopia.id/dse/787" TargetMode="External"/><Relationship Id="rId452" Type="http://schemas.openxmlformats.org/officeDocument/2006/relationships/hyperlink" Target="https://frontliner.gamextopia.id/dse/754" TargetMode="External"/><Relationship Id="rId494" Type="http://schemas.openxmlformats.org/officeDocument/2006/relationships/hyperlink" Target="https://frontliner.gamextopia.id/dse/123" TargetMode="External"/><Relationship Id="rId508" Type="http://schemas.openxmlformats.org/officeDocument/2006/relationships/hyperlink" Target="https://frontliner.gamextopia.id/dse/505" TargetMode="External"/><Relationship Id="rId105" Type="http://schemas.openxmlformats.org/officeDocument/2006/relationships/hyperlink" Target="https://frontliner.gamextopia.id/dse/571" TargetMode="External"/><Relationship Id="rId147" Type="http://schemas.openxmlformats.org/officeDocument/2006/relationships/hyperlink" Target="https://frontliner.gamextopia.id/dse/204" TargetMode="External"/><Relationship Id="rId312" Type="http://schemas.openxmlformats.org/officeDocument/2006/relationships/hyperlink" Target="https://frontliner.gamextopia.id/dse/98" TargetMode="External"/><Relationship Id="rId354" Type="http://schemas.openxmlformats.org/officeDocument/2006/relationships/hyperlink" Target="https://frontliner.gamextopia.id/dse/290" TargetMode="External"/><Relationship Id="rId51" Type="http://schemas.openxmlformats.org/officeDocument/2006/relationships/hyperlink" Target="https://frontliner.gamextopia.id/dse/335" TargetMode="External"/><Relationship Id="rId93" Type="http://schemas.openxmlformats.org/officeDocument/2006/relationships/hyperlink" Target="https://frontliner.gamextopia.id/dse/664" TargetMode="External"/><Relationship Id="rId189" Type="http://schemas.openxmlformats.org/officeDocument/2006/relationships/hyperlink" Target="https://frontliner.gamextopia.id/dse/84" TargetMode="External"/><Relationship Id="rId396" Type="http://schemas.openxmlformats.org/officeDocument/2006/relationships/hyperlink" Target="https://frontliner.gamextopia.id/dse/271" TargetMode="External"/><Relationship Id="rId561" Type="http://schemas.openxmlformats.org/officeDocument/2006/relationships/hyperlink" Target="https://frontliner.gamextopia.id/dse/168" TargetMode="External"/><Relationship Id="rId617" Type="http://schemas.openxmlformats.org/officeDocument/2006/relationships/hyperlink" Target="https://frontliner.gamextopia.id/dse/717" TargetMode="External"/><Relationship Id="rId214" Type="http://schemas.openxmlformats.org/officeDocument/2006/relationships/hyperlink" Target="https://frontliner.gamextopia.id/dse/303" TargetMode="External"/><Relationship Id="rId256" Type="http://schemas.openxmlformats.org/officeDocument/2006/relationships/hyperlink" Target="https://frontliner.gamextopia.id/dse/707" TargetMode="External"/><Relationship Id="rId298" Type="http://schemas.openxmlformats.org/officeDocument/2006/relationships/hyperlink" Target="https://frontliner.gamextopia.id/dse/430" TargetMode="External"/><Relationship Id="rId421" Type="http://schemas.openxmlformats.org/officeDocument/2006/relationships/hyperlink" Target="https://frontliner.gamextopia.id/dse/288" TargetMode="External"/><Relationship Id="rId463" Type="http://schemas.openxmlformats.org/officeDocument/2006/relationships/hyperlink" Target="https://frontliner.gamextopia.id/dse/683" TargetMode="External"/><Relationship Id="rId519" Type="http://schemas.openxmlformats.org/officeDocument/2006/relationships/hyperlink" Target="https://frontliner.gamextopia.id/dse/751" TargetMode="External"/><Relationship Id="rId116" Type="http://schemas.openxmlformats.org/officeDocument/2006/relationships/hyperlink" Target="https://frontliner.gamextopia.id/dse/47" TargetMode="External"/><Relationship Id="rId158" Type="http://schemas.openxmlformats.org/officeDocument/2006/relationships/hyperlink" Target="https://frontliner.gamextopia.id/dse/140" TargetMode="External"/><Relationship Id="rId323" Type="http://schemas.openxmlformats.org/officeDocument/2006/relationships/hyperlink" Target="https://frontliner.gamextopia.id/dse/305" TargetMode="External"/><Relationship Id="rId530" Type="http://schemas.openxmlformats.org/officeDocument/2006/relationships/hyperlink" Target="https://frontliner.gamextopia.id/dse/250" TargetMode="External"/><Relationship Id="rId20" Type="http://schemas.openxmlformats.org/officeDocument/2006/relationships/hyperlink" Target="https://frontliner.gamextopia.id/dse/289" TargetMode="External"/><Relationship Id="rId62" Type="http://schemas.openxmlformats.org/officeDocument/2006/relationships/hyperlink" Target="https://frontliner.gamextopia.id/dse/547" TargetMode="External"/><Relationship Id="rId365" Type="http://schemas.openxmlformats.org/officeDocument/2006/relationships/hyperlink" Target="https://frontliner.gamextopia.id/dse/826" TargetMode="External"/><Relationship Id="rId572" Type="http://schemas.openxmlformats.org/officeDocument/2006/relationships/hyperlink" Target="https://frontliner.gamextopia.id/dse/641" TargetMode="External"/><Relationship Id="rId225" Type="http://schemas.openxmlformats.org/officeDocument/2006/relationships/hyperlink" Target="https://frontliner.gamextopia.id/dse/696" TargetMode="External"/><Relationship Id="rId267" Type="http://schemas.openxmlformats.org/officeDocument/2006/relationships/hyperlink" Target="https://frontliner.gamextopia.id/dse/706" TargetMode="External"/><Relationship Id="rId432" Type="http://schemas.openxmlformats.org/officeDocument/2006/relationships/hyperlink" Target="https://frontliner.gamextopia.id/dse/23" TargetMode="External"/><Relationship Id="rId474" Type="http://schemas.openxmlformats.org/officeDocument/2006/relationships/hyperlink" Target="https://frontliner.gamextopia.id/dse/189" TargetMode="External"/><Relationship Id="rId127" Type="http://schemas.openxmlformats.org/officeDocument/2006/relationships/hyperlink" Target="https://frontliner.gamextopia.id/dse/689" TargetMode="External"/><Relationship Id="rId31" Type="http://schemas.openxmlformats.org/officeDocument/2006/relationships/hyperlink" Target="https://frontliner.gamextopia.id/dse/67" TargetMode="External"/><Relationship Id="rId73" Type="http://schemas.openxmlformats.org/officeDocument/2006/relationships/hyperlink" Target="https://frontliner.gamextopia.id/dse/423" TargetMode="External"/><Relationship Id="rId169" Type="http://schemas.openxmlformats.org/officeDocument/2006/relationships/hyperlink" Target="https://frontliner.gamextopia.id/dse/697" TargetMode="External"/><Relationship Id="rId334" Type="http://schemas.openxmlformats.org/officeDocument/2006/relationships/hyperlink" Target="https://frontliner.gamextopia.id/dse/156" TargetMode="External"/><Relationship Id="rId376" Type="http://schemas.openxmlformats.org/officeDocument/2006/relationships/hyperlink" Target="https://frontliner.gamextopia.id/dse/414" TargetMode="External"/><Relationship Id="rId541" Type="http://schemas.openxmlformats.org/officeDocument/2006/relationships/hyperlink" Target="https://frontliner.gamextopia.id/dse/442" TargetMode="External"/><Relationship Id="rId583" Type="http://schemas.openxmlformats.org/officeDocument/2006/relationships/hyperlink" Target="https://frontliner.gamextopia.id/dse/101" TargetMode="External"/><Relationship Id="rId4" Type="http://schemas.openxmlformats.org/officeDocument/2006/relationships/hyperlink" Target="https://frontliner.gamextopia.id/dse/555" TargetMode="External"/><Relationship Id="rId180" Type="http://schemas.openxmlformats.org/officeDocument/2006/relationships/hyperlink" Target="https://frontliner.gamextopia.id/dse/108" TargetMode="External"/><Relationship Id="rId236" Type="http://schemas.openxmlformats.org/officeDocument/2006/relationships/hyperlink" Target="https://frontliner.gamextopia.id/dse/32" TargetMode="External"/><Relationship Id="rId278" Type="http://schemas.openxmlformats.org/officeDocument/2006/relationships/hyperlink" Target="https://frontliner.gamextopia.id/dse/115" TargetMode="External"/><Relationship Id="rId401" Type="http://schemas.openxmlformats.org/officeDocument/2006/relationships/hyperlink" Target="https://frontliner.gamextopia.id/dse/126" TargetMode="External"/><Relationship Id="rId443" Type="http://schemas.openxmlformats.org/officeDocument/2006/relationships/hyperlink" Target="https://frontliner.gamextopia.id/dse/653" TargetMode="External"/><Relationship Id="rId303" Type="http://schemas.openxmlformats.org/officeDocument/2006/relationships/hyperlink" Target="https://frontliner.gamextopia.id/dse/435" TargetMode="External"/><Relationship Id="rId485" Type="http://schemas.openxmlformats.org/officeDocument/2006/relationships/hyperlink" Target="https://frontliner.gamextopia.id/dse/397" TargetMode="External"/><Relationship Id="rId42" Type="http://schemas.openxmlformats.org/officeDocument/2006/relationships/hyperlink" Target="https://frontliner.gamextopia.id/dse/554" TargetMode="External"/><Relationship Id="rId84" Type="http://schemas.openxmlformats.org/officeDocument/2006/relationships/hyperlink" Target="https://frontliner.gamextopia.id/dse/768" TargetMode="External"/><Relationship Id="rId138" Type="http://schemas.openxmlformats.org/officeDocument/2006/relationships/hyperlink" Target="https://frontliner.gamextopia.id/dse/139" TargetMode="External"/><Relationship Id="rId345" Type="http://schemas.openxmlformats.org/officeDocument/2006/relationships/hyperlink" Target="https://frontliner.gamextopia.id/dse/160" TargetMode="External"/><Relationship Id="rId387" Type="http://schemas.openxmlformats.org/officeDocument/2006/relationships/hyperlink" Target="https://frontliner.gamextopia.id/dse/440" TargetMode="External"/><Relationship Id="rId510" Type="http://schemas.openxmlformats.org/officeDocument/2006/relationships/hyperlink" Target="https://frontliner.gamextopia.id/dse/8" TargetMode="External"/><Relationship Id="rId552" Type="http://schemas.openxmlformats.org/officeDocument/2006/relationships/hyperlink" Target="https://frontliner.gamextopia.id/dse/782" TargetMode="External"/><Relationship Id="rId594" Type="http://schemas.openxmlformats.org/officeDocument/2006/relationships/hyperlink" Target="https://frontliner.gamextopia.id/dse/104" TargetMode="External"/><Relationship Id="rId608" Type="http://schemas.openxmlformats.org/officeDocument/2006/relationships/hyperlink" Target="https://frontliner.gamextopia.id/dse/21" TargetMode="External"/><Relationship Id="rId191" Type="http://schemas.openxmlformats.org/officeDocument/2006/relationships/hyperlink" Target="https://frontliner.gamextopia.id/dse/494" TargetMode="External"/><Relationship Id="rId205" Type="http://schemas.openxmlformats.org/officeDocument/2006/relationships/hyperlink" Target="https://frontliner.gamextopia.id/dse/815" TargetMode="External"/><Relationship Id="rId247" Type="http://schemas.openxmlformats.org/officeDocument/2006/relationships/hyperlink" Target="https://frontliner.gamextopia.id/dse/589" TargetMode="External"/><Relationship Id="rId412" Type="http://schemas.openxmlformats.org/officeDocument/2006/relationships/hyperlink" Target="https://frontliner.gamextopia.id/dse/785" TargetMode="External"/><Relationship Id="rId107" Type="http://schemas.openxmlformats.org/officeDocument/2006/relationships/hyperlink" Target="https://frontliner.gamextopia.id/dse/805" TargetMode="External"/><Relationship Id="rId289" Type="http://schemas.openxmlformats.org/officeDocument/2006/relationships/hyperlink" Target="https://frontliner.gamextopia.id/dse/282" TargetMode="External"/><Relationship Id="rId454" Type="http://schemas.openxmlformats.org/officeDocument/2006/relationships/hyperlink" Target="https://frontliner.gamextopia.id/dse/54" TargetMode="External"/><Relationship Id="rId496" Type="http://schemas.openxmlformats.org/officeDocument/2006/relationships/hyperlink" Target="https://frontliner.gamextopia.id/dse/552" TargetMode="External"/><Relationship Id="rId11" Type="http://schemas.openxmlformats.org/officeDocument/2006/relationships/hyperlink" Target="https://frontliner.gamextopia.id/dse/269" TargetMode="External"/><Relationship Id="rId53" Type="http://schemas.openxmlformats.org/officeDocument/2006/relationships/hyperlink" Target="https://frontliner.gamextopia.id/dse/749" TargetMode="External"/><Relationship Id="rId149" Type="http://schemas.openxmlformats.org/officeDocument/2006/relationships/hyperlink" Target="https://frontliner.gamextopia.id/dse/592" TargetMode="External"/><Relationship Id="rId314" Type="http://schemas.openxmlformats.org/officeDocument/2006/relationships/hyperlink" Target="https://frontliner.gamextopia.id/dse/753" TargetMode="External"/><Relationship Id="rId356" Type="http://schemas.openxmlformats.org/officeDocument/2006/relationships/hyperlink" Target="https://frontliner.gamextopia.id/dse/431" TargetMode="External"/><Relationship Id="rId398" Type="http://schemas.openxmlformats.org/officeDocument/2006/relationships/hyperlink" Target="https://frontliner.gamextopia.id/dse/747" TargetMode="External"/><Relationship Id="rId521" Type="http://schemas.openxmlformats.org/officeDocument/2006/relationships/hyperlink" Target="https://frontliner.gamextopia.id/dse/181" TargetMode="External"/><Relationship Id="rId563" Type="http://schemas.openxmlformats.org/officeDocument/2006/relationships/hyperlink" Target="https://frontliner.gamextopia.id/dse/813" TargetMode="External"/><Relationship Id="rId619" Type="http://schemas.openxmlformats.org/officeDocument/2006/relationships/hyperlink" Target="https://frontliner.gamextopia.id/dse/1" TargetMode="External"/><Relationship Id="rId95" Type="http://schemas.openxmlformats.org/officeDocument/2006/relationships/hyperlink" Target="https://frontliner.gamextopia.id/dse/17" TargetMode="External"/><Relationship Id="rId160" Type="http://schemas.openxmlformats.org/officeDocument/2006/relationships/hyperlink" Target="https://frontliner.gamextopia.id/dse/407" TargetMode="External"/><Relationship Id="rId216" Type="http://schemas.openxmlformats.org/officeDocument/2006/relationships/hyperlink" Target="https://frontliner.gamextopia.id/dse/730" TargetMode="External"/><Relationship Id="rId423" Type="http://schemas.openxmlformats.org/officeDocument/2006/relationships/hyperlink" Target="https://frontliner.gamextopia.id/dse/53" TargetMode="External"/><Relationship Id="rId258" Type="http://schemas.openxmlformats.org/officeDocument/2006/relationships/hyperlink" Target="https://frontliner.gamextopia.id/dse/686" TargetMode="External"/><Relationship Id="rId465" Type="http://schemas.openxmlformats.org/officeDocument/2006/relationships/hyperlink" Target="https://frontliner.gamextopia.id/dse/663" TargetMode="External"/><Relationship Id="rId22" Type="http://schemas.openxmlformats.org/officeDocument/2006/relationships/hyperlink" Target="https://frontliner.gamextopia.id/dse/420" TargetMode="External"/><Relationship Id="rId64" Type="http://schemas.openxmlformats.org/officeDocument/2006/relationships/hyperlink" Target="https://frontliner.gamextopia.id/dse/213" TargetMode="External"/><Relationship Id="rId118" Type="http://schemas.openxmlformats.org/officeDocument/2006/relationships/hyperlink" Target="https://frontliner.gamextopia.id/dse/95" TargetMode="External"/><Relationship Id="rId325" Type="http://schemas.openxmlformats.org/officeDocument/2006/relationships/hyperlink" Target="https://frontliner.gamextopia.id/dse/311" TargetMode="External"/><Relationship Id="rId367" Type="http://schemas.openxmlformats.org/officeDocument/2006/relationships/hyperlink" Target="https://frontliner.gamextopia.id/dse/732" TargetMode="External"/><Relationship Id="rId532" Type="http://schemas.openxmlformats.org/officeDocument/2006/relationships/hyperlink" Target="https://frontliner.gamextopia.id/dse/769" TargetMode="External"/><Relationship Id="rId574" Type="http://schemas.openxmlformats.org/officeDocument/2006/relationships/hyperlink" Target="https://frontliner.gamextopia.id/dse/201" TargetMode="External"/><Relationship Id="rId171" Type="http://schemas.openxmlformats.org/officeDocument/2006/relationships/hyperlink" Target="https://frontliner.gamextopia.id/dse/819" TargetMode="External"/><Relationship Id="rId227" Type="http://schemas.openxmlformats.org/officeDocument/2006/relationships/hyperlink" Target="https://frontliner.gamextopia.id/dse/685" TargetMode="External"/><Relationship Id="rId269" Type="http://schemas.openxmlformats.org/officeDocument/2006/relationships/hyperlink" Target="https://frontliner.gamextopia.id/dse/309" TargetMode="External"/><Relationship Id="rId434" Type="http://schemas.openxmlformats.org/officeDocument/2006/relationships/hyperlink" Target="https://frontliner.gamextopia.id/dse/129" TargetMode="External"/><Relationship Id="rId476" Type="http://schemas.openxmlformats.org/officeDocument/2006/relationships/hyperlink" Target="https://frontliner.gamextopia.id/dse/720" TargetMode="External"/><Relationship Id="rId33" Type="http://schemas.openxmlformats.org/officeDocument/2006/relationships/hyperlink" Target="https://frontliner.gamextopia.id/dse/248" TargetMode="External"/><Relationship Id="rId129" Type="http://schemas.openxmlformats.org/officeDocument/2006/relationships/hyperlink" Target="https://frontliner.gamextopia.id/dse/81" TargetMode="External"/><Relationship Id="rId280" Type="http://schemas.openxmlformats.org/officeDocument/2006/relationships/hyperlink" Target="https://frontliner.gamextopia.id/dse/328" TargetMode="External"/><Relationship Id="rId336" Type="http://schemas.openxmlformats.org/officeDocument/2006/relationships/hyperlink" Target="https://frontliner.gamextopia.id/dse/436" TargetMode="External"/><Relationship Id="rId501" Type="http://schemas.openxmlformats.org/officeDocument/2006/relationships/hyperlink" Target="https://frontliner.gamextopia.id/dse/506" TargetMode="External"/><Relationship Id="rId543" Type="http://schemas.openxmlformats.org/officeDocument/2006/relationships/hyperlink" Target="https://frontliner.gamextopia.id/dse/18" TargetMode="External"/><Relationship Id="rId75" Type="http://schemas.openxmlformats.org/officeDocument/2006/relationships/hyperlink" Target="https://frontliner.gamextopia.id/dse/141" TargetMode="External"/><Relationship Id="rId140" Type="http://schemas.openxmlformats.org/officeDocument/2006/relationships/hyperlink" Target="https://frontliner.gamextopia.id/dse/29" TargetMode="External"/><Relationship Id="rId182" Type="http://schemas.openxmlformats.org/officeDocument/2006/relationships/hyperlink" Target="https://frontliner.gamextopia.id/dse/425" TargetMode="External"/><Relationship Id="rId378" Type="http://schemas.openxmlformats.org/officeDocument/2006/relationships/hyperlink" Target="https://frontliner.gamextopia.id/dse/734" TargetMode="External"/><Relationship Id="rId403" Type="http://schemas.openxmlformats.org/officeDocument/2006/relationships/hyperlink" Target="https://frontliner.gamextopia.id/dse/298" TargetMode="External"/><Relationship Id="rId585" Type="http://schemas.openxmlformats.org/officeDocument/2006/relationships/hyperlink" Target="https://frontliner.gamextopia.id/dse/498" TargetMode="External"/><Relationship Id="rId6" Type="http://schemas.openxmlformats.org/officeDocument/2006/relationships/hyperlink" Target="https://frontliner.gamextopia.id/dse/35" TargetMode="External"/><Relationship Id="rId238" Type="http://schemas.openxmlformats.org/officeDocument/2006/relationships/hyperlink" Target="https://frontliner.gamextopia.id/dse/176" TargetMode="External"/><Relationship Id="rId445" Type="http://schemas.openxmlformats.org/officeDocument/2006/relationships/hyperlink" Target="https://frontliner.gamextopia.id/dse/242" TargetMode="External"/><Relationship Id="rId487" Type="http://schemas.openxmlformats.org/officeDocument/2006/relationships/hyperlink" Target="https://frontliner.gamextopia.id/dse/256" TargetMode="External"/><Relationship Id="rId610" Type="http://schemas.openxmlformats.org/officeDocument/2006/relationships/hyperlink" Target="https://frontliner.gamextopia.id/dse/537" TargetMode="External"/><Relationship Id="rId291" Type="http://schemas.openxmlformats.org/officeDocument/2006/relationships/hyperlink" Target="https://frontliner.gamextopia.id/dse/333" TargetMode="External"/><Relationship Id="rId305" Type="http://schemas.openxmlformats.org/officeDocument/2006/relationships/hyperlink" Target="https://frontliner.gamextopia.id/dse/792" TargetMode="External"/><Relationship Id="rId347" Type="http://schemas.openxmlformats.org/officeDocument/2006/relationships/hyperlink" Target="https://frontliner.gamextopia.id/dse/497" TargetMode="External"/><Relationship Id="rId512" Type="http://schemas.openxmlformats.org/officeDocument/2006/relationships/hyperlink" Target="https://frontliner.gamextopia.id/dse/210" TargetMode="External"/><Relationship Id="rId44" Type="http://schemas.openxmlformats.org/officeDocument/2006/relationships/hyperlink" Target="https://frontliner.gamextopia.id/dse/444" TargetMode="External"/><Relationship Id="rId86" Type="http://schemas.openxmlformats.org/officeDocument/2006/relationships/hyperlink" Target="https://frontliner.gamextopia.id/dse/276" TargetMode="External"/><Relationship Id="rId151" Type="http://schemas.openxmlformats.org/officeDocument/2006/relationships/hyperlink" Target="https://frontliner.gamextopia.id/dse/438" TargetMode="External"/><Relationship Id="rId389" Type="http://schemas.openxmlformats.org/officeDocument/2006/relationships/hyperlink" Target="https://frontliner.gamextopia.id/dse/107" TargetMode="External"/><Relationship Id="rId554" Type="http://schemas.openxmlformats.org/officeDocument/2006/relationships/hyperlink" Target="https://frontliner.gamextopia.id/dse/708" TargetMode="External"/><Relationship Id="rId596" Type="http://schemas.openxmlformats.org/officeDocument/2006/relationships/hyperlink" Target="https://frontliner.gamextopia.id/dse/811" TargetMode="External"/><Relationship Id="rId193" Type="http://schemas.openxmlformats.org/officeDocument/2006/relationships/hyperlink" Target="https://frontliner.gamextopia.id/dse/332" TargetMode="External"/><Relationship Id="rId207" Type="http://schemas.openxmlformats.org/officeDocument/2006/relationships/hyperlink" Target="https://frontliner.gamextopia.id/dse/647" TargetMode="External"/><Relationship Id="rId249" Type="http://schemas.openxmlformats.org/officeDocument/2006/relationships/hyperlink" Target="https://frontliner.gamextopia.id/dse/149" TargetMode="External"/><Relationship Id="rId414" Type="http://schemas.openxmlformats.org/officeDocument/2006/relationships/hyperlink" Target="https://frontliner.gamextopia.id/dse/756" TargetMode="External"/><Relationship Id="rId456" Type="http://schemas.openxmlformats.org/officeDocument/2006/relationships/hyperlink" Target="https://frontliner.gamextopia.id/dse/208" TargetMode="External"/><Relationship Id="rId498" Type="http://schemas.openxmlformats.org/officeDocument/2006/relationships/hyperlink" Target="https://frontliner.gamextopia.id/dse/563" TargetMode="External"/><Relationship Id="rId13" Type="http://schemas.openxmlformats.org/officeDocument/2006/relationships/hyperlink" Target="https://frontliner.gamextopia.id/dse/48" TargetMode="External"/><Relationship Id="rId109" Type="http://schemas.openxmlformats.org/officeDocument/2006/relationships/hyperlink" Target="https://frontliner.gamextopia.id/dse/418" TargetMode="External"/><Relationship Id="rId260" Type="http://schemas.openxmlformats.org/officeDocument/2006/relationships/hyperlink" Target="https://frontliner.gamextopia.id/dse/188" TargetMode="External"/><Relationship Id="rId316" Type="http://schemas.openxmlformats.org/officeDocument/2006/relationships/hyperlink" Target="https://frontliner.gamextopia.id/dse/528" TargetMode="External"/><Relationship Id="rId523" Type="http://schemas.openxmlformats.org/officeDocument/2006/relationships/hyperlink" Target="https://frontliner.gamextopia.id/dse/775" TargetMode="External"/><Relationship Id="rId55" Type="http://schemas.openxmlformats.org/officeDocument/2006/relationships/hyperlink" Target="https://frontliner.gamextopia.id/dse/131" TargetMode="External"/><Relationship Id="rId97" Type="http://schemas.openxmlformats.org/officeDocument/2006/relationships/hyperlink" Target="https://frontliner.gamextopia.id/dse/539" TargetMode="External"/><Relationship Id="rId120" Type="http://schemas.openxmlformats.org/officeDocument/2006/relationships/hyperlink" Target="https://frontliner.gamextopia.id/dse/211" TargetMode="External"/><Relationship Id="rId358" Type="http://schemas.openxmlformats.org/officeDocument/2006/relationships/hyperlink" Target="https://frontliner.gamextopia.id/dse/56" TargetMode="External"/><Relationship Id="rId565" Type="http://schemas.openxmlformats.org/officeDocument/2006/relationships/hyperlink" Target="https://frontliner.gamextopia.id/dse/546" TargetMode="External"/><Relationship Id="rId162" Type="http://schemas.openxmlformats.org/officeDocument/2006/relationships/hyperlink" Target="https://frontliner.gamextopia.id/dse/22" TargetMode="External"/><Relationship Id="rId218" Type="http://schemas.openxmlformats.org/officeDocument/2006/relationships/hyperlink" Target="https://frontliner.gamextopia.id/dse/553" TargetMode="External"/><Relationship Id="rId425" Type="http://schemas.openxmlformats.org/officeDocument/2006/relationships/hyperlink" Target="https://frontliner.gamextopia.id/dse/822" TargetMode="External"/><Relationship Id="rId467" Type="http://schemas.openxmlformats.org/officeDocument/2006/relationships/hyperlink" Target="https://frontliner.gamextopia.id/dse/668" TargetMode="External"/><Relationship Id="rId271" Type="http://schemas.openxmlformats.org/officeDocument/2006/relationships/hyperlink" Target="https://frontliner.gamextopia.id/dse/671" TargetMode="External"/><Relationship Id="rId24" Type="http://schemas.openxmlformats.org/officeDocument/2006/relationships/hyperlink" Target="https://frontliner.gamextopia.id/dse/257" TargetMode="External"/><Relationship Id="rId66" Type="http://schemas.openxmlformats.org/officeDocument/2006/relationships/hyperlink" Target="https://frontliner.gamextopia.id/dse/496" TargetMode="External"/><Relationship Id="rId131" Type="http://schemas.openxmlformats.org/officeDocument/2006/relationships/hyperlink" Target="https://frontliner.gamextopia.id/dse/313" TargetMode="External"/><Relationship Id="rId327" Type="http://schemas.openxmlformats.org/officeDocument/2006/relationships/hyperlink" Target="https://frontliner.gamextopia.id/dse/125" TargetMode="External"/><Relationship Id="rId369" Type="http://schemas.openxmlformats.org/officeDocument/2006/relationships/hyperlink" Target="https://frontliner.gamextopia.id/dse/748" TargetMode="External"/><Relationship Id="rId534" Type="http://schemas.openxmlformats.org/officeDocument/2006/relationships/hyperlink" Target="https://frontliner.gamextopia.id/dse/486" TargetMode="External"/><Relationship Id="rId576" Type="http://schemas.openxmlformats.org/officeDocument/2006/relationships/hyperlink" Target="https://frontliner.gamextopia.id/dse/521" TargetMode="External"/><Relationship Id="rId173" Type="http://schemas.openxmlformats.org/officeDocument/2006/relationships/hyperlink" Target="https://frontliner.gamextopia.id/dse/487" TargetMode="External"/><Relationship Id="rId229" Type="http://schemas.openxmlformats.org/officeDocument/2006/relationships/hyperlink" Target="https://frontliner.gamextopia.id/dse/525" TargetMode="External"/><Relationship Id="rId380" Type="http://schemas.openxmlformats.org/officeDocument/2006/relationships/hyperlink" Target="https://frontliner.gamextopia.id/dse/678" TargetMode="External"/><Relationship Id="rId436" Type="http://schemas.openxmlformats.org/officeDocument/2006/relationships/hyperlink" Target="https://frontliner.gamextopia.id/dse/648" TargetMode="External"/><Relationship Id="rId601" Type="http://schemas.openxmlformats.org/officeDocument/2006/relationships/hyperlink" Target="https://frontliner.gamextopia.id/dse/277" TargetMode="External"/><Relationship Id="rId240" Type="http://schemas.openxmlformats.org/officeDocument/2006/relationships/hyperlink" Target="https://frontliner.gamextopia.id/dse/770" TargetMode="External"/><Relationship Id="rId478" Type="http://schemas.openxmlformats.org/officeDocument/2006/relationships/hyperlink" Target="https://frontliner.gamextopia.id/dse/226" TargetMode="External"/><Relationship Id="rId35" Type="http://schemas.openxmlformats.org/officeDocument/2006/relationships/hyperlink" Target="https://frontliner.gamextopia.id/dse/656" TargetMode="External"/><Relationship Id="rId77" Type="http://schemas.openxmlformats.org/officeDocument/2006/relationships/hyperlink" Target="https://frontliner.gamextopia.id/dse/465" TargetMode="External"/><Relationship Id="rId100" Type="http://schemas.openxmlformats.org/officeDocument/2006/relationships/hyperlink" Target="https://frontliner.gamextopia.id/dse/578" TargetMode="External"/><Relationship Id="rId282" Type="http://schemas.openxmlformats.org/officeDocument/2006/relationships/hyperlink" Target="https://frontliner.gamextopia.id/dse/687" TargetMode="External"/><Relationship Id="rId338" Type="http://schemas.openxmlformats.org/officeDocument/2006/relationships/hyperlink" Target="https://frontliner.gamextopia.id/dse/642" TargetMode="External"/><Relationship Id="rId503" Type="http://schemas.openxmlformats.org/officeDocument/2006/relationships/hyperlink" Target="https://frontliner.gamextopia.id/dse/270" TargetMode="External"/><Relationship Id="rId545" Type="http://schemas.openxmlformats.org/officeDocument/2006/relationships/hyperlink" Target="https://frontliner.gamextopia.id/dse/27" TargetMode="External"/><Relationship Id="rId587" Type="http://schemas.openxmlformats.org/officeDocument/2006/relationships/hyperlink" Target="https://frontliner.gamextopia.id/dse/651" TargetMode="External"/><Relationship Id="rId8" Type="http://schemas.openxmlformats.org/officeDocument/2006/relationships/hyperlink" Target="https://frontliner.gamextopia.id/dse/59" TargetMode="External"/><Relationship Id="rId142" Type="http://schemas.openxmlformats.org/officeDocument/2006/relationships/hyperlink" Target="https://frontliner.gamextopia.id/dse/304" TargetMode="External"/><Relationship Id="rId184" Type="http://schemas.openxmlformats.org/officeDocument/2006/relationships/hyperlink" Target="https://frontliner.gamextopia.id/dse/434" TargetMode="External"/><Relationship Id="rId391" Type="http://schemas.openxmlformats.org/officeDocument/2006/relationships/hyperlink" Target="https://frontliner.gamextopia.id/dse/109" TargetMode="External"/><Relationship Id="rId405" Type="http://schemas.openxmlformats.org/officeDocument/2006/relationships/hyperlink" Target="https://frontliner.gamextopia.id/dse/265" TargetMode="External"/><Relationship Id="rId447" Type="http://schemas.openxmlformats.org/officeDocument/2006/relationships/hyperlink" Target="https://frontliner.gamextopia.id/dse/119" TargetMode="External"/><Relationship Id="rId612" Type="http://schemas.openxmlformats.org/officeDocument/2006/relationships/hyperlink" Target="https://frontliner.gamextopia.id/dse/673" TargetMode="External"/><Relationship Id="rId251" Type="http://schemas.openxmlformats.org/officeDocument/2006/relationships/hyperlink" Target="https://frontliner.gamextopia.id/dse/112" TargetMode="External"/><Relationship Id="rId489" Type="http://schemas.openxmlformats.org/officeDocument/2006/relationships/hyperlink" Target="https://frontliner.gamextopia.id/dse/7" TargetMode="External"/><Relationship Id="rId46" Type="http://schemas.openxmlformats.org/officeDocument/2006/relationships/hyperlink" Target="https://frontliner.gamextopia.id/dse/99" TargetMode="External"/><Relationship Id="rId293" Type="http://schemas.openxmlformats.org/officeDocument/2006/relationships/hyperlink" Target="https://frontliner.gamextopia.id/dse/411" TargetMode="External"/><Relationship Id="rId307" Type="http://schemas.openxmlformats.org/officeDocument/2006/relationships/hyperlink" Target="https://frontliner.gamextopia.id/dse/659" TargetMode="External"/><Relationship Id="rId349" Type="http://schemas.openxmlformats.org/officeDocument/2006/relationships/hyperlink" Target="https://frontliner.gamextopia.id/dse/649" TargetMode="External"/><Relationship Id="rId514" Type="http://schemas.openxmlformats.org/officeDocument/2006/relationships/hyperlink" Target="https://frontliner.gamextopia.id/dse/30" TargetMode="External"/><Relationship Id="rId556" Type="http://schemas.openxmlformats.org/officeDocument/2006/relationships/hyperlink" Target="https://frontliner.gamextopia.id/dse/16" TargetMode="External"/><Relationship Id="rId88" Type="http://schemas.openxmlformats.org/officeDocument/2006/relationships/hyperlink" Target="https://frontliner.gamextopia.id/dse/666" TargetMode="External"/><Relationship Id="rId111" Type="http://schemas.openxmlformats.org/officeDocument/2006/relationships/hyperlink" Target="https://frontliner.gamextopia.id/dse/766" TargetMode="External"/><Relationship Id="rId153" Type="http://schemas.openxmlformats.org/officeDocument/2006/relationships/hyperlink" Target="https://frontliner.gamextopia.id/dse/401" TargetMode="External"/><Relationship Id="rId195" Type="http://schemas.openxmlformats.org/officeDocument/2006/relationships/hyperlink" Target="https://frontliner.gamextopia.id/dse/545" TargetMode="External"/><Relationship Id="rId209" Type="http://schemas.openxmlformats.org/officeDocument/2006/relationships/hyperlink" Target="https://frontliner.gamextopia.id/dse/396" TargetMode="External"/><Relationship Id="rId360" Type="http://schemas.openxmlformats.org/officeDocument/2006/relationships/hyperlink" Target="https://frontliner.gamextopia.id/dse/587" TargetMode="External"/><Relationship Id="rId416" Type="http://schemas.openxmlformats.org/officeDocument/2006/relationships/hyperlink" Target="https://frontliner.gamextopia.id/dse/665" TargetMode="External"/><Relationship Id="rId598" Type="http://schemas.openxmlformats.org/officeDocument/2006/relationships/hyperlink" Target="https://frontliner.gamextopia.id/dse/585" TargetMode="External"/><Relationship Id="rId220" Type="http://schemas.openxmlformats.org/officeDocument/2006/relationships/hyperlink" Target="https://frontliner.gamextopia.id/dse/273" TargetMode="External"/><Relationship Id="rId458" Type="http://schemas.openxmlformats.org/officeDocument/2006/relationships/hyperlink" Target="https://frontliner.gamextopia.id/dse/72" TargetMode="External"/><Relationship Id="rId15" Type="http://schemas.openxmlformats.org/officeDocument/2006/relationships/hyperlink" Target="https://frontliner.gamextopia.id/dse/693" TargetMode="External"/><Relationship Id="rId57" Type="http://schemas.openxmlformats.org/officeDocument/2006/relationships/hyperlink" Target="https://frontliner.gamextopia.id/dse/306" TargetMode="External"/><Relationship Id="rId262" Type="http://schemas.openxmlformats.org/officeDocument/2006/relationships/hyperlink" Target="https://frontliner.gamextopia.id/dse/637" TargetMode="External"/><Relationship Id="rId318" Type="http://schemas.openxmlformats.org/officeDocument/2006/relationships/hyperlink" Target="https://frontliner.gamextopia.id/dse/146" TargetMode="External"/><Relationship Id="rId525" Type="http://schemas.openxmlformats.org/officeDocument/2006/relationships/hyperlink" Target="https://frontliner.gamextopia.id/dse/519" TargetMode="External"/><Relationship Id="rId567" Type="http://schemas.openxmlformats.org/officeDocument/2006/relationships/hyperlink" Target="https://frontliner.gamextopia.id/dse/791" TargetMode="External"/><Relationship Id="rId99" Type="http://schemas.openxmlformats.org/officeDocument/2006/relationships/hyperlink" Target="https://frontliner.gamextopia.id/dse/741" TargetMode="External"/><Relationship Id="rId122" Type="http://schemas.openxmlformats.org/officeDocument/2006/relationships/hyperlink" Target="https://frontliner.gamextopia.id/dse/331" TargetMode="External"/><Relationship Id="rId164" Type="http://schemas.openxmlformats.org/officeDocument/2006/relationships/hyperlink" Target="https://frontliner.gamextopia.id/dse/157" TargetMode="External"/><Relationship Id="rId371" Type="http://schemas.openxmlformats.org/officeDocument/2006/relationships/hyperlink" Target="https://frontliner.gamextopia.id/dse/488" TargetMode="External"/><Relationship Id="rId427" Type="http://schemas.openxmlformats.org/officeDocument/2006/relationships/hyperlink" Target="https://frontliner.gamextopia.id/dse/293" TargetMode="External"/><Relationship Id="rId469" Type="http://schemas.openxmlformats.org/officeDocument/2006/relationships/hyperlink" Target="https://frontliner.gamextopia.id/dse/511" TargetMode="External"/><Relationship Id="rId26" Type="http://schemas.openxmlformats.org/officeDocument/2006/relationships/hyperlink" Target="https://frontliner.gamextopia.id/dse/254" TargetMode="External"/><Relationship Id="rId231" Type="http://schemas.openxmlformats.org/officeDocument/2006/relationships/hyperlink" Target="https://frontliner.gamextopia.id/dse/761" TargetMode="External"/><Relationship Id="rId273" Type="http://schemas.openxmlformats.org/officeDocument/2006/relationships/hyperlink" Target="https://frontliner.gamextopia.id/dse/221" TargetMode="External"/><Relationship Id="rId329" Type="http://schemas.openxmlformats.org/officeDocument/2006/relationships/hyperlink" Target="https://frontliner.gamextopia.id/dse/145" TargetMode="External"/><Relationship Id="rId480" Type="http://schemas.openxmlformats.org/officeDocument/2006/relationships/hyperlink" Target="https://frontliner.gamextopia.id/dse/662" TargetMode="External"/><Relationship Id="rId536" Type="http://schemas.openxmlformats.org/officeDocument/2006/relationships/hyperlink" Target="https://frontliner.gamextopia.id/dse/699" TargetMode="External"/><Relationship Id="rId68" Type="http://schemas.openxmlformats.org/officeDocument/2006/relationships/hyperlink" Target="https://frontliner.gamextopia.id/dse/499" TargetMode="External"/><Relationship Id="rId133" Type="http://schemas.openxmlformats.org/officeDocument/2006/relationships/hyperlink" Target="https://frontliner.gamextopia.id/dse/755" TargetMode="External"/><Relationship Id="rId175" Type="http://schemas.openxmlformats.org/officeDocument/2006/relationships/hyperlink" Target="https://frontliner.gamextopia.id/dse/533" TargetMode="External"/><Relationship Id="rId340" Type="http://schemas.openxmlformats.org/officeDocument/2006/relationships/hyperlink" Target="https://frontliner.gamextopia.id/dse/655" TargetMode="External"/><Relationship Id="rId578" Type="http://schemas.openxmlformats.org/officeDocument/2006/relationships/hyperlink" Target="https://frontliner.gamextopia.id/dse/824" TargetMode="External"/><Relationship Id="rId200" Type="http://schemas.openxmlformats.org/officeDocument/2006/relationships/hyperlink" Target="https://frontliner.gamextopia.id/dse/821" TargetMode="External"/><Relationship Id="rId382" Type="http://schemas.openxmlformats.org/officeDocument/2006/relationships/hyperlink" Target="https://frontliner.gamextopia.id/dse/279" TargetMode="External"/><Relationship Id="rId438" Type="http://schemas.openxmlformats.org/officeDocument/2006/relationships/hyperlink" Target="https://frontliner.gamextopia.id/dse/500" TargetMode="External"/><Relationship Id="rId603" Type="http://schemas.openxmlformats.org/officeDocument/2006/relationships/hyperlink" Target="https://frontliner.gamextopia.id/dse/743" TargetMode="External"/><Relationship Id="rId242" Type="http://schemas.openxmlformats.org/officeDocument/2006/relationships/hyperlink" Target="https://frontliner.gamextopia.id/dse/78" TargetMode="External"/><Relationship Id="rId284" Type="http://schemas.openxmlformats.org/officeDocument/2006/relationships/hyperlink" Target="https://frontliner.gamextopia.id/dse/709" TargetMode="External"/><Relationship Id="rId491" Type="http://schemas.openxmlformats.org/officeDocument/2006/relationships/hyperlink" Target="https://frontliner.gamextopia.id/dse/285" TargetMode="External"/><Relationship Id="rId505" Type="http://schemas.openxmlformats.org/officeDocument/2006/relationships/hyperlink" Target="https://frontliner.gamextopia.id/dse/657" TargetMode="External"/><Relationship Id="rId37" Type="http://schemas.openxmlformats.org/officeDocument/2006/relationships/hyperlink" Target="https://frontliner.gamextopia.id/dse/327" TargetMode="External"/><Relationship Id="rId79" Type="http://schemas.openxmlformats.org/officeDocument/2006/relationships/hyperlink" Target="https://frontliner.gamextopia.id/dse/459" TargetMode="External"/><Relationship Id="rId102" Type="http://schemas.openxmlformats.org/officeDocument/2006/relationships/hyperlink" Target="https://frontliner.gamextopia.id/dse/577" TargetMode="External"/><Relationship Id="rId144" Type="http://schemas.openxmlformats.org/officeDocument/2006/relationships/hyperlink" Target="https://frontliner.gamextopia.id/dse/117" TargetMode="External"/><Relationship Id="rId547" Type="http://schemas.openxmlformats.org/officeDocument/2006/relationships/hyperlink" Target="https://frontliner.gamextopia.id/dse/439" TargetMode="External"/><Relationship Id="rId589" Type="http://schemas.openxmlformats.org/officeDocument/2006/relationships/hyperlink" Target="https://frontliner.gamextopia.id/dse/170" TargetMode="External"/><Relationship Id="rId90" Type="http://schemas.openxmlformats.org/officeDocument/2006/relationships/hyperlink" Target="https://frontliner.gamextopia.id/dse/634" TargetMode="External"/><Relationship Id="rId186" Type="http://schemas.openxmlformats.org/officeDocument/2006/relationships/hyperlink" Target="https://frontliner.gamextopia.id/dse/336" TargetMode="External"/><Relationship Id="rId351" Type="http://schemas.openxmlformats.org/officeDocument/2006/relationships/hyperlink" Target="https://frontliner.gamextopia.id/dse/569" TargetMode="External"/><Relationship Id="rId393" Type="http://schemas.openxmlformats.org/officeDocument/2006/relationships/hyperlink" Target="https://frontliner.gamextopia.id/dse/217" TargetMode="External"/><Relationship Id="rId407" Type="http://schemas.openxmlformats.org/officeDocument/2006/relationships/hyperlink" Target="https://frontliner.gamextopia.id/dse/337" TargetMode="External"/><Relationship Id="rId449" Type="http://schemas.openxmlformats.org/officeDocument/2006/relationships/hyperlink" Target="https://frontliner.gamextopia.id/dse/402" TargetMode="External"/><Relationship Id="rId614" Type="http://schemas.openxmlformats.org/officeDocument/2006/relationships/hyperlink" Target="https://frontliner.gamextopia.id/dse/798" TargetMode="External"/><Relationship Id="rId211" Type="http://schemas.openxmlformats.org/officeDocument/2006/relationships/hyperlink" Target="https://frontliner.gamextopia.id/dse/308" TargetMode="External"/><Relationship Id="rId253" Type="http://schemas.openxmlformats.org/officeDocument/2006/relationships/hyperlink" Target="https://frontliner.gamextopia.id/dse/20" TargetMode="External"/><Relationship Id="rId295" Type="http://schemas.openxmlformats.org/officeDocument/2006/relationships/hyperlink" Target="https://frontliner.gamextopia.id/dse/682" TargetMode="External"/><Relationship Id="rId309" Type="http://schemas.openxmlformats.org/officeDocument/2006/relationships/hyperlink" Target="https://frontliner.gamextopia.id/dse/251" TargetMode="External"/><Relationship Id="rId460" Type="http://schemas.openxmlformats.org/officeDocument/2006/relationships/hyperlink" Target="https://frontliner.gamextopia.id/dse/661" TargetMode="External"/><Relationship Id="rId516" Type="http://schemas.openxmlformats.org/officeDocument/2006/relationships/hyperlink" Target="https://frontliner.gamextopia.id/dse/300" TargetMode="External"/><Relationship Id="rId48" Type="http://schemas.openxmlformats.org/officeDocument/2006/relationships/hyperlink" Target="https://frontliner.gamextopia.id/dse/670" TargetMode="External"/><Relationship Id="rId113" Type="http://schemas.openxmlformats.org/officeDocument/2006/relationships/hyperlink" Target="https://frontliner.gamextopia.id/dse/421" TargetMode="External"/><Relationship Id="rId320" Type="http://schemas.openxmlformats.org/officeDocument/2006/relationships/hyperlink" Target="https://frontliner.gamextopia.id/dse/136" TargetMode="External"/><Relationship Id="rId558" Type="http://schemas.openxmlformats.org/officeDocument/2006/relationships/hyperlink" Target="https://frontliner.gamextopia.id/dse/508" TargetMode="External"/><Relationship Id="rId155" Type="http://schemas.openxmlformats.org/officeDocument/2006/relationships/hyperlink" Target="https://frontliner.gamextopia.id/dse/579" TargetMode="External"/><Relationship Id="rId197" Type="http://schemas.openxmlformats.org/officeDocument/2006/relationships/hyperlink" Target="https://frontliner.gamextopia.id/dse/675" TargetMode="External"/><Relationship Id="rId362" Type="http://schemas.openxmlformats.org/officeDocument/2006/relationships/hyperlink" Target="https://frontliner.gamextopia.id/dse/681" TargetMode="External"/><Relationship Id="rId418" Type="http://schemas.openxmlformats.org/officeDocument/2006/relationships/hyperlink" Target="https://frontliner.gamextopia.id/dse/44" TargetMode="External"/><Relationship Id="rId222" Type="http://schemas.openxmlformats.org/officeDocument/2006/relationships/hyperlink" Target="https://frontliner.gamextopia.id/dse/777" TargetMode="External"/><Relationship Id="rId264" Type="http://schemas.openxmlformats.org/officeDocument/2006/relationships/hyperlink" Target="https://frontliner.gamextopia.id/dse/810" TargetMode="External"/><Relationship Id="rId471" Type="http://schemas.openxmlformats.org/officeDocument/2006/relationships/hyperlink" Target="https://frontliner.gamextopia.id/dse/829" TargetMode="External"/><Relationship Id="rId17" Type="http://schemas.openxmlformats.org/officeDocument/2006/relationships/hyperlink" Target="https://frontliner.gamextopia.id/dse/326" TargetMode="External"/><Relationship Id="rId59" Type="http://schemas.openxmlformats.org/officeDocument/2006/relationships/hyperlink" Target="https://frontliner.gamextopia.id/dse/404" TargetMode="External"/><Relationship Id="rId124" Type="http://schemas.openxmlformats.org/officeDocument/2006/relationships/hyperlink" Target="https://frontliner.gamextopia.id/dse/116" TargetMode="External"/><Relationship Id="rId527" Type="http://schemas.openxmlformats.org/officeDocument/2006/relationships/hyperlink" Target="https://frontliner.gamextopia.id/dse/513" TargetMode="External"/><Relationship Id="rId569" Type="http://schemas.openxmlformats.org/officeDocument/2006/relationships/hyperlink" Target="https://frontliner.gamextopia.id/dse/120" TargetMode="External"/><Relationship Id="rId70" Type="http://schemas.openxmlformats.org/officeDocument/2006/relationships/hyperlink" Target="https://frontliner.gamextopia.id/dse/268" TargetMode="External"/><Relationship Id="rId166" Type="http://schemas.openxmlformats.org/officeDocument/2006/relationships/hyperlink" Target="https://frontliner.gamextopia.id/dse/823" TargetMode="External"/><Relationship Id="rId331" Type="http://schemas.openxmlformats.org/officeDocument/2006/relationships/hyperlink" Target="https://frontliner.gamextopia.id/dse/92" TargetMode="External"/><Relationship Id="rId373" Type="http://schemas.openxmlformats.org/officeDocument/2006/relationships/hyperlink" Target="https://frontliner.gamextopia.id/dse/227" TargetMode="External"/><Relationship Id="rId429" Type="http://schemas.openxmlformats.org/officeDocument/2006/relationships/hyperlink" Target="https://frontliner.gamextopia.id/dse/127" TargetMode="External"/><Relationship Id="rId580" Type="http://schemas.openxmlformats.org/officeDocument/2006/relationships/hyperlink" Target="https://frontliner.gamextopia.id/dse/586" TargetMode="External"/><Relationship Id="rId1" Type="http://schemas.openxmlformats.org/officeDocument/2006/relationships/hyperlink" Target="https://frontliner.gamextopia.id/dse/96" TargetMode="External"/><Relationship Id="rId233" Type="http://schemas.openxmlformats.org/officeDocument/2006/relationships/hyperlink" Target="https://frontliner.gamextopia.id/dse/502" TargetMode="External"/><Relationship Id="rId440" Type="http://schemas.openxmlformats.org/officeDocument/2006/relationships/hyperlink" Target="https://frontliner.gamextopia.id/dse/216" TargetMode="External"/><Relationship Id="rId28" Type="http://schemas.openxmlformats.org/officeDocument/2006/relationships/hyperlink" Target="https://frontliner.gamextopia.id/dse/25" TargetMode="External"/><Relationship Id="rId275" Type="http://schemas.openxmlformats.org/officeDocument/2006/relationships/hyperlink" Target="https://frontliner.gamextopia.id/dse/731" TargetMode="External"/><Relationship Id="rId300" Type="http://schemas.openxmlformats.org/officeDocument/2006/relationships/hyperlink" Target="https://frontliner.gamextopia.id/dse/39" TargetMode="External"/><Relationship Id="rId482" Type="http://schemas.openxmlformats.org/officeDocument/2006/relationships/hyperlink" Target="https://frontliner.gamextopia.id/dse/738" TargetMode="External"/><Relationship Id="rId538" Type="http://schemas.openxmlformats.org/officeDocument/2006/relationships/hyperlink" Target="https://frontliner.gamextopia.id/dse/757" TargetMode="External"/><Relationship Id="rId81" Type="http://schemas.openxmlformats.org/officeDocument/2006/relationships/hyperlink" Target="https://frontliner.gamextopia.id/dse/183" TargetMode="External"/><Relationship Id="rId135" Type="http://schemas.openxmlformats.org/officeDocument/2006/relationships/hyperlink" Target="https://frontliner.gamextopia.id/dse/818" TargetMode="External"/><Relationship Id="rId177" Type="http://schemas.openxmlformats.org/officeDocument/2006/relationships/hyperlink" Target="https://frontliner.gamextopia.id/dse/485" TargetMode="External"/><Relationship Id="rId342" Type="http://schemas.openxmlformats.org/officeDocument/2006/relationships/hyperlink" Target="https://frontliner.gamextopia.id/dse/831" TargetMode="External"/><Relationship Id="rId384" Type="http://schemas.openxmlformats.org/officeDocument/2006/relationships/hyperlink" Target="https://frontliner.gamextopia.id/dse/182" TargetMode="External"/><Relationship Id="rId591" Type="http://schemas.openxmlformats.org/officeDocument/2006/relationships/hyperlink" Target="https://frontliner.gamextopia.id/dse/772" TargetMode="External"/><Relationship Id="rId605" Type="http://schemas.openxmlformats.org/officeDocument/2006/relationships/hyperlink" Target="https://frontliner.gamextopia.id/dse/702" TargetMode="External"/><Relationship Id="rId202" Type="http://schemas.openxmlformats.org/officeDocument/2006/relationships/hyperlink" Target="https://frontliner.gamextopia.id/dse/13" TargetMode="External"/><Relationship Id="rId244" Type="http://schemas.openxmlformats.org/officeDocument/2006/relationships/hyperlink" Target="https://frontliner.gamextopia.id/dse/34" TargetMode="External"/><Relationship Id="rId39" Type="http://schemas.openxmlformats.org/officeDocument/2006/relationships/hyperlink" Target="https://frontliner.gamextopia.id/dse/558" TargetMode="External"/><Relationship Id="rId286" Type="http://schemas.openxmlformats.org/officeDocument/2006/relationships/hyperlink" Target="https://frontliner.gamextopia.id/dse/716" TargetMode="External"/><Relationship Id="rId451" Type="http://schemas.openxmlformats.org/officeDocument/2006/relationships/hyperlink" Target="https://frontliner.gamextopia.id/dse/143" TargetMode="External"/><Relationship Id="rId493" Type="http://schemas.openxmlformats.org/officeDocument/2006/relationships/hyperlink" Target="https://frontliner.gamextopia.id/dse/788" TargetMode="External"/><Relationship Id="rId507" Type="http://schemas.openxmlformats.org/officeDocument/2006/relationships/hyperlink" Target="https://frontliner.gamextopia.id/dse/408" TargetMode="External"/><Relationship Id="rId549" Type="http://schemas.openxmlformats.org/officeDocument/2006/relationships/hyperlink" Target="https://frontliner.gamextopia.id/dse/6" TargetMode="External"/><Relationship Id="rId50" Type="http://schemas.openxmlformats.org/officeDocument/2006/relationships/hyperlink" Target="https://frontliner.gamextopia.id/dse/575" TargetMode="External"/><Relationship Id="rId104" Type="http://schemas.openxmlformats.org/officeDocument/2006/relationships/hyperlink" Target="https://frontliner.gamextopia.id/dse/275" TargetMode="External"/><Relationship Id="rId146" Type="http://schemas.openxmlformats.org/officeDocument/2006/relationships/hyperlink" Target="https://frontliner.gamextopia.id/dse/243" TargetMode="External"/><Relationship Id="rId188" Type="http://schemas.openxmlformats.org/officeDocument/2006/relationships/hyperlink" Target="https://frontliner.gamextopia.id/dse/310" TargetMode="External"/><Relationship Id="rId311" Type="http://schemas.openxmlformats.org/officeDocument/2006/relationships/hyperlink" Target="https://frontliner.gamextopia.id/dse/643" TargetMode="External"/><Relationship Id="rId353" Type="http://schemas.openxmlformats.org/officeDocument/2006/relationships/hyperlink" Target="https://frontliner.gamextopia.id/dse/262" TargetMode="External"/><Relationship Id="rId395" Type="http://schemas.openxmlformats.org/officeDocument/2006/relationships/hyperlink" Target="https://frontliner.gamextopia.id/dse/531" TargetMode="External"/><Relationship Id="rId409" Type="http://schemas.openxmlformats.org/officeDocument/2006/relationships/hyperlink" Target="https://frontliner.gamextopia.id/dse/406" TargetMode="External"/><Relationship Id="rId560" Type="http://schemas.openxmlformats.org/officeDocument/2006/relationships/hyperlink" Target="https://frontliner.gamextopia.id/dse/458" TargetMode="External"/><Relationship Id="rId92" Type="http://schemas.openxmlformats.org/officeDocument/2006/relationships/hyperlink" Target="https://frontliner.gamextopia.id/dse/750" TargetMode="External"/><Relationship Id="rId213" Type="http://schemas.openxmlformats.org/officeDocument/2006/relationships/hyperlink" Target="https://frontliner.gamextopia.id/dse/71" TargetMode="External"/><Relationship Id="rId420" Type="http://schemas.openxmlformats.org/officeDocument/2006/relationships/hyperlink" Target="https://frontliner.gamextopia.id/dse/281" TargetMode="External"/><Relationship Id="rId616" Type="http://schemas.openxmlformats.org/officeDocument/2006/relationships/hyperlink" Target="https://frontliner.gamextopia.id/dse/718" TargetMode="External"/><Relationship Id="rId255" Type="http://schemas.openxmlformats.org/officeDocument/2006/relationships/hyperlink" Target="https://frontliner.gamextopia.id/dse/803" TargetMode="External"/><Relationship Id="rId297" Type="http://schemas.openxmlformats.org/officeDocument/2006/relationships/hyperlink" Target="https://frontliner.gamextopia.id/dse/46" TargetMode="External"/><Relationship Id="rId462" Type="http://schemas.openxmlformats.org/officeDocument/2006/relationships/hyperlink" Target="https://frontliner.gamextopia.id/dse/635" TargetMode="External"/><Relationship Id="rId518" Type="http://schemas.openxmlformats.org/officeDocument/2006/relationships/hyperlink" Target="https://frontliner.gamextopia.id/dse/762" TargetMode="External"/><Relationship Id="rId115" Type="http://schemas.openxmlformats.org/officeDocument/2006/relationships/hyperlink" Target="https://frontliner.gamextopia.id/dse/65" TargetMode="External"/><Relationship Id="rId157" Type="http://schemas.openxmlformats.org/officeDocument/2006/relationships/hyperlink" Target="https://frontliner.gamextopia.id/dse/561" TargetMode="External"/><Relationship Id="rId322" Type="http://schemas.openxmlformats.org/officeDocument/2006/relationships/hyperlink" Target="https://frontliner.gamextopia.id/dse/28" TargetMode="External"/><Relationship Id="rId364" Type="http://schemas.openxmlformats.org/officeDocument/2006/relationships/hyperlink" Target="https://frontliner.gamextopia.id/dse/760" TargetMode="External"/><Relationship Id="rId61" Type="http://schemas.openxmlformats.org/officeDocument/2006/relationships/hyperlink" Target="https://frontliner.gamextopia.id/dse/41" TargetMode="External"/><Relationship Id="rId199" Type="http://schemas.openxmlformats.org/officeDocument/2006/relationships/hyperlink" Target="https://frontliner.gamextopia.id/dse/203" TargetMode="External"/><Relationship Id="rId571" Type="http://schemas.openxmlformats.org/officeDocument/2006/relationships/hyperlink" Target="https://frontliner.gamextopia.id/dse/507" TargetMode="External"/><Relationship Id="rId19" Type="http://schemas.openxmlformats.org/officeDocument/2006/relationships/hyperlink" Target="https://frontliner.gamextopia.id/dse/286" TargetMode="External"/><Relationship Id="rId224" Type="http://schemas.openxmlformats.org/officeDocument/2006/relationships/hyperlink" Target="https://frontliner.gamextopia.id/dse/480" TargetMode="External"/><Relationship Id="rId266" Type="http://schemas.openxmlformats.org/officeDocument/2006/relationships/hyperlink" Target="https://frontliner.gamextopia.id/dse/68" TargetMode="External"/><Relationship Id="rId431" Type="http://schemas.openxmlformats.org/officeDocument/2006/relationships/hyperlink" Target="https://frontliner.gamextopia.id/dse/122" TargetMode="External"/><Relationship Id="rId473" Type="http://schemas.openxmlformats.org/officeDocument/2006/relationships/hyperlink" Target="https://frontliner.gamextopia.id/dse/830" TargetMode="External"/><Relationship Id="rId529" Type="http://schemas.openxmlformats.org/officeDocument/2006/relationships/hyperlink" Target="https://frontliner.gamextopia.id/dse/694" TargetMode="External"/><Relationship Id="rId30" Type="http://schemas.openxmlformats.org/officeDocument/2006/relationships/hyperlink" Target="https://frontliner.gamextopia.id/dse/562" TargetMode="External"/><Relationship Id="rId126" Type="http://schemas.openxmlformats.org/officeDocument/2006/relationships/hyperlink" Target="https://frontliner.gamextopia.id/dse/405" TargetMode="External"/><Relationship Id="rId168" Type="http://schemas.openxmlformats.org/officeDocument/2006/relationships/hyperlink" Target="https://frontliner.gamextopia.id/dse/187" TargetMode="External"/><Relationship Id="rId333" Type="http://schemas.openxmlformats.org/officeDocument/2006/relationships/hyperlink" Target="https://frontliner.gamextopia.id/dse/559" TargetMode="External"/><Relationship Id="rId540" Type="http://schemas.openxmlformats.org/officeDocument/2006/relationships/hyperlink" Target="https://frontliner.gamextopia.id/dse/417" TargetMode="External"/><Relationship Id="rId72" Type="http://schemas.openxmlformats.org/officeDocument/2006/relationships/hyperlink" Target="https://frontliner.gamextopia.id/dse/295" TargetMode="External"/><Relationship Id="rId375" Type="http://schemas.openxmlformats.org/officeDocument/2006/relationships/hyperlink" Target="https://frontliner.gamextopia.id/dse/742" TargetMode="External"/><Relationship Id="rId582" Type="http://schemas.openxmlformats.org/officeDocument/2006/relationships/hyperlink" Target="https://frontliner.gamextopia.id/dse/169" TargetMode="External"/><Relationship Id="rId3" Type="http://schemas.openxmlformats.org/officeDocument/2006/relationships/hyperlink" Target="https://frontliner.gamextopia.id/dse/460" TargetMode="External"/><Relationship Id="rId235" Type="http://schemas.openxmlformats.org/officeDocument/2006/relationships/hyperlink" Target="https://frontliner.gamextopia.id/dse/570" TargetMode="External"/><Relationship Id="rId277" Type="http://schemas.openxmlformats.org/officeDocument/2006/relationships/hyperlink" Target="https://frontliner.gamextopia.id/dse/253" TargetMode="External"/><Relationship Id="rId400" Type="http://schemas.openxmlformats.org/officeDocument/2006/relationships/hyperlink" Target="https://frontliner.gamextopia.id/dse/60" TargetMode="External"/><Relationship Id="rId442" Type="http://schemas.openxmlformats.org/officeDocument/2006/relationships/hyperlink" Target="https://frontliner.gamextopia.id/dse/144" TargetMode="External"/><Relationship Id="rId484" Type="http://schemas.openxmlformats.org/officeDocument/2006/relationships/hyperlink" Target="https://frontliner.gamextopia.id/dse/793" TargetMode="External"/><Relationship Id="rId137" Type="http://schemas.openxmlformats.org/officeDocument/2006/relationships/hyperlink" Target="https://frontliner.gamextopia.id/dse/62" TargetMode="External"/><Relationship Id="rId302" Type="http://schemas.openxmlformats.org/officeDocument/2006/relationships/hyperlink" Target="https://frontliner.gamextopia.id/dse/37" TargetMode="External"/><Relationship Id="rId344" Type="http://schemas.openxmlformats.org/officeDocument/2006/relationships/hyperlink" Target="https://frontliner.gamextopia.id/dse/263" TargetMode="External"/><Relationship Id="rId41" Type="http://schemas.openxmlformats.org/officeDocument/2006/relationships/hyperlink" Target="https://frontliner.gamextopia.id/dse/467" TargetMode="External"/><Relationship Id="rId83" Type="http://schemas.openxmlformats.org/officeDocument/2006/relationships/hyperlink" Target="https://frontliner.gamextopia.id/dse/178" TargetMode="External"/><Relationship Id="rId179" Type="http://schemas.openxmlformats.org/officeDocument/2006/relationships/hyperlink" Target="https://frontliner.gamextopia.id/dse/544" TargetMode="External"/><Relationship Id="rId386" Type="http://schemas.openxmlformats.org/officeDocument/2006/relationships/hyperlink" Target="https://frontliner.gamextopia.id/dse/680" TargetMode="External"/><Relationship Id="rId551" Type="http://schemas.openxmlformats.org/officeDocument/2006/relationships/hyperlink" Target="https://frontliner.gamextopia.id/dse/735" TargetMode="External"/><Relationship Id="rId593" Type="http://schemas.openxmlformats.org/officeDocument/2006/relationships/hyperlink" Target="https://frontliner.gamextopia.id/dse/526" TargetMode="External"/><Relationship Id="rId607" Type="http://schemas.openxmlformats.org/officeDocument/2006/relationships/hyperlink" Target="https://frontliner.gamextopia.id/dse/703" TargetMode="External"/><Relationship Id="rId190" Type="http://schemas.openxmlformats.org/officeDocument/2006/relationships/hyperlink" Target="https://frontliner.gamextopia.id/dse/132" TargetMode="External"/><Relationship Id="rId204" Type="http://schemas.openxmlformats.org/officeDocument/2006/relationships/hyperlink" Target="https://frontliner.gamextopia.id/dse/173" TargetMode="External"/><Relationship Id="rId246" Type="http://schemas.openxmlformats.org/officeDocument/2006/relationships/hyperlink" Target="https://frontliner.gamextopia.id/dse/267" TargetMode="External"/><Relationship Id="rId288" Type="http://schemas.openxmlformats.org/officeDocument/2006/relationships/hyperlink" Target="https://frontliner.gamextopia.id/dse/247" TargetMode="External"/><Relationship Id="rId411" Type="http://schemas.openxmlformats.org/officeDocument/2006/relationships/hyperlink" Target="https://frontliner.gamextopia.id/dse/245" TargetMode="External"/><Relationship Id="rId453" Type="http://schemas.openxmlformats.org/officeDocument/2006/relationships/hyperlink" Target="https://frontliner.gamextopia.id/dse/329" TargetMode="External"/><Relationship Id="rId509" Type="http://schemas.openxmlformats.org/officeDocument/2006/relationships/hyperlink" Target="https://frontliner.gamextopia.id/dse/200" TargetMode="External"/><Relationship Id="rId106" Type="http://schemas.openxmlformats.org/officeDocument/2006/relationships/hyperlink" Target="https://frontliner.gamextopia.id/dse/636" TargetMode="External"/><Relationship Id="rId313" Type="http://schemas.openxmlformats.org/officeDocument/2006/relationships/hyperlink" Target="https://frontliner.gamextopia.id/dse/294" TargetMode="External"/><Relationship Id="rId495" Type="http://schemas.openxmlformats.org/officeDocument/2006/relationships/hyperlink" Target="https://frontliner.gamextopia.id/dse/654" TargetMode="External"/><Relationship Id="rId10" Type="http://schemas.openxmlformats.org/officeDocument/2006/relationships/hyperlink" Target="https://frontliner.gamextopia.id/dse/260" TargetMode="External"/><Relationship Id="rId52" Type="http://schemas.openxmlformats.org/officeDocument/2006/relationships/hyperlink" Target="https://frontliner.gamextopia.id/dse/150" TargetMode="External"/><Relationship Id="rId94" Type="http://schemas.openxmlformats.org/officeDocument/2006/relationships/hyperlink" Target="https://frontliner.gamextopia.id/dse/530" TargetMode="External"/><Relationship Id="rId148" Type="http://schemas.openxmlformats.org/officeDocument/2006/relationships/hyperlink" Target="https://frontliner.gamextopia.id/dse/100" TargetMode="External"/><Relationship Id="rId355" Type="http://schemas.openxmlformats.org/officeDocument/2006/relationships/hyperlink" Target="https://frontliner.gamextopia.id/dse/63" TargetMode="External"/><Relationship Id="rId397" Type="http://schemas.openxmlformats.org/officeDocument/2006/relationships/hyperlink" Target="https://frontliner.gamextopia.id/dse/199" TargetMode="External"/><Relationship Id="rId520" Type="http://schemas.openxmlformats.org/officeDocument/2006/relationships/hyperlink" Target="https://frontliner.gamextopia.id/dse/272" TargetMode="External"/><Relationship Id="rId562" Type="http://schemas.openxmlformats.org/officeDocument/2006/relationships/hyperlink" Target="https://frontliner.gamextopia.id/dse/527" TargetMode="External"/><Relationship Id="rId618" Type="http://schemas.openxmlformats.org/officeDocument/2006/relationships/hyperlink" Target="https://frontliner.gamextopia.id/dse/710" TargetMode="External"/><Relationship Id="rId215" Type="http://schemas.openxmlformats.org/officeDocument/2006/relationships/hyperlink" Target="https://frontliner.gamextopia.id/dse/58" TargetMode="External"/><Relationship Id="rId257" Type="http://schemas.openxmlformats.org/officeDocument/2006/relationships/hyperlink" Target="https://frontliner.gamextopia.id/dse/415" TargetMode="External"/><Relationship Id="rId422" Type="http://schemas.openxmlformats.org/officeDocument/2006/relationships/hyperlink" Target="https://frontliner.gamextopia.id/dse/340" TargetMode="External"/><Relationship Id="rId464" Type="http://schemas.openxmlformats.org/officeDocument/2006/relationships/hyperlink" Target="https://frontliner.gamextopia.id/dse/723" TargetMode="External"/><Relationship Id="rId299" Type="http://schemas.openxmlformats.org/officeDocument/2006/relationships/hyperlink" Target="https://frontliner.gamextopia.id/dse/55" TargetMode="External"/><Relationship Id="rId63" Type="http://schemas.openxmlformats.org/officeDocument/2006/relationships/hyperlink" Target="https://frontliner.gamextopia.id/dse/567" TargetMode="External"/><Relationship Id="rId159" Type="http://schemas.openxmlformats.org/officeDocument/2006/relationships/hyperlink" Target="https://frontliner.gamextopia.id/dse/464" TargetMode="External"/><Relationship Id="rId366" Type="http://schemas.openxmlformats.org/officeDocument/2006/relationships/hyperlink" Target="https://frontliner.gamextopia.id/dse/727" TargetMode="External"/><Relationship Id="rId573" Type="http://schemas.openxmlformats.org/officeDocument/2006/relationships/hyperlink" Target="https://frontliner.gamextopia.id/dse/825" TargetMode="External"/><Relationship Id="rId226" Type="http://schemas.openxmlformats.org/officeDocument/2006/relationships/hyperlink" Target="https://frontliner.gamextopia.id/dse/695" TargetMode="External"/><Relationship Id="rId433" Type="http://schemas.openxmlformats.org/officeDocument/2006/relationships/hyperlink" Target="https://frontliner.gamextopia.id/dse/244" TargetMode="External"/><Relationship Id="rId74" Type="http://schemas.openxmlformats.org/officeDocument/2006/relationships/hyperlink" Target="https://frontliner.gamextopia.id/dse/103" TargetMode="External"/><Relationship Id="rId377" Type="http://schemas.openxmlformats.org/officeDocument/2006/relationships/hyperlink" Target="https://frontliner.gamextopia.id/dse/228" TargetMode="External"/><Relationship Id="rId500" Type="http://schemas.openxmlformats.org/officeDocument/2006/relationships/hyperlink" Target="https://frontliner.gamextopia.id/dse/403" TargetMode="External"/><Relationship Id="rId584" Type="http://schemas.openxmlformats.org/officeDocument/2006/relationships/hyperlink" Target="https://frontliner.gamextopia.id/dse/82" TargetMode="External"/><Relationship Id="rId5" Type="http://schemas.openxmlformats.org/officeDocument/2006/relationships/hyperlink" Target="https://frontliner.gamextopia.id/dse/646" TargetMode="External"/><Relationship Id="rId237" Type="http://schemas.openxmlformats.org/officeDocument/2006/relationships/hyperlink" Target="https://frontliner.gamextopia.id/dse/698" TargetMode="External"/><Relationship Id="rId444" Type="http://schemas.openxmlformats.org/officeDocument/2006/relationships/hyperlink" Target="https://frontliner.gamextopia.id/dse/137" TargetMode="External"/><Relationship Id="rId290" Type="http://schemas.openxmlformats.org/officeDocument/2006/relationships/hyperlink" Target="https://frontliner.gamextopia.id/dse/159" TargetMode="External"/><Relationship Id="rId304" Type="http://schemas.openxmlformats.org/officeDocument/2006/relationships/hyperlink" Target="https://frontliner.gamextopia.id/dse/796" TargetMode="External"/><Relationship Id="rId388" Type="http://schemas.openxmlformats.org/officeDocument/2006/relationships/hyperlink" Target="https://frontliner.gamextopia.id/dse/644" TargetMode="External"/><Relationship Id="rId511" Type="http://schemas.openxmlformats.org/officeDocument/2006/relationships/hyperlink" Target="https://frontliner.gamextopia.id/dse/215" TargetMode="External"/><Relationship Id="rId609" Type="http://schemas.openxmlformats.org/officeDocument/2006/relationships/hyperlink" Target="https://frontliner.gamextopia.id/dse/809" TargetMode="External"/><Relationship Id="rId85" Type="http://schemas.openxmlformats.org/officeDocument/2006/relationships/hyperlink" Target="https://frontliner.gamextopia.id/dse/729" TargetMode="External"/><Relationship Id="rId150" Type="http://schemas.openxmlformats.org/officeDocument/2006/relationships/hyperlink" Target="https://frontliner.gamextopia.id/dse/550" TargetMode="External"/><Relationship Id="rId595" Type="http://schemas.openxmlformats.org/officeDocument/2006/relationships/hyperlink" Target="https://frontliner.gamextopia.id/dse/339" TargetMode="External"/><Relationship Id="rId248" Type="http://schemas.openxmlformats.org/officeDocument/2006/relationships/hyperlink" Target="https://frontliner.gamextopia.id/dse/426" TargetMode="External"/><Relationship Id="rId455" Type="http://schemas.openxmlformats.org/officeDocument/2006/relationships/hyperlink" Target="https://frontliner.gamextopia.id/dse/645" TargetMode="External"/><Relationship Id="rId12" Type="http://schemas.openxmlformats.org/officeDocument/2006/relationships/hyperlink" Target="https://frontliner.gamextopia.id/dse/38" TargetMode="External"/><Relationship Id="rId108" Type="http://schemas.openxmlformats.org/officeDocument/2006/relationships/hyperlink" Target="https://frontliner.gamextopia.id/dse/583" TargetMode="External"/><Relationship Id="rId315" Type="http://schemas.openxmlformats.org/officeDocument/2006/relationships/hyperlink" Target="https://frontliner.gamextopia.id/dse/778" TargetMode="External"/><Relationship Id="rId522" Type="http://schemas.openxmlformats.org/officeDocument/2006/relationships/hyperlink" Target="https://frontliner.gamextopia.id/dse/278" TargetMode="External"/><Relationship Id="rId96" Type="http://schemas.openxmlformats.org/officeDocument/2006/relationships/hyperlink" Target="https://frontliner.gamextopia.id/dse/667" TargetMode="External"/><Relationship Id="rId161" Type="http://schemas.openxmlformats.org/officeDocument/2006/relationships/hyperlink" Target="https://frontliner.gamextopia.id/dse/51" TargetMode="External"/><Relationship Id="rId399" Type="http://schemas.openxmlformats.org/officeDocument/2006/relationships/hyperlink" Target="https://frontliner.gamextopia.id/dse/712" TargetMode="External"/><Relationship Id="rId259" Type="http://schemas.openxmlformats.org/officeDocument/2006/relationships/hyperlink" Target="https://frontliner.gamextopia.id/dse/9" TargetMode="External"/><Relationship Id="rId466" Type="http://schemas.openxmlformats.org/officeDocument/2006/relationships/hyperlink" Target="https://frontliner.gamextopia.id/dse/520" TargetMode="External"/><Relationship Id="rId23" Type="http://schemas.openxmlformats.org/officeDocument/2006/relationships/hyperlink" Target="https://frontliner.gamextopia.id/dse/163" TargetMode="External"/><Relationship Id="rId119" Type="http://schemas.openxmlformats.org/officeDocument/2006/relationships/hyperlink" Target="https://frontliner.gamextopia.id/dse/111" TargetMode="External"/><Relationship Id="rId326" Type="http://schemas.openxmlformats.org/officeDocument/2006/relationships/hyperlink" Target="https://frontliner.gamextopia.id/dse/93" TargetMode="External"/><Relationship Id="rId533" Type="http://schemas.openxmlformats.org/officeDocument/2006/relationships/hyperlink" Target="https://frontliner.gamextopia.id/dse/483" TargetMode="External"/><Relationship Id="rId172" Type="http://schemas.openxmlformats.org/officeDocument/2006/relationships/hyperlink" Target="https://frontliner.gamextopia.id/dse/804" TargetMode="External"/><Relationship Id="rId477" Type="http://schemas.openxmlformats.org/officeDocument/2006/relationships/hyperlink" Target="https://frontliner.gamextopia.id/dse/172" TargetMode="External"/><Relationship Id="rId600" Type="http://schemas.openxmlformats.org/officeDocument/2006/relationships/hyperlink" Target="https://frontliner.gamextopia.id/dse/700" TargetMode="External"/><Relationship Id="rId337" Type="http://schemas.openxmlformats.org/officeDocument/2006/relationships/hyperlink" Target="https://frontliner.gamextopia.id/dse/566" TargetMode="External"/><Relationship Id="rId34" Type="http://schemas.openxmlformats.org/officeDocument/2006/relationships/hyperlink" Target="https://frontliner.gamextopia.id/dse/118" TargetMode="External"/><Relationship Id="rId544" Type="http://schemas.openxmlformats.org/officeDocument/2006/relationships/hyperlink" Target="https://frontliner.gamextopia.id/dse/50" TargetMode="External"/><Relationship Id="rId183" Type="http://schemas.openxmlformats.org/officeDocument/2006/relationships/hyperlink" Target="https://frontliner.gamextopia.id/dse/113" TargetMode="External"/><Relationship Id="rId390" Type="http://schemas.openxmlformats.org/officeDocument/2006/relationships/hyperlink" Target="https://frontliner.gamextopia.id/dse/5" TargetMode="External"/><Relationship Id="rId404" Type="http://schemas.openxmlformats.org/officeDocument/2006/relationships/hyperlink" Target="https://frontliner.gamextopia.id/dse/73" TargetMode="External"/><Relationship Id="rId611" Type="http://schemas.openxmlformats.org/officeDocument/2006/relationships/hyperlink" Target="https://frontliner.gamextopia.id/dse/672" TargetMode="External"/><Relationship Id="rId250" Type="http://schemas.openxmlformats.org/officeDocument/2006/relationships/hyperlink" Target="https://frontliner.gamextopia.id/dse/255" TargetMode="External"/><Relationship Id="rId488" Type="http://schemas.openxmlformats.org/officeDocument/2006/relationships/hyperlink" Target="https://frontliner.gamextopia.id/dse/240" TargetMode="External"/><Relationship Id="rId45" Type="http://schemas.openxmlformats.org/officeDocument/2006/relationships/hyperlink" Target="https://frontliner.gamextopia.id/dse/4" TargetMode="External"/><Relationship Id="rId110" Type="http://schemas.openxmlformats.org/officeDocument/2006/relationships/hyperlink" Target="https://frontliner.gamextopia.id/dse/416" TargetMode="External"/><Relationship Id="rId348" Type="http://schemas.openxmlformats.org/officeDocument/2006/relationships/hyperlink" Target="https://frontliner.gamextopia.id/dse/166" TargetMode="External"/><Relationship Id="rId555" Type="http://schemas.openxmlformats.org/officeDocument/2006/relationships/hyperlink" Target="https://frontliner.gamextopia.id/dse/2" TargetMode="External"/><Relationship Id="rId194" Type="http://schemas.openxmlformats.org/officeDocument/2006/relationships/hyperlink" Target="https://frontliner.gamextopia.id/dse/461" TargetMode="External"/><Relationship Id="rId208" Type="http://schemas.openxmlformats.org/officeDocument/2006/relationships/hyperlink" Target="https://frontliner.gamextopia.id/dse/153" TargetMode="External"/><Relationship Id="rId415" Type="http://schemas.openxmlformats.org/officeDocument/2006/relationships/hyperlink" Target="https://frontliner.gamextopia.id/dse/538" TargetMode="External"/><Relationship Id="rId261" Type="http://schemas.openxmlformats.org/officeDocument/2006/relationships/hyperlink" Target="https://frontliner.gamextopia.id/dse/184" TargetMode="External"/><Relationship Id="rId499" Type="http://schemas.openxmlformats.org/officeDocument/2006/relationships/hyperlink" Target="https://frontliner.gamextopia.id/dse/196" TargetMode="External"/><Relationship Id="rId56" Type="http://schemas.openxmlformats.org/officeDocument/2006/relationships/hyperlink" Target="https://frontliner.gamextopia.id/dse/66" TargetMode="External"/><Relationship Id="rId359" Type="http://schemas.openxmlformats.org/officeDocument/2006/relationships/hyperlink" Target="https://frontliner.gamextopia.id/dse/10" TargetMode="External"/><Relationship Id="rId566" Type="http://schemas.openxmlformats.org/officeDocument/2006/relationships/hyperlink" Target="https://frontliner.gamextopia.id/dse/463" TargetMode="External"/><Relationship Id="rId121" Type="http://schemas.openxmlformats.org/officeDocument/2006/relationships/hyperlink" Target="https://frontliner.gamextopia.id/dse/297" TargetMode="External"/><Relationship Id="rId219" Type="http://schemas.openxmlformats.org/officeDocument/2006/relationships/hyperlink" Target="https://frontliner.gamextopia.id/dse/650" TargetMode="External"/><Relationship Id="rId426" Type="http://schemas.openxmlformats.org/officeDocument/2006/relationships/hyperlink" Target="https://frontliner.gamextopia.id/dse/283" TargetMode="External"/><Relationship Id="rId67" Type="http://schemas.openxmlformats.org/officeDocument/2006/relationships/hyperlink" Target="https://frontliner.gamextopia.id/dse/652" TargetMode="External"/><Relationship Id="rId272" Type="http://schemas.openxmlformats.org/officeDocument/2006/relationships/hyperlink" Target="https://frontliner.gamextopia.id/dse/219" TargetMode="External"/><Relationship Id="rId577" Type="http://schemas.openxmlformats.org/officeDocument/2006/relationships/hyperlink" Target="https://frontliner.gamextopia.id/dse/7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CA63-7CA0-B941-BC4A-7DB1152FD22D}">
  <dimension ref="A3:S17"/>
  <sheetViews>
    <sheetView zoomScale="103" zoomScaleNormal="50" workbookViewId="0">
      <selection activeCell="A17" sqref="A17"/>
    </sheetView>
  </sheetViews>
  <sheetFormatPr defaultColWidth="4.4140625" defaultRowHeight="14"/>
  <cols>
    <col min="1" max="1" width="24" style="2" bestFit="1" customWidth="1"/>
    <col min="2" max="2" width="15.4140625" style="2" customWidth="1"/>
    <col min="3" max="3" width="23" style="2" customWidth="1"/>
    <col min="4" max="4" width="24.4140625" style="2" customWidth="1"/>
    <col min="5" max="5" width="39.58203125" style="2" customWidth="1"/>
    <col min="6" max="6" width="17.4140625" style="3" customWidth="1"/>
    <col min="7" max="7" width="19.4140625" style="3" bestFit="1" customWidth="1"/>
    <col min="8" max="8" width="20.4140625" style="4" bestFit="1" customWidth="1"/>
    <col min="9" max="9" width="20.4140625" style="4" customWidth="1"/>
    <col min="10" max="10" width="16" style="2" customWidth="1"/>
    <col min="11" max="11" width="27.4140625" style="2" customWidth="1"/>
    <col min="12" max="12" width="48.4140625" style="2" customWidth="1"/>
    <col min="13" max="13" width="25" style="5" customWidth="1"/>
    <col min="14" max="14" width="17.58203125" style="3" customWidth="1"/>
    <col min="15" max="15" width="13" style="3" bestFit="1" customWidth="1"/>
    <col min="16" max="16" width="37.58203125" style="3" customWidth="1"/>
    <col min="17" max="17" width="44.4140625" style="2" customWidth="1"/>
    <col min="18" max="18" width="22.4140625" style="2" customWidth="1"/>
    <col min="19" max="19" width="16.4140625" style="2" customWidth="1"/>
    <col min="20" max="16384" width="4.4140625" style="2"/>
  </cols>
  <sheetData>
    <row r="3" spans="1:19">
      <c r="A3" s="1" t="s">
        <v>0</v>
      </c>
      <c r="B3" s="1"/>
    </row>
    <row r="4" spans="1:19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7" t="s">
        <v>8</v>
      </c>
      <c r="I4" s="7" t="s">
        <v>9</v>
      </c>
      <c r="J4" s="6" t="s">
        <v>10</v>
      </c>
      <c r="K4" s="6" t="s">
        <v>11</v>
      </c>
      <c r="L4" s="8" t="s">
        <v>12</v>
      </c>
      <c r="M4" s="9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10" t="s">
        <v>18</v>
      </c>
      <c r="S4" s="11" t="s">
        <v>19</v>
      </c>
    </row>
    <row r="5" spans="1:19" ht="15.5">
      <c r="A5" s="12" t="s">
        <v>20</v>
      </c>
      <c r="B5" s="13" t="s">
        <v>21</v>
      </c>
      <c r="C5" s="12" t="s">
        <v>22</v>
      </c>
      <c r="D5" s="12" t="s">
        <v>23</v>
      </c>
      <c r="E5" s="12" t="s">
        <v>24</v>
      </c>
      <c r="F5" s="14" t="s">
        <v>25</v>
      </c>
      <c r="G5" s="15" t="s">
        <v>26</v>
      </c>
      <c r="H5" s="16" t="s">
        <v>27</v>
      </c>
      <c r="I5" s="17" t="str">
        <f>H5&amp;"3ID"</f>
        <v>DSETTE13ID</v>
      </c>
      <c r="J5" s="18" t="s">
        <v>28</v>
      </c>
      <c r="K5" s="19" t="s">
        <v>29</v>
      </c>
      <c r="L5" s="18" t="s">
        <v>30</v>
      </c>
      <c r="M5" s="20">
        <v>3173082502190020</v>
      </c>
      <c r="N5" s="18" t="s">
        <v>31</v>
      </c>
      <c r="O5" s="18" t="s">
        <v>32</v>
      </c>
      <c r="P5" s="21" t="s">
        <v>33</v>
      </c>
      <c r="Q5" s="18" t="s">
        <v>34</v>
      </c>
      <c r="R5" s="2" t="s">
        <v>35</v>
      </c>
    </row>
    <row r="6" spans="1:19">
      <c r="H6" s="4" t="s">
        <v>36</v>
      </c>
      <c r="I6" s="17" t="str">
        <f>H6&amp;"3ID"</f>
        <v>DSE1233ID</v>
      </c>
      <c r="K6" s="2" t="s">
        <v>37</v>
      </c>
    </row>
    <row r="7" spans="1:19">
      <c r="H7" s="4" t="s">
        <v>38</v>
      </c>
      <c r="I7" s="4" t="s">
        <v>39</v>
      </c>
    </row>
    <row r="8" spans="1:19">
      <c r="H8" s="4" t="s">
        <v>40</v>
      </c>
      <c r="I8" s="4">
        <v>234234234</v>
      </c>
    </row>
    <row r="9" spans="1:19">
      <c r="H9" s="4">
        <v>234234234</v>
      </c>
      <c r="I9" s="4" t="s">
        <v>41</v>
      </c>
    </row>
    <row r="10" spans="1:19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3" t="s">
        <v>8</v>
      </c>
      <c r="I10" s="23" t="s">
        <v>9</v>
      </c>
      <c r="J10" s="22" t="s">
        <v>10</v>
      </c>
      <c r="K10" s="22" t="s">
        <v>11</v>
      </c>
      <c r="L10" s="24" t="s">
        <v>12</v>
      </c>
      <c r="M10" s="25" t="s">
        <v>13</v>
      </c>
      <c r="N10" s="24" t="s">
        <v>14</v>
      </c>
      <c r="O10" s="24" t="s">
        <v>15</v>
      </c>
      <c r="P10" s="24" t="s">
        <v>16</v>
      </c>
      <c r="Q10" s="24" t="s">
        <v>17</v>
      </c>
      <c r="R10" s="26" t="s">
        <v>18</v>
      </c>
      <c r="S10" s="26" t="s">
        <v>19</v>
      </c>
    </row>
    <row r="11" spans="1:19">
      <c r="A11" s="2" t="b">
        <f>A10=A4</f>
        <v>1</v>
      </c>
      <c r="B11" s="2" t="b">
        <f t="shared" ref="B11:S11" si="0">B10=B4</f>
        <v>1</v>
      </c>
      <c r="C11" s="2" t="b">
        <f t="shared" si="0"/>
        <v>1</v>
      </c>
      <c r="D11" s="2" t="b">
        <f t="shared" si="0"/>
        <v>1</v>
      </c>
      <c r="E11" s="2" t="b">
        <f t="shared" si="0"/>
        <v>1</v>
      </c>
      <c r="F11" s="2" t="b">
        <f t="shared" si="0"/>
        <v>1</v>
      </c>
      <c r="G11" s="2" t="b">
        <f t="shared" si="0"/>
        <v>1</v>
      </c>
      <c r="H11" s="2" t="b">
        <f t="shared" si="0"/>
        <v>1</v>
      </c>
      <c r="I11" s="2" t="b">
        <f t="shared" si="0"/>
        <v>1</v>
      </c>
      <c r="J11" s="2" t="b">
        <f t="shared" si="0"/>
        <v>1</v>
      </c>
      <c r="K11" s="2" t="b">
        <f t="shared" si="0"/>
        <v>1</v>
      </c>
      <c r="L11" s="2" t="b">
        <f t="shared" si="0"/>
        <v>1</v>
      </c>
      <c r="M11" s="2" t="b">
        <f t="shared" si="0"/>
        <v>1</v>
      </c>
      <c r="N11" s="2" t="b">
        <f t="shared" si="0"/>
        <v>1</v>
      </c>
      <c r="O11" s="2" t="b">
        <f t="shared" si="0"/>
        <v>1</v>
      </c>
      <c r="P11" s="2" t="b">
        <f t="shared" si="0"/>
        <v>1</v>
      </c>
      <c r="Q11" s="2" t="b">
        <f t="shared" si="0"/>
        <v>1</v>
      </c>
      <c r="R11" s="2" t="b">
        <f t="shared" si="0"/>
        <v>1</v>
      </c>
      <c r="S11" s="2" t="b">
        <f t="shared" si="0"/>
        <v>1</v>
      </c>
    </row>
    <row r="12" spans="1:19" ht="14.5" thickBot="1"/>
    <row r="13" spans="1:19" ht="14.5" thickBot="1">
      <c r="A13" s="27" t="s">
        <v>1</v>
      </c>
      <c r="B13" s="28" t="s">
        <v>2</v>
      </c>
      <c r="C13" s="28" t="s">
        <v>3</v>
      </c>
      <c r="D13" s="28" t="s">
        <v>4</v>
      </c>
      <c r="E13" s="28" t="s">
        <v>5</v>
      </c>
      <c r="F13" s="28" t="s">
        <v>6</v>
      </c>
      <c r="G13" s="28" t="s">
        <v>7</v>
      </c>
      <c r="H13" s="29" t="s">
        <v>8</v>
      </c>
      <c r="I13" s="29" t="s">
        <v>9</v>
      </c>
      <c r="J13" s="28" t="s">
        <v>10</v>
      </c>
      <c r="K13" s="28" t="s">
        <v>11</v>
      </c>
      <c r="L13" s="28" t="s">
        <v>12</v>
      </c>
      <c r="M13" s="30" t="s">
        <v>13</v>
      </c>
      <c r="N13" s="28" t="s">
        <v>14</v>
      </c>
      <c r="O13" s="28" t="s">
        <v>15</v>
      </c>
      <c r="P13" s="28" t="s">
        <v>16</v>
      </c>
      <c r="Q13" s="28" t="s">
        <v>17</v>
      </c>
      <c r="R13" s="28" t="s">
        <v>18</v>
      </c>
      <c r="S13" s="31" t="s">
        <v>42</v>
      </c>
    </row>
    <row r="14" spans="1:19">
      <c r="A14" s="2" t="b">
        <f>A13=A4</f>
        <v>1</v>
      </c>
      <c r="B14" s="2" t="b">
        <f t="shared" ref="B14:S14" si="1">B13=B4</f>
        <v>1</v>
      </c>
      <c r="C14" s="2" t="b">
        <f t="shared" si="1"/>
        <v>1</v>
      </c>
      <c r="D14" s="2" t="b">
        <f t="shared" si="1"/>
        <v>1</v>
      </c>
      <c r="E14" s="2" t="b">
        <f t="shared" si="1"/>
        <v>1</v>
      </c>
      <c r="F14" s="2" t="b">
        <f t="shared" si="1"/>
        <v>1</v>
      </c>
      <c r="G14" s="2" t="b">
        <f t="shared" si="1"/>
        <v>1</v>
      </c>
      <c r="H14" s="2" t="b">
        <f t="shared" si="1"/>
        <v>1</v>
      </c>
      <c r="I14" s="2" t="b">
        <f t="shared" si="1"/>
        <v>1</v>
      </c>
      <c r="J14" s="2" t="b">
        <f t="shared" si="1"/>
        <v>1</v>
      </c>
      <c r="K14" s="2" t="b">
        <f t="shared" si="1"/>
        <v>1</v>
      </c>
      <c r="L14" s="2" t="b">
        <f t="shared" si="1"/>
        <v>1</v>
      </c>
      <c r="M14" s="2" t="b">
        <f t="shared" si="1"/>
        <v>1</v>
      </c>
      <c r="N14" s="2" t="b">
        <f t="shared" si="1"/>
        <v>1</v>
      </c>
      <c r="O14" s="2" t="b">
        <f t="shared" si="1"/>
        <v>1</v>
      </c>
      <c r="P14" s="2" t="b">
        <f t="shared" si="1"/>
        <v>1</v>
      </c>
      <c r="Q14" s="2" t="b">
        <f t="shared" si="1"/>
        <v>1</v>
      </c>
      <c r="R14" s="2" t="b">
        <f t="shared" si="1"/>
        <v>1</v>
      </c>
      <c r="S14" s="2" t="b">
        <f t="shared" si="1"/>
        <v>1</v>
      </c>
    </row>
    <row r="16" spans="1:19">
      <c r="A16" s="6" t="s">
        <v>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7" t="s">
        <v>8</v>
      </c>
      <c r="I16" s="7" t="s">
        <v>9</v>
      </c>
      <c r="J16" s="6" t="s">
        <v>10</v>
      </c>
      <c r="K16" s="6" t="s">
        <v>11</v>
      </c>
      <c r="L16" s="8" t="s">
        <v>12</v>
      </c>
      <c r="M16" s="9" t="s">
        <v>13</v>
      </c>
      <c r="N16" s="8" t="s">
        <v>14</v>
      </c>
      <c r="O16" s="8" t="s">
        <v>15</v>
      </c>
      <c r="P16" s="8" t="s">
        <v>16</v>
      </c>
      <c r="Q16" s="8" t="s">
        <v>17</v>
      </c>
      <c r="R16" s="10" t="s">
        <v>18</v>
      </c>
      <c r="S16" s="10" t="s">
        <v>19</v>
      </c>
    </row>
    <row r="17" spans="1:19">
      <c r="A17" s="2" t="b">
        <f>A16=A4</f>
        <v>1</v>
      </c>
      <c r="B17" s="2" t="b">
        <f t="shared" ref="B17:S17" si="2">B16=B4</f>
        <v>1</v>
      </c>
      <c r="C17" s="2" t="b">
        <f t="shared" si="2"/>
        <v>1</v>
      </c>
      <c r="D17" s="2" t="b">
        <f t="shared" si="2"/>
        <v>1</v>
      </c>
      <c r="E17" s="2" t="b">
        <f t="shared" si="2"/>
        <v>1</v>
      </c>
      <c r="F17" s="2" t="b">
        <f t="shared" si="2"/>
        <v>1</v>
      </c>
      <c r="G17" s="2" t="b">
        <f t="shared" si="2"/>
        <v>1</v>
      </c>
      <c r="H17" s="2" t="b">
        <f t="shared" si="2"/>
        <v>1</v>
      </c>
      <c r="I17" s="2" t="b">
        <f t="shared" si="2"/>
        <v>1</v>
      </c>
      <c r="J17" s="2" t="b">
        <f t="shared" si="2"/>
        <v>1</v>
      </c>
      <c r="K17" s="2" t="b">
        <f t="shared" si="2"/>
        <v>1</v>
      </c>
      <c r="L17" s="2" t="b">
        <f t="shared" si="2"/>
        <v>1</v>
      </c>
      <c r="M17" s="2" t="b">
        <f t="shared" si="2"/>
        <v>1</v>
      </c>
      <c r="N17" s="2" t="b">
        <f t="shared" si="2"/>
        <v>1</v>
      </c>
      <c r="O17" s="2" t="b">
        <f t="shared" si="2"/>
        <v>1</v>
      </c>
      <c r="P17" s="2" t="b">
        <f t="shared" si="2"/>
        <v>1</v>
      </c>
      <c r="Q17" s="2" t="b">
        <f t="shared" si="2"/>
        <v>1</v>
      </c>
      <c r="R17" s="2" t="b">
        <f t="shared" si="2"/>
        <v>1</v>
      </c>
      <c r="S17" s="2" t="b">
        <f t="shared" si="2"/>
        <v>1</v>
      </c>
    </row>
  </sheetData>
  <autoFilter ref="A4:S5" xr:uid="{4F00AB06-8F33-4C49-8105-15D5BF56C821}"/>
  <conditionalFormatting sqref="H1:I4 H6 H7:I9 H12:I12 H15:I15 H18:I1048576">
    <cfRule type="duplicateValues" dxfId="114" priority="4"/>
  </conditionalFormatting>
  <conditionalFormatting sqref="H10:I10">
    <cfRule type="duplicateValues" dxfId="113" priority="3"/>
  </conditionalFormatting>
  <conditionalFormatting sqref="H13:I13">
    <cfRule type="duplicateValues" dxfId="112" priority="2"/>
  </conditionalFormatting>
  <conditionalFormatting sqref="H16:I16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7D51-4AC9-462A-AE05-E014B610F160}">
  <sheetPr filterMode="1"/>
  <dimension ref="A1:N52"/>
  <sheetViews>
    <sheetView showGridLines="0" zoomScaleNormal="100" workbookViewId="0">
      <selection activeCell="L8" sqref="L8"/>
    </sheetView>
  </sheetViews>
  <sheetFormatPr defaultRowHeight="14"/>
  <cols>
    <col min="1" max="1" width="23.75" bestFit="1" customWidth="1"/>
    <col min="2" max="2" width="21.4140625" bestFit="1" customWidth="1"/>
    <col min="3" max="3" width="23.75" bestFit="1" customWidth="1"/>
    <col min="4" max="4" width="10" customWidth="1"/>
    <col min="5" max="5" width="2" bestFit="1" customWidth="1"/>
    <col min="6" max="9" width="12.75" customWidth="1"/>
    <col min="10" max="10" width="2.1640625" bestFit="1" customWidth="1"/>
    <col min="11" max="14" width="12.75" customWidth="1"/>
  </cols>
  <sheetData>
    <row r="1" spans="1:14" ht="20">
      <c r="F1" s="109" t="s">
        <v>2522</v>
      </c>
      <c r="G1" s="109"/>
      <c r="H1" s="109"/>
      <c r="I1" s="109"/>
      <c r="J1" s="102"/>
      <c r="K1" s="110" t="s">
        <v>2527</v>
      </c>
      <c r="L1" s="110"/>
      <c r="M1" s="110"/>
      <c r="N1" s="110"/>
    </row>
    <row r="2" spans="1:14" ht="32">
      <c r="C2" s="98" t="s">
        <v>3</v>
      </c>
      <c r="D2" s="98" t="s">
        <v>2548</v>
      </c>
      <c r="E2" s="94" t="s">
        <v>2756</v>
      </c>
      <c r="F2" s="99" t="s">
        <v>2508</v>
      </c>
      <c r="G2" s="99" t="s">
        <v>2509</v>
      </c>
      <c r="H2" s="99" t="s">
        <v>2512</v>
      </c>
      <c r="I2" s="99" t="s">
        <v>2510</v>
      </c>
      <c r="J2" s="95" t="s">
        <v>2756</v>
      </c>
      <c r="K2" s="101" t="s">
        <v>2508</v>
      </c>
      <c r="L2" s="101" t="s">
        <v>2509</v>
      </c>
      <c r="M2" s="101" t="s">
        <v>2543</v>
      </c>
      <c r="N2" s="101" t="s">
        <v>2510</v>
      </c>
    </row>
    <row r="3" spans="1:14">
      <c r="C3" s="51" t="s">
        <v>314</v>
      </c>
      <c r="D3" s="51">
        <f t="shared" ref="D3:D9" si="0">SUMIFS(D$13:D$52,$A$13:$A$52,$C3)</f>
        <v>34</v>
      </c>
      <c r="F3" s="100">
        <f t="shared" ref="F3:I9" si="1">SUMIFS(F$13:F$52,$A$13:$A$52,$C3)</f>
        <v>32</v>
      </c>
      <c r="G3" s="100">
        <f t="shared" si="1"/>
        <v>1</v>
      </c>
      <c r="H3" s="100">
        <f t="shared" si="1"/>
        <v>1</v>
      </c>
      <c r="I3" s="100">
        <f t="shared" si="1"/>
        <v>0</v>
      </c>
      <c r="K3" s="100">
        <f t="shared" ref="K3:N9" si="2">SUMIFS(K$13:K$52,$A$13:$A$52,$C3)</f>
        <v>30</v>
      </c>
      <c r="L3" s="100">
        <f t="shared" si="2"/>
        <v>3</v>
      </c>
      <c r="M3" s="100">
        <f t="shared" si="2"/>
        <v>1</v>
      </c>
      <c r="N3" s="100">
        <f t="shared" si="2"/>
        <v>0</v>
      </c>
    </row>
    <row r="4" spans="1:14">
      <c r="C4" s="51" t="s">
        <v>70</v>
      </c>
      <c r="D4" s="51">
        <f t="shared" si="0"/>
        <v>37</v>
      </c>
      <c r="F4" s="100">
        <f t="shared" si="1"/>
        <v>37</v>
      </c>
      <c r="G4" s="100">
        <f t="shared" si="1"/>
        <v>0</v>
      </c>
      <c r="H4" s="100">
        <f t="shared" si="1"/>
        <v>0</v>
      </c>
      <c r="I4" s="100">
        <f t="shared" si="1"/>
        <v>0</v>
      </c>
      <c r="K4" s="100">
        <f t="shared" si="2"/>
        <v>25</v>
      </c>
      <c r="L4" s="100">
        <f t="shared" si="2"/>
        <v>5</v>
      </c>
      <c r="M4" s="100">
        <f t="shared" si="2"/>
        <v>1</v>
      </c>
      <c r="N4" s="100">
        <f t="shared" si="2"/>
        <v>6</v>
      </c>
    </row>
    <row r="5" spans="1:14">
      <c r="C5" s="51" t="s">
        <v>2752</v>
      </c>
      <c r="D5" s="51">
        <f t="shared" si="0"/>
        <v>55</v>
      </c>
      <c r="F5" s="100">
        <f t="shared" si="1"/>
        <v>51</v>
      </c>
      <c r="G5" s="100">
        <f t="shared" si="1"/>
        <v>2</v>
      </c>
      <c r="H5" s="100">
        <f t="shared" si="1"/>
        <v>1</v>
      </c>
      <c r="I5" s="100">
        <f t="shared" si="1"/>
        <v>1</v>
      </c>
      <c r="K5" s="100">
        <f t="shared" si="2"/>
        <v>46</v>
      </c>
      <c r="L5" s="100">
        <f t="shared" si="2"/>
        <v>6</v>
      </c>
      <c r="M5" s="100">
        <f t="shared" si="2"/>
        <v>3</v>
      </c>
      <c r="N5" s="100">
        <f t="shared" si="2"/>
        <v>0</v>
      </c>
    </row>
    <row r="6" spans="1:14">
      <c r="C6" s="51" t="s">
        <v>58</v>
      </c>
      <c r="D6" s="51">
        <f t="shared" si="0"/>
        <v>36</v>
      </c>
      <c r="F6" s="100">
        <f t="shared" si="1"/>
        <v>34</v>
      </c>
      <c r="G6" s="100">
        <f t="shared" si="1"/>
        <v>1</v>
      </c>
      <c r="H6" s="100">
        <f t="shared" si="1"/>
        <v>0</v>
      </c>
      <c r="I6" s="100">
        <f t="shared" si="1"/>
        <v>1</v>
      </c>
      <c r="K6" s="100">
        <f t="shared" si="2"/>
        <v>29</v>
      </c>
      <c r="L6" s="100">
        <f t="shared" si="2"/>
        <v>6</v>
      </c>
      <c r="M6" s="100">
        <f t="shared" si="2"/>
        <v>0</v>
      </c>
      <c r="N6" s="100">
        <f t="shared" si="2"/>
        <v>1</v>
      </c>
    </row>
    <row r="7" spans="1:14">
      <c r="C7" s="51" t="s">
        <v>805</v>
      </c>
      <c r="D7" s="51">
        <f t="shared" si="0"/>
        <v>41</v>
      </c>
      <c r="F7" s="100">
        <f t="shared" si="1"/>
        <v>39</v>
      </c>
      <c r="G7" s="100">
        <f t="shared" si="1"/>
        <v>0</v>
      </c>
      <c r="H7" s="100">
        <f t="shared" si="1"/>
        <v>2</v>
      </c>
      <c r="I7" s="100">
        <f t="shared" si="1"/>
        <v>0</v>
      </c>
      <c r="K7" s="100">
        <f t="shared" si="2"/>
        <v>36</v>
      </c>
      <c r="L7" s="100">
        <f t="shared" si="2"/>
        <v>5</v>
      </c>
      <c r="M7" s="100">
        <f t="shared" si="2"/>
        <v>0</v>
      </c>
      <c r="N7" s="100">
        <f t="shared" si="2"/>
        <v>0</v>
      </c>
    </row>
    <row r="8" spans="1:14">
      <c r="C8" s="51" t="s">
        <v>2751</v>
      </c>
      <c r="D8" s="51">
        <f t="shared" si="0"/>
        <v>44</v>
      </c>
      <c r="F8" s="100">
        <f t="shared" si="1"/>
        <v>43</v>
      </c>
      <c r="G8" s="100">
        <f t="shared" si="1"/>
        <v>1</v>
      </c>
      <c r="H8" s="100">
        <f t="shared" si="1"/>
        <v>0</v>
      </c>
      <c r="I8" s="100">
        <f t="shared" si="1"/>
        <v>0</v>
      </c>
      <c r="K8" s="100">
        <f t="shared" si="2"/>
        <v>38</v>
      </c>
      <c r="L8" s="100">
        <f t="shared" si="2"/>
        <v>4</v>
      </c>
      <c r="M8" s="100">
        <f t="shared" si="2"/>
        <v>1</v>
      </c>
      <c r="N8" s="100">
        <f t="shared" si="2"/>
        <v>1</v>
      </c>
    </row>
    <row r="9" spans="1:14">
      <c r="C9" s="97" t="s">
        <v>22</v>
      </c>
      <c r="D9" s="51">
        <f t="shared" si="0"/>
        <v>25</v>
      </c>
      <c r="F9" s="100">
        <f t="shared" si="1"/>
        <v>25</v>
      </c>
      <c r="G9" s="100">
        <f t="shared" si="1"/>
        <v>0</v>
      </c>
      <c r="H9" s="100">
        <f t="shared" si="1"/>
        <v>0</v>
      </c>
      <c r="I9" s="100">
        <f t="shared" si="1"/>
        <v>0</v>
      </c>
      <c r="K9" s="100">
        <f t="shared" si="2"/>
        <v>19</v>
      </c>
      <c r="L9" s="100">
        <f t="shared" si="2"/>
        <v>6</v>
      </c>
      <c r="M9" s="100">
        <f t="shared" si="2"/>
        <v>0</v>
      </c>
      <c r="N9" s="100">
        <f t="shared" si="2"/>
        <v>0</v>
      </c>
    </row>
    <row r="10" spans="1:14">
      <c r="D10" s="103">
        <f>SUM(D3:D9)</f>
        <v>272</v>
      </c>
      <c r="E10" s="93"/>
      <c r="F10" s="103">
        <f>SUM(F3:F9)</f>
        <v>261</v>
      </c>
      <c r="G10" s="103">
        <f t="shared" ref="G10:I10" si="3">SUM(G3:G9)</f>
        <v>5</v>
      </c>
      <c r="H10" s="103">
        <f t="shared" si="3"/>
        <v>4</v>
      </c>
      <c r="I10" s="103">
        <f t="shared" si="3"/>
        <v>2</v>
      </c>
      <c r="J10" s="93"/>
      <c r="K10" s="103">
        <f t="shared" ref="K10" si="4">SUM(K3:K9)</f>
        <v>223</v>
      </c>
      <c r="L10" s="103">
        <f t="shared" ref="L10" si="5">SUM(L3:L9)</f>
        <v>35</v>
      </c>
      <c r="M10" s="103">
        <f t="shared" ref="M10" si="6">SUM(M3:M9)</f>
        <v>6</v>
      </c>
      <c r="N10" s="103">
        <f t="shared" ref="N10" si="7">SUM(N3:N9)</f>
        <v>8</v>
      </c>
    </row>
    <row r="12" spans="1:14" ht="26.25" customHeight="1">
      <c r="F12" s="109" t="s">
        <v>2522</v>
      </c>
      <c r="G12" s="109"/>
      <c r="H12" s="109"/>
      <c r="I12" s="109"/>
      <c r="J12" s="102"/>
      <c r="K12" s="110" t="s">
        <v>2527</v>
      </c>
      <c r="L12" s="110"/>
      <c r="M12" s="110"/>
      <c r="N12" s="110"/>
    </row>
    <row r="13" spans="1:14" ht="35.25" customHeight="1">
      <c r="A13" s="96" t="s">
        <v>3</v>
      </c>
      <c r="B13" s="96" t="s">
        <v>4</v>
      </c>
      <c r="C13" s="96" t="s">
        <v>5</v>
      </c>
      <c r="D13" s="98" t="s">
        <v>2548</v>
      </c>
      <c r="E13" s="94" t="s">
        <v>2756</v>
      </c>
      <c r="F13" s="99" t="s">
        <v>2508</v>
      </c>
      <c r="G13" s="99" t="s">
        <v>2509</v>
      </c>
      <c r="H13" s="99" t="s">
        <v>2512</v>
      </c>
      <c r="I13" s="99" t="s">
        <v>2510</v>
      </c>
      <c r="J13" s="95" t="s">
        <v>2756</v>
      </c>
      <c r="K13" s="101" t="s">
        <v>2508</v>
      </c>
      <c r="L13" s="101" t="s">
        <v>2509</v>
      </c>
      <c r="M13" s="101" t="s">
        <v>2543</v>
      </c>
      <c r="N13" s="101" t="s">
        <v>2510</v>
      </c>
    </row>
    <row r="14" spans="1:14" hidden="1">
      <c r="A14" s="51" t="s">
        <v>314</v>
      </c>
      <c r="B14" s="51" t="s">
        <v>381</v>
      </c>
      <c r="C14" s="97" t="s">
        <v>382</v>
      </c>
      <c r="D14" s="51">
        <f>COUNTIFS('MASTER DSE OCT Inn'!E:E,SUMMARY!C14)</f>
        <v>10</v>
      </c>
      <c r="F14" s="100">
        <f>COUNTIFS('MASTER DSE OCT Inn'!$Z:$Z,F$13,'MASTER DSE OCT Inn'!$E:$E,SUMMARY!$C14)</f>
        <v>9</v>
      </c>
      <c r="G14" s="100">
        <f>COUNTIFS('MASTER DSE OCT Inn'!$Z:$Z,G$13,'MASTER DSE OCT Inn'!$E:$E,SUMMARY!$C14)</f>
        <v>1</v>
      </c>
      <c r="H14" s="100">
        <f>COUNTIFS('MASTER DSE OCT Inn'!$Z:$Z,H$13,'MASTER DSE OCT Inn'!$E:$E,SUMMARY!$C14)</f>
        <v>0</v>
      </c>
      <c r="I14" s="100">
        <f>COUNTIFS('MASTER DSE OCT Inn'!$Z:$Z,I$13,'MASTER DSE OCT Inn'!$E:$E,SUMMARY!$C14)</f>
        <v>0</v>
      </c>
      <c r="K14" s="100">
        <f>COUNTIFS('MASTER DSE OCT Inn'!$AA:$AA,K$13,'MASTER DSE OCT Inn'!$E:$E,SUMMARY!$C14)</f>
        <v>8</v>
      </c>
      <c r="L14" s="100">
        <f>COUNTIFS('MASTER DSE OCT Inn'!$AA:$AA,L$13,'MASTER DSE OCT Inn'!$E:$E,SUMMARY!$C14)</f>
        <v>1</v>
      </c>
      <c r="M14" s="100">
        <f>COUNTIFS('MASTER DSE OCT Inn'!$AA:$AA,M$13,'MASTER DSE OCT Inn'!$E:$E,SUMMARY!$C14)</f>
        <v>1</v>
      </c>
      <c r="N14" s="100">
        <f>COUNTIFS('MASTER DSE OCT Inn'!$AA:$AA,N$13,'MASTER DSE OCT Inn'!$E:$E,SUMMARY!$C14)</f>
        <v>0</v>
      </c>
    </row>
    <row r="15" spans="1:14" hidden="1">
      <c r="A15" s="51" t="s">
        <v>314</v>
      </c>
      <c r="B15" s="51" t="s">
        <v>397</v>
      </c>
      <c r="C15" s="97" t="s">
        <v>398</v>
      </c>
      <c r="D15" s="51">
        <f>COUNTIFS('MASTER DSE OCT Inn'!E:E,SUMMARY!C15)</f>
        <v>6</v>
      </c>
      <c r="F15" s="100">
        <f>COUNTIFS('MASTER DSE OCT Inn'!$Z:$Z,F$13,'MASTER DSE OCT Inn'!$E:$E,SUMMARY!$C15)</f>
        <v>6</v>
      </c>
      <c r="G15" s="100">
        <f>COUNTIFS('MASTER DSE OCT Inn'!$Z:$Z,G$13,'MASTER DSE OCT Inn'!$E:$E,SUMMARY!$C15)</f>
        <v>0</v>
      </c>
      <c r="H15" s="100">
        <f>COUNTIFS('MASTER DSE OCT Inn'!$Z:$Z,H$13,'MASTER DSE OCT Inn'!$E:$E,SUMMARY!$C15)</f>
        <v>0</v>
      </c>
      <c r="I15" s="100">
        <f>COUNTIFS('MASTER DSE OCT Inn'!$Z:$Z,I$13,'MASTER DSE OCT Inn'!$E:$E,SUMMARY!$C15)</f>
        <v>0</v>
      </c>
      <c r="K15" s="100">
        <f>COUNTIFS('MASTER DSE OCT Inn'!$AA:$AA,K$13,'MASTER DSE OCT Inn'!$E:$E,SUMMARY!$C15)</f>
        <v>6</v>
      </c>
      <c r="L15" s="100">
        <f>COUNTIFS('MASTER DSE OCT Inn'!$AA:$AA,L$13,'MASTER DSE OCT Inn'!$E:$E,SUMMARY!$C15)</f>
        <v>0</v>
      </c>
      <c r="M15" s="100">
        <f>COUNTIFS('MASTER DSE OCT Inn'!$AA:$AA,M$13,'MASTER DSE OCT Inn'!$E:$E,SUMMARY!$C15)</f>
        <v>0</v>
      </c>
      <c r="N15" s="100">
        <f>COUNTIFS('MASTER DSE OCT Inn'!$AA:$AA,N$13,'MASTER DSE OCT Inn'!$E:$E,SUMMARY!$C15)</f>
        <v>0</v>
      </c>
    </row>
    <row r="16" spans="1:14" ht="16" hidden="1">
      <c r="A16" s="51" t="s">
        <v>314</v>
      </c>
      <c r="B16" s="51" t="s">
        <v>356</v>
      </c>
      <c r="C16" s="97" t="s">
        <v>357</v>
      </c>
      <c r="D16" s="51">
        <f>COUNTIFS('MASTER DSE OCT Inn'!E:E,SUMMARY!C16)</f>
        <v>8</v>
      </c>
      <c r="F16" s="100">
        <f>COUNTIFS('MASTER DSE OCT Inn'!$Z:$Z,F$13,'MASTER DSE OCT Inn'!$E:$E,SUMMARY!$C16)</f>
        <v>7</v>
      </c>
      <c r="G16" s="100">
        <f>COUNTIFS('MASTER DSE OCT Inn'!$Z:$Z,G$13,'MASTER DSE OCT Inn'!$E:$E,SUMMARY!$C16)</f>
        <v>0</v>
      </c>
      <c r="H16" s="100">
        <f>COUNTIFS('MASTER DSE OCT Inn'!$Z:$Z,H$13,'MASTER DSE OCT Inn'!$E:$E,SUMMARY!$C16)</f>
        <v>1</v>
      </c>
      <c r="I16" s="100">
        <f>COUNTIFS('MASTER DSE OCT Inn'!$Z:$Z,I$13,'MASTER DSE OCT Inn'!$E:$E,SUMMARY!$C16)</f>
        <v>0</v>
      </c>
      <c r="J16" s="39"/>
      <c r="K16" s="100">
        <f>COUNTIFS('MASTER DSE OCT Inn'!$AA:$AA,K$13,'MASTER DSE OCT Inn'!$E:$E,SUMMARY!$C16)</f>
        <v>6</v>
      </c>
      <c r="L16" s="100">
        <f>COUNTIFS('MASTER DSE OCT Inn'!$AA:$AA,L$13,'MASTER DSE OCT Inn'!$E:$E,SUMMARY!$C16)</f>
        <v>2</v>
      </c>
      <c r="M16" s="100">
        <f>COUNTIFS('MASTER DSE OCT Inn'!$AA:$AA,M$13,'MASTER DSE OCT Inn'!$E:$E,SUMMARY!$C16)</f>
        <v>0</v>
      </c>
      <c r="N16" s="100">
        <f>COUNTIFS('MASTER DSE OCT Inn'!$AA:$AA,N$13,'MASTER DSE OCT Inn'!$E:$E,SUMMARY!$C16)</f>
        <v>0</v>
      </c>
    </row>
    <row r="17" spans="1:14" ht="16" hidden="1">
      <c r="A17" s="51" t="s">
        <v>314</v>
      </c>
      <c r="B17" s="51" t="s">
        <v>315</v>
      </c>
      <c r="C17" s="97" t="s">
        <v>316</v>
      </c>
      <c r="D17" s="51">
        <f>COUNTIFS('MASTER DSE OCT Inn'!E:E,SUMMARY!C17)</f>
        <v>10</v>
      </c>
      <c r="F17" s="100">
        <f>COUNTIFS('MASTER DSE OCT Inn'!$Z:$Z,F$13,'MASTER DSE OCT Inn'!$E:$E,SUMMARY!$C17)</f>
        <v>10</v>
      </c>
      <c r="G17" s="100">
        <f>COUNTIFS('MASTER DSE OCT Inn'!$Z:$Z,G$13,'MASTER DSE OCT Inn'!$E:$E,SUMMARY!$C17)</f>
        <v>0</v>
      </c>
      <c r="H17" s="100">
        <f>COUNTIFS('MASTER DSE OCT Inn'!$Z:$Z,H$13,'MASTER DSE OCT Inn'!$E:$E,SUMMARY!$C17)</f>
        <v>0</v>
      </c>
      <c r="I17" s="100">
        <f>COUNTIFS('MASTER DSE OCT Inn'!$Z:$Z,I$13,'MASTER DSE OCT Inn'!$E:$E,SUMMARY!$C17)</f>
        <v>0</v>
      </c>
      <c r="J17" s="39"/>
      <c r="K17" s="100">
        <f>COUNTIFS('MASTER DSE OCT Inn'!$AA:$AA,K$13,'MASTER DSE OCT Inn'!$E:$E,SUMMARY!$C17)</f>
        <v>10</v>
      </c>
      <c r="L17" s="100">
        <f>COUNTIFS('MASTER DSE OCT Inn'!$AA:$AA,L$13,'MASTER DSE OCT Inn'!$E:$E,SUMMARY!$C17)</f>
        <v>0</v>
      </c>
      <c r="M17" s="100">
        <f>COUNTIFS('MASTER DSE OCT Inn'!$AA:$AA,M$13,'MASTER DSE OCT Inn'!$E:$E,SUMMARY!$C17)</f>
        <v>0</v>
      </c>
      <c r="N17" s="100">
        <f>COUNTIFS('MASTER DSE OCT Inn'!$AA:$AA,N$13,'MASTER DSE OCT Inn'!$E:$E,SUMMARY!$C17)</f>
        <v>0</v>
      </c>
    </row>
    <row r="18" spans="1:14" ht="16">
      <c r="A18" s="51" t="s">
        <v>70</v>
      </c>
      <c r="B18" s="51" t="s">
        <v>121</v>
      </c>
      <c r="C18" s="97" t="s">
        <v>122</v>
      </c>
      <c r="D18" s="51">
        <f>COUNTIFS('MASTER DSE OCT Inn'!E:E,SUMMARY!C18)</f>
        <v>9</v>
      </c>
      <c r="F18" s="100">
        <f>COUNTIFS('MASTER DSE OCT Inn'!$Z:$Z,F$13,'MASTER DSE OCT Inn'!$E:$E,SUMMARY!$C18)</f>
        <v>9</v>
      </c>
      <c r="G18" s="100">
        <f>COUNTIFS('MASTER DSE OCT Inn'!$Z:$Z,G$13,'MASTER DSE OCT Inn'!$E:$E,SUMMARY!$C18)</f>
        <v>0</v>
      </c>
      <c r="H18" s="100">
        <f>COUNTIFS('MASTER DSE OCT Inn'!$Z:$Z,H$13,'MASTER DSE OCT Inn'!$E:$E,SUMMARY!$C18)</f>
        <v>0</v>
      </c>
      <c r="I18" s="100">
        <f>COUNTIFS('MASTER DSE OCT Inn'!$Z:$Z,I$13,'MASTER DSE OCT Inn'!$E:$E,SUMMARY!$C18)</f>
        <v>0</v>
      </c>
      <c r="J18" s="39"/>
      <c r="K18" s="100">
        <f>COUNTIFS('MASTER DSE OCT Inn'!$AA:$AA,K$13,'MASTER DSE OCT Inn'!$E:$E,SUMMARY!$C18)</f>
        <v>8</v>
      </c>
      <c r="L18" s="100">
        <f>COUNTIFS('MASTER DSE OCT Inn'!$AA:$AA,L$13,'MASTER DSE OCT Inn'!$E:$E,SUMMARY!$C18)</f>
        <v>0</v>
      </c>
      <c r="M18" s="100">
        <f>COUNTIFS('MASTER DSE OCT Inn'!$AA:$AA,M$13,'MASTER DSE OCT Inn'!$E:$E,SUMMARY!$C18)</f>
        <v>1</v>
      </c>
      <c r="N18" s="100">
        <f>COUNTIFS('MASTER DSE OCT Inn'!$AA:$AA,N$13,'MASTER DSE OCT Inn'!$E:$E,SUMMARY!$C18)</f>
        <v>0</v>
      </c>
    </row>
    <row r="19" spans="1:14" ht="16">
      <c r="A19" s="51" t="s">
        <v>70</v>
      </c>
      <c r="B19" s="51" t="s">
        <v>71</v>
      </c>
      <c r="C19" s="97" t="s">
        <v>72</v>
      </c>
      <c r="D19" s="51">
        <f>COUNTIFS('MASTER DSE OCT Inn'!E:E,SUMMARY!C19)</f>
        <v>7</v>
      </c>
      <c r="F19" s="100">
        <f>COUNTIFS('MASTER DSE OCT Inn'!$Z:$Z,F$13,'MASTER DSE OCT Inn'!$E:$E,SUMMARY!$C19)</f>
        <v>7</v>
      </c>
      <c r="G19" s="100">
        <f>COUNTIFS('MASTER DSE OCT Inn'!$Z:$Z,G$13,'MASTER DSE OCT Inn'!$E:$E,SUMMARY!$C19)</f>
        <v>0</v>
      </c>
      <c r="H19" s="100">
        <f>COUNTIFS('MASTER DSE OCT Inn'!$Z:$Z,H$13,'MASTER DSE OCT Inn'!$E:$E,SUMMARY!$C19)</f>
        <v>0</v>
      </c>
      <c r="I19" s="100">
        <f>COUNTIFS('MASTER DSE OCT Inn'!$Z:$Z,I$13,'MASTER DSE OCT Inn'!$E:$E,SUMMARY!$C19)</f>
        <v>0</v>
      </c>
      <c r="J19" s="39"/>
      <c r="K19" s="100">
        <f>COUNTIFS('MASTER DSE OCT Inn'!$AA:$AA,K$13,'MASTER DSE OCT Inn'!$E:$E,SUMMARY!$C19)</f>
        <v>7</v>
      </c>
      <c r="L19" s="100">
        <f>COUNTIFS('MASTER DSE OCT Inn'!$AA:$AA,L$13,'MASTER DSE OCT Inn'!$E:$E,SUMMARY!$C19)</f>
        <v>0</v>
      </c>
      <c r="M19" s="100">
        <f>COUNTIFS('MASTER DSE OCT Inn'!$AA:$AA,M$13,'MASTER DSE OCT Inn'!$E:$E,SUMMARY!$C19)</f>
        <v>0</v>
      </c>
      <c r="N19" s="100">
        <f>COUNTIFS('MASTER DSE OCT Inn'!$AA:$AA,N$13,'MASTER DSE OCT Inn'!$E:$E,SUMMARY!$C19)</f>
        <v>0</v>
      </c>
    </row>
    <row r="20" spans="1:14">
      <c r="A20" s="51" t="s">
        <v>70</v>
      </c>
      <c r="B20" s="51" t="s">
        <v>111</v>
      </c>
      <c r="C20" s="97" t="s">
        <v>112</v>
      </c>
      <c r="D20" s="51">
        <f>COUNTIFS('MASTER DSE OCT Inn'!E:E,SUMMARY!C20)</f>
        <v>8</v>
      </c>
      <c r="F20" s="100">
        <f>COUNTIFS('MASTER DSE OCT Inn'!$Z:$Z,F$13,'MASTER DSE OCT Inn'!$E:$E,SUMMARY!$C20)</f>
        <v>8</v>
      </c>
      <c r="G20" s="100">
        <f>COUNTIFS('MASTER DSE OCT Inn'!$Z:$Z,G$13,'MASTER DSE OCT Inn'!$E:$E,SUMMARY!$C20)</f>
        <v>0</v>
      </c>
      <c r="H20" s="100">
        <f>COUNTIFS('MASTER DSE OCT Inn'!$Z:$Z,H$13,'MASTER DSE OCT Inn'!$E:$E,SUMMARY!$C20)</f>
        <v>0</v>
      </c>
      <c r="I20" s="100">
        <f>COUNTIFS('MASTER DSE OCT Inn'!$Z:$Z,I$13,'MASTER DSE OCT Inn'!$E:$E,SUMMARY!$C20)</f>
        <v>0</v>
      </c>
      <c r="K20" s="100">
        <f>COUNTIFS('MASTER DSE OCT Inn'!$AA:$AA,K$13,'MASTER DSE OCT Inn'!$E:$E,SUMMARY!$C20)</f>
        <v>1</v>
      </c>
      <c r="L20" s="100">
        <f>COUNTIFS('MASTER DSE OCT Inn'!$AA:$AA,L$13,'MASTER DSE OCT Inn'!$E:$E,SUMMARY!$C20)</f>
        <v>2</v>
      </c>
      <c r="M20" s="100">
        <f>COUNTIFS('MASTER DSE OCT Inn'!$AA:$AA,M$13,'MASTER DSE OCT Inn'!$E:$E,SUMMARY!$C20)</f>
        <v>0</v>
      </c>
      <c r="N20" s="100">
        <f>COUNTIFS('MASTER DSE OCT Inn'!$AA:$AA,N$13,'MASTER DSE OCT Inn'!$E:$E,SUMMARY!$C20)</f>
        <v>5</v>
      </c>
    </row>
    <row r="21" spans="1:14">
      <c r="A21" s="51" t="s">
        <v>70</v>
      </c>
      <c r="B21" s="51" t="s">
        <v>526</v>
      </c>
      <c r="C21" s="97" t="s">
        <v>527</v>
      </c>
      <c r="D21" s="51">
        <f>COUNTIFS('MASTER DSE OCT Inn'!E:E,SUMMARY!C21)</f>
        <v>5</v>
      </c>
      <c r="F21" s="100">
        <f>COUNTIFS('MASTER DSE OCT Inn'!$Z:$Z,F$13,'MASTER DSE OCT Inn'!$E:$E,SUMMARY!$C21)</f>
        <v>5</v>
      </c>
      <c r="G21" s="100">
        <f>COUNTIFS('MASTER DSE OCT Inn'!$Z:$Z,G$13,'MASTER DSE OCT Inn'!$E:$E,SUMMARY!$C21)</f>
        <v>0</v>
      </c>
      <c r="H21" s="100">
        <f>COUNTIFS('MASTER DSE OCT Inn'!$Z:$Z,H$13,'MASTER DSE OCT Inn'!$E:$E,SUMMARY!$C21)</f>
        <v>0</v>
      </c>
      <c r="I21" s="100">
        <f>COUNTIFS('MASTER DSE OCT Inn'!$Z:$Z,I$13,'MASTER DSE OCT Inn'!$E:$E,SUMMARY!$C21)</f>
        <v>0</v>
      </c>
      <c r="K21" s="100">
        <f>COUNTIFS('MASTER DSE OCT Inn'!$AA:$AA,K$13,'MASTER DSE OCT Inn'!$E:$E,SUMMARY!$C21)</f>
        <v>5</v>
      </c>
      <c r="L21" s="100">
        <f>COUNTIFS('MASTER DSE OCT Inn'!$AA:$AA,L$13,'MASTER DSE OCT Inn'!$E:$E,SUMMARY!$C21)</f>
        <v>0</v>
      </c>
      <c r="M21" s="100">
        <f>COUNTIFS('MASTER DSE OCT Inn'!$AA:$AA,M$13,'MASTER DSE OCT Inn'!$E:$E,SUMMARY!$C21)</f>
        <v>0</v>
      </c>
      <c r="N21" s="100">
        <f>COUNTIFS('MASTER DSE OCT Inn'!$AA:$AA,N$13,'MASTER DSE OCT Inn'!$E:$E,SUMMARY!$C21)</f>
        <v>0</v>
      </c>
    </row>
    <row r="22" spans="1:14">
      <c r="A22" s="51" t="s">
        <v>70</v>
      </c>
      <c r="B22" s="51" t="s">
        <v>102</v>
      </c>
      <c r="C22" s="97" t="s">
        <v>103</v>
      </c>
      <c r="D22" s="51">
        <f>COUNTIFS('MASTER DSE OCT Inn'!E:E,SUMMARY!C22)</f>
        <v>8</v>
      </c>
      <c r="F22" s="100">
        <f>COUNTIFS('MASTER DSE OCT Inn'!$Z:$Z,F$13,'MASTER DSE OCT Inn'!$E:$E,SUMMARY!$C22)</f>
        <v>8</v>
      </c>
      <c r="G22" s="100">
        <f>COUNTIFS('MASTER DSE OCT Inn'!$Z:$Z,G$13,'MASTER DSE OCT Inn'!$E:$E,SUMMARY!$C22)</f>
        <v>0</v>
      </c>
      <c r="H22" s="100">
        <f>COUNTIFS('MASTER DSE OCT Inn'!$Z:$Z,H$13,'MASTER DSE OCT Inn'!$E:$E,SUMMARY!$C22)</f>
        <v>0</v>
      </c>
      <c r="I22" s="100">
        <f>COUNTIFS('MASTER DSE OCT Inn'!$Z:$Z,I$13,'MASTER DSE OCT Inn'!$E:$E,SUMMARY!$C22)</f>
        <v>0</v>
      </c>
      <c r="K22" s="100">
        <f>COUNTIFS('MASTER DSE OCT Inn'!$AA:$AA,K$13,'MASTER DSE OCT Inn'!$E:$E,SUMMARY!$C22)</f>
        <v>4</v>
      </c>
      <c r="L22" s="100">
        <f>COUNTIFS('MASTER DSE OCT Inn'!$AA:$AA,L$13,'MASTER DSE OCT Inn'!$E:$E,SUMMARY!$C22)</f>
        <v>3</v>
      </c>
      <c r="M22" s="100">
        <f>COUNTIFS('MASTER DSE OCT Inn'!$AA:$AA,M$13,'MASTER DSE OCT Inn'!$E:$E,SUMMARY!$C22)</f>
        <v>0</v>
      </c>
      <c r="N22" s="100">
        <f>COUNTIFS('MASTER DSE OCT Inn'!$AA:$AA,N$13,'MASTER DSE OCT Inn'!$E:$E,SUMMARY!$C22)</f>
        <v>1</v>
      </c>
    </row>
    <row r="23" spans="1:14" hidden="1">
      <c r="A23" s="51" t="s">
        <v>2752</v>
      </c>
      <c r="B23" s="51" t="s">
        <v>282</v>
      </c>
      <c r="C23" s="97" t="s">
        <v>283</v>
      </c>
      <c r="D23" s="51">
        <f>COUNTIFS('MASTER DSE OCT Inn'!E:E,SUMMARY!C23)</f>
        <v>6</v>
      </c>
      <c r="F23" s="100">
        <f>COUNTIFS('MASTER DSE OCT Inn'!$Z:$Z,F$13,'MASTER DSE OCT Inn'!$E:$E,SUMMARY!$C23)</f>
        <v>5</v>
      </c>
      <c r="G23" s="100">
        <f>COUNTIFS('MASTER DSE OCT Inn'!$Z:$Z,G$13,'MASTER DSE OCT Inn'!$E:$E,SUMMARY!$C23)</f>
        <v>0</v>
      </c>
      <c r="H23" s="100">
        <f>COUNTIFS('MASTER DSE OCT Inn'!$Z:$Z,H$13,'MASTER DSE OCT Inn'!$E:$E,SUMMARY!$C23)</f>
        <v>0</v>
      </c>
      <c r="I23" s="100">
        <f>COUNTIFS('MASTER DSE OCT Inn'!$Z:$Z,I$13,'MASTER DSE OCT Inn'!$E:$E,SUMMARY!$C23)</f>
        <v>1</v>
      </c>
      <c r="K23" s="100">
        <f>COUNTIFS('MASTER DSE OCT Inn'!$AA:$AA,K$13,'MASTER DSE OCT Inn'!$E:$E,SUMMARY!$C23)</f>
        <v>3</v>
      </c>
      <c r="L23" s="100">
        <f>COUNTIFS('MASTER DSE OCT Inn'!$AA:$AA,L$13,'MASTER DSE OCT Inn'!$E:$E,SUMMARY!$C23)</f>
        <v>0</v>
      </c>
      <c r="M23" s="100">
        <f>COUNTIFS('MASTER DSE OCT Inn'!$AA:$AA,M$13,'MASTER DSE OCT Inn'!$E:$E,SUMMARY!$C23)</f>
        <v>3</v>
      </c>
      <c r="N23" s="100">
        <f>COUNTIFS('MASTER DSE OCT Inn'!$AA:$AA,N$13,'MASTER DSE OCT Inn'!$E:$E,SUMMARY!$C23)</f>
        <v>0</v>
      </c>
    </row>
    <row r="24" spans="1:14" hidden="1">
      <c r="A24" s="51" t="s">
        <v>2752</v>
      </c>
      <c r="B24" s="51" t="s">
        <v>691</v>
      </c>
      <c r="C24" s="97" t="s">
        <v>692</v>
      </c>
      <c r="D24" s="51">
        <f>COUNTIFS('MASTER DSE OCT Inn'!E:E,SUMMARY!C24)</f>
        <v>6</v>
      </c>
      <c r="F24" s="100">
        <f>COUNTIFS('MASTER DSE OCT Inn'!$Z:$Z,F$13,'MASTER DSE OCT Inn'!$E:$E,SUMMARY!$C24)</f>
        <v>5</v>
      </c>
      <c r="G24" s="100">
        <f>COUNTIFS('MASTER DSE OCT Inn'!$Z:$Z,G$13,'MASTER DSE OCT Inn'!$E:$E,SUMMARY!$C24)</f>
        <v>1</v>
      </c>
      <c r="H24" s="100">
        <f>COUNTIFS('MASTER DSE OCT Inn'!$Z:$Z,H$13,'MASTER DSE OCT Inn'!$E:$E,SUMMARY!$C24)</f>
        <v>0</v>
      </c>
      <c r="I24" s="100">
        <f>COUNTIFS('MASTER DSE OCT Inn'!$Z:$Z,I$13,'MASTER DSE OCT Inn'!$E:$E,SUMMARY!$C24)</f>
        <v>0</v>
      </c>
      <c r="K24" s="100">
        <f>COUNTIFS('MASTER DSE OCT Inn'!$AA:$AA,K$13,'MASTER DSE OCT Inn'!$E:$E,SUMMARY!$C24)</f>
        <v>6</v>
      </c>
      <c r="L24" s="100">
        <f>COUNTIFS('MASTER DSE OCT Inn'!$AA:$AA,L$13,'MASTER DSE OCT Inn'!$E:$E,SUMMARY!$C24)</f>
        <v>0</v>
      </c>
      <c r="M24" s="100">
        <f>COUNTIFS('MASTER DSE OCT Inn'!$AA:$AA,M$13,'MASTER DSE OCT Inn'!$E:$E,SUMMARY!$C24)</f>
        <v>0</v>
      </c>
      <c r="N24" s="100">
        <f>COUNTIFS('MASTER DSE OCT Inn'!$AA:$AA,N$13,'MASTER DSE OCT Inn'!$E:$E,SUMMARY!$C24)</f>
        <v>0</v>
      </c>
    </row>
    <row r="25" spans="1:14" hidden="1">
      <c r="A25" s="51" t="s">
        <v>2752</v>
      </c>
      <c r="B25" s="51" t="s">
        <v>702</v>
      </c>
      <c r="C25" s="97" t="s">
        <v>703</v>
      </c>
      <c r="D25" s="51">
        <f>COUNTIFS('MASTER DSE OCT Inn'!E:E,SUMMARY!C25)</f>
        <v>8</v>
      </c>
      <c r="F25" s="100">
        <f>COUNTIFS('MASTER DSE OCT Inn'!$Z:$Z,F$13,'MASTER DSE OCT Inn'!$E:$E,SUMMARY!$C25)</f>
        <v>8</v>
      </c>
      <c r="G25" s="100">
        <f>COUNTIFS('MASTER DSE OCT Inn'!$Z:$Z,G$13,'MASTER DSE OCT Inn'!$E:$E,SUMMARY!$C25)</f>
        <v>0</v>
      </c>
      <c r="H25" s="100">
        <f>COUNTIFS('MASTER DSE OCT Inn'!$Z:$Z,H$13,'MASTER DSE OCT Inn'!$E:$E,SUMMARY!$C25)</f>
        <v>0</v>
      </c>
      <c r="I25" s="100">
        <f>COUNTIFS('MASTER DSE OCT Inn'!$Z:$Z,I$13,'MASTER DSE OCT Inn'!$E:$E,SUMMARY!$C25)</f>
        <v>0</v>
      </c>
      <c r="K25" s="100">
        <f>COUNTIFS('MASTER DSE OCT Inn'!$AA:$AA,K$13,'MASTER DSE OCT Inn'!$E:$E,SUMMARY!$C25)</f>
        <v>8</v>
      </c>
      <c r="L25" s="100">
        <f>COUNTIFS('MASTER DSE OCT Inn'!$AA:$AA,L$13,'MASTER DSE OCT Inn'!$E:$E,SUMMARY!$C25)</f>
        <v>0</v>
      </c>
      <c r="M25" s="100">
        <f>COUNTIFS('MASTER DSE OCT Inn'!$AA:$AA,M$13,'MASTER DSE OCT Inn'!$E:$E,SUMMARY!$C25)</f>
        <v>0</v>
      </c>
      <c r="N25" s="100">
        <f>COUNTIFS('MASTER DSE OCT Inn'!$AA:$AA,N$13,'MASTER DSE OCT Inn'!$E:$E,SUMMARY!$C25)</f>
        <v>0</v>
      </c>
    </row>
    <row r="26" spans="1:14" hidden="1">
      <c r="A26" s="51" t="s">
        <v>2752</v>
      </c>
      <c r="B26" s="51" t="s">
        <v>675</v>
      </c>
      <c r="C26" s="97" t="s">
        <v>676</v>
      </c>
      <c r="D26" s="51">
        <f>COUNTIFS('MASTER DSE OCT Inn'!E:E,SUMMARY!C26)</f>
        <v>5</v>
      </c>
      <c r="F26" s="100">
        <f>COUNTIFS('MASTER DSE OCT Inn'!$Z:$Z,F$13,'MASTER DSE OCT Inn'!$E:$E,SUMMARY!$C26)</f>
        <v>5</v>
      </c>
      <c r="G26" s="100">
        <f>COUNTIFS('MASTER DSE OCT Inn'!$Z:$Z,G$13,'MASTER DSE OCT Inn'!$E:$E,SUMMARY!$C26)</f>
        <v>0</v>
      </c>
      <c r="H26" s="100">
        <f>COUNTIFS('MASTER DSE OCT Inn'!$Z:$Z,H$13,'MASTER DSE OCT Inn'!$E:$E,SUMMARY!$C26)</f>
        <v>0</v>
      </c>
      <c r="I26" s="100">
        <f>COUNTIFS('MASTER DSE OCT Inn'!$Z:$Z,I$13,'MASTER DSE OCT Inn'!$E:$E,SUMMARY!$C26)</f>
        <v>0</v>
      </c>
      <c r="K26" s="100">
        <f>COUNTIFS('MASTER DSE OCT Inn'!$AA:$AA,K$13,'MASTER DSE OCT Inn'!$E:$E,SUMMARY!$C26)</f>
        <v>4</v>
      </c>
      <c r="L26" s="100">
        <f>COUNTIFS('MASTER DSE OCT Inn'!$AA:$AA,L$13,'MASTER DSE OCT Inn'!$E:$E,SUMMARY!$C26)</f>
        <v>1</v>
      </c>
      <c r="M26" s="100">
        <f>COUNTIFS('MASTER DSE OCT Inn'!$AA:$AA,M$13,'MASTER DSE OCT Inn'!$E:$E,SUMMARY!$C26)</f>
        <v>0</v>
      </c>
      <c r="N26" s="100">
        <f>COUNTIFS('MASTER DSE OCT Inn'!$AA:$AA,N$13,'MASTER DSE OCT Inn'!$E:$E,SUMMARY!$C26)</f>
        <v>0</v>
      </c>
    </row>
    <row r="27" spans="1:14" hidden="1">
      <c r="A27" s="51" t="s">
        <v>58</v>
      </c>
      <c r="B27" s="51" t="s">
        <v>1097</v>
      </c>
      <c r="C27" s="97" t="s">
        <v>1098</v>
      </c>
      <c r="D27" s="51">
        <f>COUNTIFS('MASTER DSE OCT Inn'!E:E,SUMMARY!C27)</f>
        <v>12</v>
      </c>
      <c r="F27" s="100">
        <f>COUNTIFS('MASTER DSE OCT Inn'!$Z:$Z,F$13,'MASTER DSE OCT Inn'!$E:$E,SUMMARY!$C27)</f>
        <v>11</v>
      </c>
      <c r="G27" s="100">
        <f>COUNTIFS('MASTER DSE OCT Inn'!$Z:$Z,G$13,'MASTER DSE OCT Inn'!$E:$E,SUMMARY!$C27)</f>
        <v>0</v>
      </c>
      <c r="H27" s="100">
        <f>COUNTIFS('MASTER DSE OCT Inn'!$Z:$Z,H$13,'MASTER DSE OCT Inn'!$E:$E,SUMMARY!$C27)</f>
        <v>0</v>
      </c>
      <c r="I27" s="100">
        <f>COUNTIFS('MASTER DSE OCT Inn'!$Z:$Z,I$13,'MASTER DSE OCT Inn'!$E:$E,SUMMARY!$C27)</f>
        <v>1</v>
      </c>
      <c r="K27" s="100">
        <f>COUNTIFS('MASTER DSE OCT Inn'!$AA:$AA,K$13,'MASTER DSE OCT Inn'!$E:$E,SUMMARY!$C27)</f>
        <v>10</v>
      </c>
      <c r="L27" s="100">
        <f>COUNTIFS('MASTER DSE OCT Inn'!$AA:$AA,L$13,'MASTER DSE OCT Inn'!$E:$E,SUMMARY!$C27)</f>
        <v>2</v>
      </c>
      <c r="M27" s="100">
        <f>COUNTIFS('MASTER DSE OCT Inn'!$AA:$AA,M$13,'MASTER DSE OCT Inn'!$E:$E,SUMMARY!$C27)</f>
        <v>0</v>
      </c>
      <c r="N27" s="100">
        <f>COUNTIFS('MASTER DSE OCT Inn'!$AA:$AA,N$13,'MASTER DSE OCT Inn'!$E:$E,SUMMARY!$C27)</f>
        <v>0</v>
      </c>
    </row>
    <row r="28" spans="1:14" hidden="1">
      <c r="A28" s="51" t="s">
        <v>58</v>
      </c>
      <c r="B28" s="51" t="s">
        <v>93</v>
      </c>
      <c r="C28" s="97" t="s">
        <v>94</v>
      </c>
      <c r="D28" s="51">
        <f>COUNTIFS('MASTER DSE OCT Inn'!E:E,SUMMARY!C28)</f>
        <v>9</v>
      </c>
      <c r="F28" s="100">
        <f>COUNTIFS('MASTER DSE OCT Inn'!$Z:$Z,F$13,'MASTER DSE OCT Inn'!$E:$E,SUMMARY!$C28)</f>
        <v>8</v>
      </c>
      <c r="G28" s="100">
        <f>COUNTIFS('MASTER DSE OCT Inn'!$Z:$Z,G$13,'MASTER DSE OCT Inn'!$E:$E,SUMMARY!$C28)</f>
        <v>1</v>
      </c>
      <c r="H28" s="100">
        <f>COUNTIFS('MASTER DSE OCT Inn'!$Z:$Z,H$13,'MASTER DSE OCT Inn'!$E:$E,SUMMARY!$C28)</f>
        <v>0</v>
      </c>
      <c r="I28" s="100">
        <f>COUNTIFS('MASTER DSE OCT Inn'!$Z:$Z,I$13,'MASTER DSE OCT Inn'!$E:$E,SUMMARY!$C28)</f>
        <v>0</v>
      </c>
      <c r="K28" s="100">
        <f>COUNTIFS('MASTER DSE OCT Inn'!$AA:$AA,K$13,'MASTER DSE OCT Inn'!$E:$E,SUMMARY!$C28)</f>
        <v>8</v>
      </c>
      <c r="L28" s="100">
        <f>COUNTIFS('MASTER DSE OCT Inn'!$AA:$AA,L$13,'MASTER DSE OCT Inn'!$E:$E,SUMMARY!$C28)</f>
        <v>0</v>
      </c>
      <c r="M28" s="100">
        <f>COUNTIFS('MASTER DSE OCT Inn'!$AA:$AA,M$13,'MASTER DSE OCT Inn'!$E:$E,SUMMARY!$C28)</f>
        <v>0</v>
      </c>
      <c r="N28" s="100">
        <f>COUNTIFS('MASTER DSE OCT Inn'!$AA:$AA,N$13,'MASTER DSE OCT Inn'!$E:$E,SUMMARY!$C28)</f>
        <v>1</v>
      </c>
    </row>
    <row r="29" spans="1:14" hidden="1">
      <c r="A29" s="51" t="s">
        <v>58</v>
      </c>
      <c r="B29" s="51" t="s">
        <v>59</v>
      </c>
      <c r="C29" s="97" t="s">
        <v>60</v>
      </c>
      <c r="D29" s="51">
        <f>COUNTIFS('MASTER DSE OCT Inn'!E:E,SUMMARY!C29)</f>
        <v>7</v>
      </c>
      <c r="F29" s="100">
        <f>COUNTIFS('MASTER DSE OCT Inn'!$Z:$Z,F$13,'MASTER DSE OCT Inn'!$E:$E,SUMMARY!$C29)</f>
        <v>7</v>
      </c>
      <c r="G29" s="100">
        <f>COUNTIFS('MASTER DSE OCT Inn'!$Z:$Z,G$13,'MASTER DSE OCT Inn'!$E:$E,SUMMARY!$C29)</f>
        <v>0</v>
      </c>
      <c r="H29" s="100">
        <f>COUNTIFS('MASTER DSE OCT Inn'!$Z:$Z,H$13,'MASTER DSE OCT Inn'!$E:$E,SUMMARY!$C29)</f>
        <v>0</v>
      </c>
      <c r="I29" s="100">
        <f>COUNTIFS('MASTER DSE OCT Inn'!$Z:$Z,I$13,'MASTER DSE OCT Inn'!$E:$E,SUMMARY!$C29)</f>
        <v>0</v>
      </c>
      <c r="K29" s="100">
        <f>COUNTIFS('MASTER DSE OCT Inn'!$AA:$AA,K$13,'MASTER DSE OCT Inn'!$E:$E,SUMMARY!$C29)</f>
        <v>3</v>
      </c>
      <c r="L29" s="100">
        <f>COUNTIFS('MASTER DSE OCT Inn'!$AA:$AA,L$13,'MASTER DSE OCT Inn'!$E:$E,SUMMARY!$C29)</f>
        <v>4</v>
      </c>
      <c r="M29" s="100">
        <f>COUNTIFS('MASTER DSE OCT Inn'!$AA:$AA,M$13,'MASTER DSE OCT Inn'!$E:$E,SUMMARY!$C29)</f>
        <v>0</v>
      </c>
      <c r="N29" s="100">
        <f>COUNTIFS('MASTER DSE OCT Inn'!$AA:$AA,N$13,'MASTER DSE OCT Inn'!$E:$E,SUMMARY!$C29)</f>
        <v>0</v>
      </c>
    </row>
    <row r="30" spans="1:14" hidden="1">
      <c r="A30" s="51" t="s">
        <v>58</v>
      </c>
      <c r="B30" s="51" t="s">
        <v>1216</v>
      </c>
      <c r="C30" s="97" t="s">
        <v>1217</v>
      </c>
      <c r="D30" s="51">
        <f>COUNTIFS('MASTER DSE OCT Inn'!E:E,SUMMARY!C30)</f>
        <v>8</v>
      </c>
      <c r="F30" s="100">
        <f>COUNTIFS('MASTER DSE OCT Inn'!$Z:$Z,F$13,'MASTER DSE OCT Inn'!$E:$E,SUMMARY!$C30)</f>
        <v>8</v>
      </c>
      <c r="G30" s="100">
        <f>COUNTIFS('MASTER DSE OCT Inn'!$Z:$Z,G$13,'MASTER DSE OCT Inn'!$E:$E,SUMMARY!$C30)</f>
        <v>0</v>
      </c>
      <c r="H30" s="100">
        <f>COUNTIFS('MASTER DSE OCT Inn'!$Z:$Z,H$13,'MASTER DSE OCT Inn'!$E:$E,SUMMARY!$C30)</f>
        <v>0</v>
      </c>
      <c r="I30" s="100">
        <f>COUNTIFS('MASTER DSE OCT Inn'!$Z:$Z,I$13,'MASTER DSE OCT Inn'!$E:$E,SUMMARY!$C30)</f>
        <v>0</v>
      </c>
      <c r="K30" s="100">
        <f>COUNTIFS('MASTER DSE OCT Inn'!$AA:$AA,K$13,'MASTER DSE OCT Inn'!$E:$E,SUMMARY!$C30)</f>
        <v>8</v>
      </c>
      <c r="L30" s="100">
        <f>COUNTIFS('MASTER DSE OCT Inn'!$AA:$AA,L$13,'MASTER DSE OCT Inn'!$E:$E,SUMMARY!$C30)</f>
        <v>0</v>
      </c>
      <c r="M30" s="100">
        <f>COUNTIFS('MASTER DSE OCT Inn'!$AA:$AA,M$13,'MASTER DSE OCT Inn'!$E:$E,SUMMARY!$C30)</f>
        <v>0</v>
      </c>
      <c r="N30" s="100">
        <f>COUNTIFS('MASTER DSE OCT Inn'!$AA:$AA,N$13,'MASTER DSE OCT Inn'!$E:$E,SUMMARY!$C30)</f>
        <v>0</v>
      </c>
    </row>
    <row r="31" spans="1:14" hidden="1">
      <c r="A31" s="51" t="s">
        <v>805</v>
      </c>
      <c r="B31" s="51" t="s">
        <v>1414</v>
      </c>
      <c r="C31" s="97" t="s">
        <v>1415</v>
      </c>
      <c r="D31" s="51">
        <f>COUNTIFS('MASTER DSE OCT Inn'!E:E,SUMMARY!C31)</f>
        <v>6</v>
      </c>
      <c r="F31" s="100">
        <f>COUNTIFS('MASTER DSE OCT Inn'!$Z:$Z,F$13,'MASTER DSE OCT Inn'!$E:$E,SUMMARY!$C31)</f>
        <v>6</v>
      </c>
      <c r="G31" s="100">
        <f>COUNTIFS('MASTER DSE OCT Inn'!$Z:$Z,G$13,'MASTER DSE OCT Inn'!$E:$E,SUMMARY!$C31)</f>
        <v>0</v>
      </c>
      <c r="H31" s="100">
        <f>COUNTIFS('MASTER DSE OCT Inn'!$Z:$Z,H$13,'MASTER DSE OCT Inn'!$E:$E,SUMMARY!$C31)</f>
        <v>0</v>
      </c>
      <c r="I31" s="100">
        <f>COUNTIFS('MASTER DSE OCT Inn'!$Z:$Z,I$13,'MASTER DSE OCT Inn'!$E:$E,SUMMARY!$C31)</f>
        <v>0</v>
      </c>
      <c r="K31" s="100">
        <f>COUNTIFS('MASTER DSE OCT Inn'!$AA:$AA,K$13,'MASTER DSE OCT Inn'!$E:$E,SUMMARY!$C31)</f>
        <v>6</v>
      </c>
      <c r="L31" s="100">
        <f>COUNTIFS('MASTER DSE OCT Inn'!$AA:$AA,L$13,'MASTER DSE OCT Inn'!$E:$E,SUMMARY!$C31)</f>
        <v>0</v>
      </c>
      <c r="M31" s="100">
        <f>COUNTIFS('MASTER DSE OCT Inn'!$AA:$AA,M$13,'MASTER DSE OCT Inn'!$E:$E,SUMMARY!$C31)</f>
        <v>0</v>
      </c>
      <c r="N31" s="100">
        <f>COUNTIFS('MASTER DSE OCT Inn'!$AA:$AA,N$13,'MASTER DSE OCT Inn'!$E:$E,SUMMARY!$C31)</f>
        <v>0</v>
      </c>
    </row>
    <row r="32" spans="1:14" hidden="1">
      <c r="A32" s="51" t="s">
        <v>805</v>
      </c>
      <c r="B32" s="51" t="s">
        <v>838</v>
      </c>
      <c r="C32" s="97" t="s">
        <v>839</v>
      </c>
      <c r="D32" s="51">
        <f>COUNTIFS('MASTER DSE OCT Inn'!E:E,SUMMARY!C32)</f>
        <v>5</v>
      </c>
      <c r="F32" s="100">
        <f>COUNTIFS('MASTER DSE OCT Inn'!$Z:$Z,F$13,'MASTER DSE OCT Inn'!$E:$E,SUMMARY!$C32)</f>
        <v>5</v>
      </c>
      <c r="G32" s="100">
        <f>COUNTIFS('MASTER DSE OCT Inn'!$Z:$Z,G$13,'MASTER DSE OCT Inn'!$E:$E,SUMMARY!$C32)</f>
        <v>0</v>
      </c>
      <c r="H32" s="100">
        <f>COUNTIFS('MASTER DSE OCT Inn'!$Z:$Z,H$13,'MASTER DSE OCT Inn'!$E:$E,SUMMARY!$C32)</f>
        <v>0</v>
      </c>
      <c r="I32" s="100">
        <f>COUNTIFS('MASTER DSE OCT Inn'!$Z:$Z,I$13,'MASTER DSE OCT Inn'!$E:$E,SUMMARY!$C32)</f>
        <v>0</v>
      </c>
      <c r="K32" s="100">
        <f>COUNTIFS('MASTER DSE OCT Inn'!$AA:$AA,K$13,'MASTER DSE OCT Inn'!$E:$E,SUMMARY!$C32)</f>
        <v>4</v>
      </c>
      <c r="L32" s="100">
        <f>COUNTIFS('MASTER DSE OCT Inn'!$AA:$AA,L$13,'MASTER DSE OCT Inn'!$E:$E,SUMMARY!$C32)</f>
        <v>1</v>
      </c>
      <c r="M32" s="100">
        <f>COUNTIFS('MASTER DSE OCT Inn'!$AA:$AA,M$13,'MASTER DSE OCT Inn'!$E:$E,SUMMARY!$C32)</f>
        <v>0</v>
      </c>
      <c r="N32" s="100">
        <f>COUNTIFS('MASTER DSE OCT Inn'!$AA:$AA,N$13,'MASTER DSE OCT Inn'!$E:$E,SUMMARY!$C32)</f>
        <v>0</v>
      </c>
    </row>
    <row r="33" spans="1:14" hidden="1">
      <c r="A33" s="51" t="s">
        <v>805</v>
      </c>
      <c r="B33" s="51" t="s">
        <v>878</v>
      </c>
      <c r="C33" s="97" t="s">
        <v>879</v>
      </c>
      <c r="D33" s="51">
        <f>COUNTIFS('MASTER DSE OCT Inn'!E:E,SUMMARY!C33)</f>
        <v>6</v>
      </c>
      <c r="F33" s="100">
        <f>COUNTIFS('MASTER DSE OCT Inn'!$Z:$Z,F$13,'MASTER DSE OCT Inn'!$E:$E,SUMMARY!$C33)</f>
        <v>6</v>
      </c>
      <c r="G33" s="100">
        <f>COUNTIFS('MASTER DSE OCT Inn'!$Z:$Z,G$13,'MASTER DSE OCT Inn'!$E:$E,SUMMARY!$C33)</f>
        <v>0</v>
      </c>
      <c r="H33" s="100">
        <f>COUNTIFS('MASTER DSE OCT Inn'!$Z:$Z,H$13,'MASTER DSE OCT Inn'!$E:$E,SUMMARY!$C33)</f>
        <v>0</v>
      </c>
      <c r="I33" s="100">
        <f>COUNTIFS('MASTER DSE OCT Inn'!$Z:$Z,I$13,'MASTER DSE OCT Inn'!$E:$E,SUMMARY!$C33)</f>
        <v>0</v>
      </c>
      <c r="K33" s="100">
        <f>COUNTIFS('MASTER DSE OCT Inn'!$AA:$AA,K$13,'MASTER DSE OCT Inn'!$E:$E,SUMMARY!$C33)</f>
        <v>6</v>
      </c>
      <c r="L33" s="100">
        <f>COUNTIFS('MASTER DSE OCT Inn'!$AA:$AA,L$13,'MASTER DSE OCT Inn'!$E:$E,SUMMARY!$C33)</f>
        <v>0</v>
      </c>
      <c r="M33" s="100">
        <f>COUNTIFS('MASTER DSE OCT Inn'!$AA:$AA,M$13,'MASTER DSE OCT Inn'!$E:$E,SUMMARY!$C33)</f>
        <v>0</v>
      </c>
      <c r="N33" s="100">
        <f>COUNTIFS('MASTER DSE OCT Inn'!$AA:$AA,N$13,'MASTER DSE OCT Inn'!$E:$E,SUMMARY!$C33)</f>
        <v>0</v>
      </c>
    </row>
    <row r="34" spans="1:14" hidden="1">
      <c r="A34" s="51" t="s">
        <v>805</v>
      </c>
      <c r="B34" s="51" t="s">
        <v>806</v>
      </c>
      <c r="C34" s="97" t="s">
        <v>807</v>
      </c>
      <c r="D34" s="51">
        <f>COUNTIFS('MASTER DSE OCT Inn'!E:E,SUMMARY!C34)</f>
        <v>6</v>
      </c>
      <c r="F34" s="100">
        <f>COUNTIFS('MASTER DSE OCT Inn'!$Z:$Z,F$13,'MASTER DSE OCT Inn'!$E:$E,SUMMARY!$C34)</f>
        <v>6</v>
      </c>
      <c r="G34" s="100">
        <f>COUNTIFS('MASTER DSE OCT Inn'!$Z:$Z,G$13,'MASTER DSE OCT Inn'!$E:$E,SUMMARY!$C34)</f>
        <v>0</v>
      </c>
      <c r="H34" s="100">
        <f>COUNTIFS('MASTER DSE OCT Inn'!$Z:$Z,H$13,'MASTER DSE OCT Inn'!$E:$E,SUMMARY!$C34)</f>
        <v>0</v>
      </c>
      <c r="I34" s="100">
        <f>COUNTIFS('MASTER DSE OCT Inn'!$Z:$Z,I$13,'MASTER DSE OCT Inn'!$E:$E,SUMMARY!$C34)</f>
        <v>0</v>
      </c>
      <c r="K34" s="100">
        <f>COUNTIFS('MASTER DSE OCT Inn'!$AA:$AA,K$13,'MASTER DSE OCT Inn'!$E:$E,SUMMARY!$C34)</f>
        <v>3</v>
      </c>
      <c r="L34" s="100">
        <f>COUNTIFS('MASTER DSE OCT Inn'!$AA:$AA,L$13,'MASTER DSE OCT Inn'!$E:$E,SUMMARY!$C34)</f>
        <v>3</v>
      </c>
      <c r="M34" s="100">
        <f>COUNTIFS('MASTER DSE OCT Inn'!$AA:$AA,M$13,'MASTER DSE OCT Inn'!$E:$E,SUMMARY!$C34)</f>
        <v>0</v>
      </c>
      <c r="N34" s="100">
        <f>COUNTIFS('MASTER DSE OCT Inn'!$AA:$AA,N$13,'MASTER DSE OCT Inn'!$E:$E,SUMMARY!$C34)</f>
        <v>0</v>
      </c>
    </row>
    <row r="35" spans="1:14" hidden="1">
      <c r="A35" s="51" t="s">
        <v>805</v>
      </c>
      <c r="B35" s="51" t="s">
        <v>820</v>
      </c>
      <c r="C35" s="97" t="s">
        <v>821</v>
      </c>
      <c r="D35" s="51">
        <f>COUNTIFS('MASTER DSE OCT Inn'!E:E,SUMMARY!C35)</f>
        <v>5</v>
      </c>
      <c r="F35" s="100">
        <f>COUNTIFS('MASTER DSE OCT Inn'!$Z:$Z,F$13,'MASTER DSE OCT Inn'!$E:$E,SUMMARY!$C35)</f>
        <v>4</v>
      </c>
      <c r="G35" s="100">
        <f>COUNTIFS('MASTER DSE OCT Inn'!$Z:$Z,G$13,'MASTER DSE OCT Inn'!$E:$E,SUMMARY!$C35)</f>
        <v>0</v>
      </c>
      <c r="H35" s="100">
        <f>COUNTIFS('MASTER DSE OCT Inn'!$Z:$Z,H$13,'MASTER DSE OCT Inn'!$E:$E,SUMMARY!$C35)</f>
        <v>1</v>
      </c>
      <c r="I35" s="100">
        <f>COUNTIFS('MASTER DSE OCT Inn'!$Z:$Z,I$13,'MASTER DSE OCT Inn'!$E:$E,SUMMARY!$C35)</f>
        <v>0</v>
      </c>
      <c r="K35" s="100">
        <f>COUNTIFS('MASTER DSE OCT Inn'!$AA:$AA,K$13,'MASTER DSE OCT Inn'!$E:$E,SUMMARY!$C35)</f>
        <v>4</v>
      </c>
      <c r="L35" s="100">
        <f>COUNTIFS('MASTER DSE OCT Inn'!$AA:$AA,L$13,'MASTER DSE OCT Inn'!$E:$E,SUMMARY!$C35)</f>
        <v>1</v>
      </c>
      <c r="M35" s="100">
        <f>COUNTIFS('MASTER DSE OCT Inn'!$AA:$AA,M$13,'MASTER DSE OCT Inn'!$E:$E,SUMMARY!$C35)</f>
        <v>0</v>
      </c>
      <c r="N35" s="100">
        <f>COUNTIFS('MASTER DSE OCT Inn'!$AA:$AA,N$13,'MASTER DSE OCT Inn'!$E:$E,SUMMARY!$C35)</f>
        <v>0</v>
      </c>
    </row>
    <row r="36" spans="1:14" hidden="1">
      <c r="A36" s="51" t="s">
        <v>805</v>
      </c>
      <c r="B36" s="51" t="s">
        <v>866</v>
      </c>
      <c r="C36" s="97" t="s">
        <v>920</v>
      </c>
      <c r="D36" s="51">
        <f>COUNTIFS('MASTER DSE OCT Inn'!E:E,SUMMARY!C36)</f>
        <v>1</v>
      </c>
      <c r="F36" s="100">
        <f>COUNTIFS('MASTER DSE OCT Inn'!$Z:$Z,F$13,'MASTER DSE OCT Inn'!$E:$E,SUMMARY!$C36)</f>
        <v>0</v>
      </c>
      <c r="G36" s="100">
        <f>COUNTIFS('MASTER DSE OCT Inn'!$Z:$Z,G$13,'MASTER DSE OCT Inn'!$E:$E,SUMMARY!$C36)</f>
        <v>0</v>
      </c>
      <c r="H36" s="100">
        <f>COUNTIFS('MASTER DSE OCT Inn'!$Z:$Z,H$13,'MASTER DSE OCT Inn'!$E:$E,SUMMARY!$C36)</f>
        <v>1</v>
      </c>
      <c r="I36" s="100">
        <f>COUNTIFS('MASTER DSE OCT Inn'!$Z:$Z,I$13,'MASTER DSE OCT Inn'!$E:$E,SUMMARY!$C36)</f>
        <v>0</v>
      </c>
      <c r="K36" s="100">
        <f>COUNTIFS('MASTER DSE OCT Inn'!$AA:$AA,K$13,'MASTER DSE OCT Inn'!$E:$E,SUMMARY!$C36)</f>
        <v>1</v>
      </c>
      <c r="L36" s="100">
        <f>COUNTIFS('MASTER DSE OCT Inn'!$AA:$AA,L$13,'MASTER DSE OCT Inn'!$E:$E,SUMMARY!$C36)</f>
        <v>0</v>
      </c>
      <c r="M36" s="100">
        <f>COUNTIFS('MASTER DSE OCT Inn'!$AA:$AA,M$13,'MASTER DSE OCT Inn'!$E:$E,SUMMARY!$C36)</f>
        <v>0</v>
      </c>
      <c r="N36" s="100">
        <f>COUNTIFS('MASTER DSE OCT Inn'!$AA:$AA,N$13,'MASTER DSE OCT Inn'!$E:$E,SUMMARY!$C36)</f>
        <v>0</v>
      </c>
    </row>
    <row r="37" spans="1:14" hidden="1">
      <c r="A37" s="51" t="s">
        <v>805</v>
      </c>
      <c r="B37" s="51" t="s">
        <v>866</v>
      </c>
      <c r="C37" s="97" t="s">
        <v>867</v>
      </c>
      <c r="D37" s="51">
        <f>COUNTIFS('MASTER DSE OCT Inn'!E:E,SUMMARY!C37)</f>
        <v>5</v>
      </c>
      <c r="F37" s="100">
        <f>COUNTIFS('MASTER DSE OCT Inn'!$Z:$Z,F$13,'MASTER DSE OCT Inn'!$E:$E,SUMMARY!$C37)</f>
        <v>5</v>
      </c>
      <c r="G37" s="100">
        <f>COUNTIFS('MASTER DSE OCT Inn'!$Z:$Z,G$13,'MASTER DSE OCT Inn'!$E:$E,SUMMARY!$C37)</f>
        <v>0</v>
      </c>
      <c r="H37" s="100">
        <f>COUNTIFS('MASTER DSE OCT Inn'!$Z:$Z,H$13,'MASTER DSE OCT Inn'!$E:$E,SUMMARY!$C37)</f>
        <v>0</v>
      </c>
      <c r="I37" s="100">
        <f>COUNTIFS('MASTER DSE OCT Inn'!$Z:$Z,I$13,'MASTER DSE OCT Inn'!$E:$E,SUMMARY!$C37)</f>
        <v>0</v>
      </c>
      <c r="K37" s="100">
        <f>COUNTIFS('MASTER DSE OCT Inn'!$AA:$AA,K$13,'MASTER DSE OCT Inn'!$E:$E,SUMMARY!$C37)</f>
        <v>5</v>
      </c>
      <c r="L37" s="100">
        <f>COUNTIFS('MASTER DSE OCT Inn'!$AA:$AA,L$13,'MASTER DSE OCT Inn'!$E:$E,SUMMARY!$C37)</f>
        <v>0</v>
      </c>
      <c r="M37" s="100">
        <f>COUNTIFS('MASTER DSE OCT Inn'!$AA:$AA,M$13,'MASTER DSE OCT Inn'!$E:$E,SUMMARY!$C37)</f>
        <v>0</v>
      </c>
      <c r="N37" s="100">
        <f>COUNTIFS('MASTER DSE OCT Inn'!$AA:$AA,N$13,'MASTER DSE OCT Inn'!$E:$E,SUMMARY!$C37)</f>
        <v>0</v>
      </c>
    </row>
    <row r="38" spans="1:14" hidden="1">
      <c r="A38" s="51" t="s">
        <v>805</v>
      </c>
      <c r="B38" s="51" t="s">
        <v>1386</v>
      </c>
      <c r="C38" s="97" t="s">
        <v>1387</v>
      </c>
      <c r="D38" s="51">
        <f>COUNTIFS('MASTER DSE OCT Inn'!E:E,SUMMARY!C38)</f>
        <v>7</v>
      </c>
      <c r="F38" s="100">
        <f>COUNTIFS('MASTER DSE OCT Inn'!$Z:$Z,F$13,'MASTER DSE OCT Inn'!$E:$E,SUMMARY!$C38)</f>
        <v>7</v>
      </c>
      <c r="G38" s="100">
        <f>COUNTIFS('MASTER DSE OCT Inn'!$Z:$Z,G$13,'MASTER DSE OCT Inn'!$E:$E,SUMMARY!$C38)</f>
        <v>0</v>
      </c>
      <c r="H38" s="100">
        <f>COUNTIFS('MASTER DSE OCT Inn'!$Z:$Z,H$13,'MASTER DSE OCT Inn'!$E:$E,SUMMARY!$C38)</f>
        <v>0</v>
      </c>
      <c r="I38" s="100">
        <f>COUNTIFS('MASTER DSE OCT Inn'!$Z:$Z,I$13,'MASTER DSE OCT Inn'!$E:$E,SUMMARY!$C38)</f>
        <v>0</v>
      </c>
      <c r="K38" s="100">
        <f>COUNTIFS('MASTER DSE OCT Inn'!$AA:$AA,K$13,'MASTER DSE OCT Inn'!$E:$E,SUMMARY!$C38)</f>
        <v>7</v>
      </c>
      <c r="L38" s="100">
        <f>COUNTIFS('MASTER DSE OCT Inn'!$AA:$AA,L$13,'MASTER DSE OCT Inn'!$E:$E,SUMMARY!$C38)</f>
        <v>0</v>
      </c>
      <c r="M38" s="100">
        <f>COUNTIFS('MASTER DSE OCT Inn'!$AA:$AA,M$13,'MASTER DSE OCT Inn'!$E:$E,SUMMARY!$C38)</f>
        <v>0</v>
      </c>
      <c r="N38" s="100">
        <f>COUNTIFS('MASTER DSE OCT Inn'!$AA:$AA,N$13,'MASTER DSE OCT Inn'!$E:$E,SUMMARY!$C38)</f>
        <v>0</v>
      </c>
    </row>
    <row r="39" spans="1:14" hidden="1">
      <c r="A39" s="51" t="s">
        <v>2751</v>
      </c>
      <c r="B39" s="51" t="s">
        <v>641</v>
      </c>
      <c r="C39" s="97" t="s">
        <v>642</v>
      </c>
      <c r="D39" s="51">
        <f>COUNTIFS('MASTER DSE OCT Inn'!E:E,SUMMARY!C39)</f>
        <v>9</v>
      </c>
      <c r="F39" s="100">
        <f>COUNTIFS('MASTER DSE OCT Inn'!$Z:$Z,F$13,'MASTER DSE OCT Inn'!$E:$E,SUMMARY!$C39)</f>
        <v>8</v>
      </c>
      <c r="G39" s="100">
        <f>COUNTIFS('MASTER DSE OCT Inn'!$Z:$Z,G$13,'MASTER DSE OCT Inn'!$E:$E,SUMMARY!$C39)</f>
        <v>1</v>
      </c>
      <c r="H39" s="100">
        <f>COUNTIFS('MASTER DSE OCT Inn'!$Z:$Z,H$13,'MASTER DSE OCT Inn'!$E:$E,SUMMARY!$C39)</f>
        <v>0</v>
      </c>
      <c r="I39" s="100">
        <f>COUNTIFS('MASTER DSE OCT Inn'!$Z:$Z,I$13,'MASTER DSE OCT Inn'!$E:$E,SUMMARY!$C39)</f>
        <v>0</v>
      </c>
      <c r="K39" s="100">
        <f>COUNTIFS('MASTER DSE OCT Inn'!$AA:$AA,K$13,'MASTER DSE OCT Inn'!$E:$E,SUMMARY!$C39)</f>
        <v>7</v>
      </c>
      <c r="L39" s="100">
        <f>COUNTIFS('MASTER DSE OCT Inn'!$AA:$AA,L$13,'MASTER DSE OCT Inn'!$E:$E,SUMMARY!$C39)</f>
        <v>1</v>
      </c>
      <c r="M39" s="100">
        <f>COUNTIFS('MASTER DSE OCT Inn'!$AA:$AA,M$13,'MASTER DSE OCT Inn'!$E:$E,SUMMARY!$C39)</f>
        <v>1</v>
      </c>
      <c r="N39" s="100">
        <f>COUNTIFS('MASTER DSE OCT Inn'!$AA:$AA,N$13,'MASTER DSE OCT Inn'!$E:$E,SUMMARY!$C39)</f>
        <v>0</v>
      </c>
    </row>
    <row r="40" spans="1:14" hidden="1">
      <c r="A40" s="51" t="s">
        <v>2751</v>
      </c>
      <c r="B40" s="51" t="s">
        <v>151</v>
      </c>
      <c r="C40" s="97" t="s">
        <v>932</v>
      </c>
      <c r="D40" s="51">
        <f>COUNTIFS('MASTER DSE OCT Inn'!E:E,SUMMARY!C40)</f>
        <v>1</v>
      </c>
      <c r="F40" s="100">
        <f>COUNTIFS('MASTER DSE OCT Inn'!$Z:$Z,F$13,'MASTER DSE OCT Inn'!$E:$E,SUMMARY!$C40)</f>
        <v>1</v>
      </c>
      <c r="G40" s="100">
        <f>COUNTIFS('MASTER DSE OCT Inn'!$Z:$Z,G$13,'MASTER DSE OCT Inn'!$E:$E,SUMMARY!$C40)</f>
        <v>0</v>
      </c>
      <c r="H40" s="100">
        <f>COUNTIFS('MASTER DSE OCT Inn'!$Z:$Z,H$13,'MASTER DSE OCT Inn'!$E:$E,SUMMARY!$C40)</f>
        <v>0</v>
      </c>
      <c r="I40" s="100">
        <f>COUNTIFS('MASTER DSE OCT Inn'!$Z:$Z,I$13,'MASTER DSE OCT Inn'!$E:$E,SUMMARY!$C40)</f>
        <v>0</v>
      </c>
      <c r="K40" s="100">
        <f>COUNTIFS('MASTER DSE OCT Inn'!$AA:$AA,K$13,'MASTER DSE OCT Inn'!$E:$E,SUMMARY!$C40)</f>
        <v>1</v>
      </c>
      <c r="L40" s="100">
        <f>COUNTIFS('MASTER DSE OCT Inn'!$AA:$AA,L$13,'MASTER DSE OCT Inn'!$E:$E,SUMMARY!$C40)</f>
        <v>0</v>
      </c>
      <c r="M40" s="100">
        <f>COUNTIFS('MASTER DSE OCT Inn'!$AA:$AA,M$13,'MASTER DSE OCT Inn'!$E:$E,SUMMARY!$C40)</f>
        <v>0</v>
      </c>
      <c r="N40" s="100">
        <f>COUNTIFS('MASTER DSE OCT Inn'!$AA:$AA,N$13,'MASTER DSE OCT Inn'!$E:$E,SUMMARY!$C40)</f>
        <v>0</v>
      </c>
    </row>
    <row r="41" spans="1:14" hidden="1">
      <c r="A41" s="51" t="s">
        <v>2751</v>
      </c>
      <c r="B41" s="51" t="s">
        <v>151</v>
      </c>
      <c r="C41" s="97" t="s">
        <v>152</v>
      </c>
      <c r="D41" s="51">
        <f>COUNTIFS('MASTER DSE OCT Inn'!E:E,SUMMARY!C41)</f>
        <v>5</v>
      </c>
      <c r="F41" s="100">
        <f>COUNTIFS('MASTER DSE OCT Inn'!$Z:$Z,F$13,'MASTER DSE OCT Inn'!$E:$E,SUMMARY!$C41)</f>
        <v>5</v>
      </c>
      <c r="G41" s="100">
        <f>COUNTIFS('MASTER DSE OCT Inn'!$Z:$Z,G$13,'MASTER DSE OCT Inn'!$E:$E,SUMMARY!$C41)</f>
        <v>0</v>
      </c>
      <c r="H41" s="100">
        <f>COUNTIFS('MASTER DSE OCT Inn'!$Z:$Z,H$13,'MASTER DSE OCT Inn'!$E:$E,SUMMARY!$C41)</f>
        <v>0</v>
      </c>
      <c r="I41" s="100">
        <f>COUNTIFS('MASTER DSE OCT Inn'!$Z:$Z,I$13,'MASTER DSE OCT Inn'!$E:$E,SUMMARY!$C41)</f>
        <v>0</v>
      </c>
      <c r="K41" s="100">
        <f>COUNTIFS('MASTER DSE OCT Inn'!$AA:$AA,K$13,'MASTER DSE OCT Inn'!$E:$E,SUMMARY!$C41)</f>
        <v>5</v>
      </c>
      <c r="L41" s="100">
        <f>COUNTIFS('MASTER DSE OCT Inn'!$AA:$AA,L$13,'MASTER DSE OCT Inn'!$E:$E,SUMMARY!$C41)</f>
        <v>0</v>
      </c>
      <c r="M41" s="100">
        <f>COUNTIFS('MASTER DSE OCT Inn'!$AA:$AA,M$13,'MASTER DSE OCT Inn'!$E:$E,SUMMARY!$C41)</f>
        <v>0</v>
      </c>
      <c r="N41" s="100">
        <f>COUNTIFS('MASTER DSE OCT Inn'!$AA:$AA,N$13,'MASTER DSE OCT Inn'!$E:$E,SUMMARY!$C41)</f>
        <v>0</v>
      </c>
    </row>
    <row r="42" spans="1:14" hidden="1">
      <c r="A42" s="51" t="s">
        <v>2751</v>
      </c>
      <c r="B42" s="51" t="s">
        <v>631</v>
      </c>
      <c r="C42" s="97" t="s">
        <v>632</v>
      </c>
      <c r="D42" s="51">
        <f>COUNTIFS('MASTER DSE OCT Inn'!E:E,SUMMARY!C42)</f>
        <v>7</v>
      </c>
      <c r="F42" s="100">
        <f>COUNTIFS('MASTER DSE OCT Inn'!$Z:$Z,F$13,'MASTER DSE OCT Inn'!$E:$E,SUMMARY!$C42)</f>
        <v>7</v>
      </c>
      <c r="G42" s="100">
        <f>COUNTIFS('MASTER DSE OCT Inn'!$Z:$Z,G$13,'MASTER DSE OCT Inn'!$E:$E,SUMMARY!$C42)</f>
        <v>0</v>
      </c>
      <c r="H42" s="100">
        <f>COUNTIFS('MASTER DSE OCT Inn'!$Z:$Z,H$13,'MASTER DSE OCT Inn'!$E:$E,SUMMARY!$C42)</f>
        <v>0</v>
      </c>
      <c r="I42" s="100">
        <f>COUNTIFS('MASTER DSE OCT Inn'!$Z:$Z,I$13,'MASTER DSE OCT Inn'!$E:$E,SUMMARY!$C42)</f>
        <v>0</v>
      </c>
      <c r="K42" s="100">
        <f>COUNTIFS('MASTER DSE OCT Inn'!$AA:$AA,K$13,'MASTER DSE OCT Inn'!$E:$E,SUMMARY!$C42)</f>
        <v>7</v>
      </c>
      <c r="L42" s="100">
        <f>COUNTIFS('MASTER DSE OCT Inn'!$AA:$AA,L$13,'MASTER DSE OCT Inn'!$E:$E,SUMMARY!$C42)</f>
        <v>0</v>
      </c>
      <c r="M42" s="100">
        <f>COUNTIFS('MASTER DSE OCT Inn'!$AA:$AA,M$13,'MASTER DSE OCT Inn'!$E:$E,SUMMARY!$C42)</f>
        <v>0</v>
      </c>
      <c r="N42" s="100">
        <f>COUNTIFS('MASTER DSE OCT Inn'!$AA:$AA,N$13,'MASTER DSE OCT Inn'!$E:$E,SUMMARY!$C42)</f>
        <v>0</v>
      </c>
    </row>
    <row r="43" spans="1:14" hidden="1">
      <c r="A43" s="51" t="s">
        <v>2751</v>
      </c>
      <c r="B43" s="51" t="s">
        <v>131</v>
      </c>
      <c r="C43" s="97" t="s">
        <v>132</v>
      </c>
      <c r="D43" s="51">
        <f>COUNTIFS('MASTER DSE OCT Inn'!E:E,SUMMARY!C43)</f>
        <v>7</v>
      </c>
      <c r="F43" s="100">
        <f>COUNTIFS('MASTER DSE OCT Inn'!$Z:$Z,F$13,'MASTER DSE OCT Inn'!$E:$E,SUMMARY!$C43)</f>
        <v>7</v>
      </c>
      <c r="G43" s="100">
        <f>COUNTIFS('MASTER DSE OCT Inn'!$Z:$Z,G$13,'MASTER DSE OCT Inn'!$E:$E,SUMMARY!$C43)</f>
        <v>0</v>
      </c>
      <c r="H43" s="100">
        <f>COUNTIFS('MASTER DSE OCT Inn'!$Z:$Z,H$13,'MASTER DSE OCT Inn'!$E:$E,SUMMARY!$C43)</f>
        <v>0</v>
      </c>
      <c r="I43" s="100">
        <f>COUNTIFS('MASTER DSE OCT Inn'!$Z:$Z,I$13,'MASTER DSE OCT Inn'!$E:$E,SUMMARY!$C43)</f>
        <v>0</v>
      </c>
      <c r="K43" s="100">
        <f>COUNTIFS('MASTER DSE OCT Inn'!$AA:$AA,K$13,'MASTER DSE OCT Inn'!$E:$E,SUMMARY!$C43)</f>
        <v>5</v>
      </c>
      <c r="L43" s="100">
        <f>COUNTIFS('MASTER DSE OCT Inn'!$AA:$AA,L$13,'MASTER DSE OCT Inn'!$E:$E,SUMMARY!$C43)</f>
        <v>2</v>
      </c>
      <c r="M43" s="100">
        <f>COUNTIFS('MASTER DSE OCT Inn'!$AA:$AA,M$13,'MASTER DSE OCT Inn'!$E:$E,SUMMARY!$C43)</f>
        <v>0</v>
      </c>
      <c r="N43" s="100">
        <f>COUNTIFS('MASTER DSE OCT Inn'!$AA:$AA,N$13,'MASTER DSE OCT Inn'!$E:$E,SUMMARY!$C43)</f>
        <v>0</v>
      </c>
    </row>
    <row r="44" spans="1:14" hidden="1">
      <c r="A44" s="51" t="s">
        <v>2752</v>
      </c>
      <c r="B44" s="51" t="s">
        <v>251</v>
      </c>
      <c r="C44" s="97" t="s">
        <v>252</v>
      </c>
      <c r="D44" s="51">
        <f>COUNTIFS('MASTER DSE OCT Inn'!E:E,SUMMARY!C44)</f>
        <v>9</v>
      </c>
      <c r="F44" s="100">
        <f>COUNTIFS('MASTER DSE OCT Inn'!$Z:$Z,F$13,'MASTER DSE OCT Inn'!$E:$E,SUMMARY!$C44)</f>
        <v>8</v>
      </c>
      <c r="G44" s="100">
        <f>COUNTIFS('MASTER DSE OCT Inn'!$Z:$Z,G$13,'MASTER DSE OCT Inn'!$E:$E,SUMMARY!$C44)</f>
        <v>1</v>
      </c>
      <c r="H44" s="100">
        <f>COUNTIFS('MASTER DSE OCT Inn'!$Z:$Z,H$13,'MASTER DSE OCT Inn'!$E:$E,SUMMARY!$C44)</f>
        <v>0</v>
      </c>
      <c r="I44" s="100">
        <f>COUNTIFS('MASTER DSE OCT Inn'!$Z:$Z,I$13,'MASTER DSE OCT Inn'!$E:$E,SUMMARY!$C44)</f>
        <v>0</v>
      </c>
      <c r="K44" s="100">
        <f>COUNTIFS('MASTER DSE OCT Inn'!$AA:$AA,K$13,'MASTER DSE OCT Inn'!$E:$E,SUMMARY!$C44)</f>
        <v>7</v>
      </c>
      <c r="L44" s="100">
        <f>COUNTIFS('MASTER DSE OCT Inn'!$AA:$AA,L$13,'MASTER DSE OCT Inn'!$E:$E,SUMMARY!$C44)</f>
        <v>2</v>
      </c>
      <c r="M44" s="100">
        <f>COUNTIFS('MASTER DSE OCT Inn'!$AA:$AA,M$13,'MASTER DSE OCT Inn'!$E:$E,SUMMARY!$C44)</f>
        <v>0</v>
      </c>
      <c r="N44" s="100">
        <f>COUNTIFS('MASTER DSE OCT Inn'!$AA:$AA,N$13,'MASTER DSE OCT Inn'!$E:$E,SUMMARY!$C44)</f>
        <v>0</v>
      </c>
    </row>
    <row r="45" spans="1:14" hidden="1">
      <c r="A45" s="51" t="s">
        <v>2752</v>
      </c>
      <c r="B45" s="51" t="s">
        <v>181</v>
      </c>
      <c r="C45" s="97" t="s">
        <v>182</v>
      </c>
      <c r="D45" s="51">
        <f>COUNTIFS('MASTER DSE OCT Inn'!E:E,SUMMARY!C45)</f>
        <v>9</v>
      </c>
      <c r="F45" s="100">
        <f>COUNTIFS('MASTER DSE OCT Inn'!$Z:$Z,F$13,'MASTER DSE OCT Inn'!$E:$E,SUMMARY!$C45)</f>
        <v>8</v>
      </c>
      <c r="G45" s="100">
        <f>COUNTIFS('MASTER DSE OCT Inn'!$Z:$Z,G$13,'MASTER DSE OCT Inn'!$E:$E,SUMMARY!$C45)</f>
        <v>0</v>
      </c>
      <c r="H45" s="100">
        <f>COUNTIFS('MASTER DSE OCT Inn'!$Z:$Z,H$13,'MASTER DSE OCT Inn'!$E:$E,SUMMARY!$C45)</f>
        <v>1</v>
      </c>
      <c r="I45" s="100">
        <f>COUNTIFS('MASTER DSE OCT Inn'!$Z:$Z,I$13,'MASTER DSE OCT Inn'!$E:$E,SUMMARY!$C45)</f>
        <v>0</v>
      </c>
      <c r="K45" s="100">
        <f>COUNTIFS('MASTER DSE OCT Inn'!$AA:$AA,K$13,'MASTER DSE OCT Inn'!$E:$E,SUMMARY!$C45)</f>
        <v>8</v>
      </c>
      <c r="L45" s="100">
        <f>COUNTIFS('MASTER DSE OCT Inn'!$AA:$AA,L$13,'MASTER DSE OCT Inn'!$E:$E,SUMMARY!$C45)</f>
        <v>1</v>
      </c>
      <c r="M45" s="100">
        <f>COUNTIFS('MASTER DSE OCT Inn'!$AA:$AA,M$13,'MASTER DSE OCT Inn'!$E:$E,SUMMARY!$C45)</f>
        <v>0</v>
      </c>
      <c r="N45" s="100">
        <f>COUNTIFS('MASTER DSE OCT Inn'!$AA:$AA,N$13,'MASTER DSE OCT Inn'!$E:$E,SUMMARY!$C45)</f>
        <v>0</v>
      </c>
    </row>
    <row r="46" spans="1:14" hidden="1">
      <c r="A46" s="51" t="s">
        <v>2752</v>
      </c>
      <c r="B46" s="51" t="s">
        <v>161</v>
      </c>
      <c r="C46" s="97" t="s">
        <v>162</v>
      </c>
      <c r="D46" s="51">
        <f>COUNTIFS('MASTER DSE OCT Inn'!E:E,SUMMARY!C46)</f>
        <v>12</v>
      </c>
      <c r="F46" s="100">
        <f>COUNTIFS('MASTER DSE OCT Inn'!$Z:$Z,F$13,'MASTER DSE OCT Inn'!$E:$E,SUMMARY!$C46)</f>
        <v>12</v>
      </c>
      <c r="G46" s="100">
        <f>COUNTIFS('MASTER DSE OCT Inn'!$Z:$Z,G$13,'MASTER DSE OCT Inn'!$E:$E,SUMMARY!$C46)</f>
        <v>0</v>
      </c>
      <c r="H46" s="100">
        <f>COUNTIFS('MASTER DSE OCT Inn'!$Z:$Z,H$13,'MASTER DSE OCT Inn'!$E:$E,SUMMARY!$C46)</f>
        <v>0</v>
      </c>
      <c r="I46" s="100">
        <f>COUNTIFS('MASTER DSE OCT Inn'!$Z:$Z,I$13,'MASTER DSE OCT Inn'!$E:$E,SUMMARY!$C46)</f>
        <v>0</v>
      </c>
      <c r="K46" s="100">
        <f>COUNTIFS('MASTER DSE OCT Inn'!$AA:$AA,K$13,'MASTER DSE OCT Inn'!$E:$E,SUMMARY!$C46)</f>
        <v>10</v>
      </c>
      <c r="L46" s="100">
        <f>COUNTIFS('MASTER DSE OCT Inn'!$AA:$AA,L$13,'MASTER DSE OCT Inn'!$E:$E,SUMMARY!$C46)</f>
        <v>2</v>
      </c>
      <c r="M46" s="100">
        <f>COUNTIFS('MASTER DSE OCT Inn'!$AA:$AA,M$13,'MASTER DSE OCT Inn'!$E:$E,SUMMARY!$C46)</f>
        <v>0</v>
      </c>
      <c r="N46" s="100">
        <f>COUNTIFS('MASTER DSE OCT Inn'!$AA:$AA,N$13,'MASTER DSE OCT Inn'!$E:$E,SUMMARY!$C46)</f>
        <v>0</v>
      </c>
    </row>
    <row r="47" spans="1:14" hidden="1">
      <c r="A47" s="51" t="s">
        <v>2751</v>
      </c>
      <c r="B47" s="51" t="s">
        <v>82</v>
      </c>
      <c r="C47" s="97" t="s">
        <v>83</v>
      </c>
      <c r="D47" s="51">
        <f>COUNTIFS('MASTER DSE OCT Inn'!E:E,SUMMARY!C47)</f>
        <v>8</v>
      </c>
      <c r="F47" s="100">
        <f>COUNTIFS('MASTER DSE OCT Inn'!$Z:$Z,F$13,'MASTER DSE OCT Inn'!$E:$E,SUMMARY!$C47)</f>
        <v>8</v>
      </c>
      <c r="G47" s="100">
        <f>COUNTIFS('MASTER DSE OCT Inn'!$Z:$Z,G$13,'MASTER DSE OCT Inn'!$E:$E,SUMMARY!$C47)</f>
        <v>0</v>
      </c>
      <c r="H47" s="100">
        <f>COUNTIFS('MASTER DSE OCT Inn'!$Z:$Z,H$13,'MASTER DSE OCT Inn'!$E:$E,SUMMARY!$C47)</f>
        <v>0</v>
      </c>
      <c r="I47" s="100">
        <f>COUNTIFS('MASTER DSE OCT Inn'!$Z:$Z,I$13,'MASTER DSE OCT Inn'!$E:$E,SUMMARY!$C47)</f>
        <v>0</v>
      </c>
      <c r="K47" s="100">
        <f>COUNTIFS('MASTER DSE OCT Inn'!$AA:$AA,K$13,'MASTER DSE OCT Inn'!$E:$E,SUMMARY!$C47)</f>
        <v>8</v>
      </c>
      <c r="L47" s="100">
        <f>COUNTIFS('MASTER DSE OCT Inn'!$AA:$AA,L$13,'MASTER DSE OCT Inn'!$E:$E,SUMMARY!$C47)</f>
        <v>0</v>
      </c>
      <c r="M47" s="100">
        <f>COUNTIFS('MASTER DSE OCT Inn'!$AA:$AA,M$13,'MASTER DSE OCT Inn'!$E:$E,SUMMARY!$C47)</f>
        <v>0</v>
      </c>
      <c r="N47" s="100">
        <f>COUNTIFS('MASTER DSE OCT Inn'!$AA:$AA,N$13,'MASTER DSE OCT Inn'!$E:$E,SUMMARY!$C47)</f>
        <v>0</v>
      </c>
    </row>
    <row r="48" spans="1:14" hidden="1">
      <c r="A48" s="51" t="s">
        <v>2751</v>
      </c>
      <c r="B48" s="51" t="s">
        <v>292</v>
      </c>
      <c r="C48" s="97" t="s">
        <v>293</v>
      </c>
      <c r="D48" s="51">
        <f>COUNTIFS('MASTER DSE OCT Inn'!E:E,SUMMARY!C48)</f>
        <v>5</v>
      </c>
      <c r="F48" s="100">
        <f>COUNTIFS('MASTER DSE OCT Inn'!$Z:$Z,F$13,'MASTER DSE OCT Inn'!$E:$E,SUMMARY!$C48)</f>
        <v>5</v>
      </c>
      <c r="G48" s="100">
        <f>COUNTIFS('MASTER DSE OCT Inn'!$Z:$Z,G$13,'MASTER DSE OCT Inn'!$E:$E,SUMMARY!$C48)</f>
        <v>0</v>
      </c>
      <c r="H48" s="100">
        <f>COUNTIFS('MASTER DSE OCT Inn'!$Z:$Z,H$13,'MASTER DSE OCT Inn'!$E:$E,SUMMARY!$C48)</f>
        <v>0</v>
      </c>
      <c r="I48" s="100">
        <f>COUNTIFS('MASTER DSE OCT Inn'!$Z:$Z,I$13,'MASTER DSE OCT Inn'!$E:$E,SUMMARY!$C48)</f>
        <v>0</v>
      </c>
      <c r="K48" s="100">
        <f>COUNTIFS('MASTER DSE OCT Inn'!$AA:$AA,K$13,'MASTER DSE OCT Inn'!$E:$E,SUMMARY!$C48)</f>
        <v>5</v>
      </c>
      <c r="L48" s="100">
        <f>COUNTIFS('MASTER DSE OCT Inn'!$AA:$AA,L$13,'MASTER DSE OCT Inn'!$E:$E,SUMMARY!$C48)</f>
        <v>0</v>
      </c>
      <c r="M48" s="100">
        <f>COUNTIFS('MASTER DSE OCT Inn'!$AA:$AA,M$13,'MASTER DSE OCT Inn'!$E:$E,SUMMARY!$C48)</f>
        <v>0</v>
      </c>
      <c r="N48" s="100">
        <f>COUNTIFS('MASTER DSE OCT Inn'!$AA:$AA,N$13,'MASTER DSE OCT Inn'!$E:$E,SUMMARY!$C48)</f>
        <v>0</v>
      </c>
    </row>
    <row r="49" spans="1:14" hidden="1">
      <c r="A49" s="51" t="s">
        <v>2751</v>
      </c>
      <c r="B49" s="51" t="s">
        <v>292</v>
      </c>
      <c r="C49" s="97" t="s">
        <v>789</v>
      </c>
      <c r="D49" s="51">
        <f>COUNTIFS('MASTER DSE OCT Inn'!E:E,SUMMARY!C49)</f>
        <v>2</v>
      </c>
      <c r="F49" s="100">
        <f>COUNTIFS('MASTER DSE OCT Inn'!$Z:$Z,F$13,'MASTER DSE OCT Inn'!$E:$E,SUMMARY!$C49)</f>
        <v>2</v>
      </c>
      <c r="G49" s="100">
        <f>COUNTIFS('MASTER DSE OCT Inn'!$Z:$Z,G$13,'MASTER DSE OCT Inn'!$E:$E,SUMMARY!$C49)</f>
        <v>0</v>
      </c>
      <c r="H49" s="100">
        <f>COUNTIFS('MASTER DSE OCT Inn'!$Z:$Z,H$13,'MASTER DSE OCT Inn'!$E:$E,SUMMARY!$C49)</f>
        <v>0</v>
      </c>
      <c r="I49" s="100">
        <f>COUNTIFS('MASTER DSE OCT Inn'!$Z:$Z,I$13,'MASTER DSE OCT Inn'!$E:$E,SUMMARY!$C49)</f>
        <v>0</v>
      </c>
      <c r="K49" s="100">
        <f>COUNTIFS('MASTER DSE OCT Inn'!$AA:$AA,K$13,'MASTER DSE OCT Inn'!$E:$E,SUMMARY!$C49)</f>
        <v>0</v>
      </c>
      <c r="L49" s="100">
        <f>COUNTIFS('MASTER DSE OCT Inn'!$AA:$AA,L$13,'MASTER DSE OCT Inn'!$E:$E,SUMMARY!$C49)</f>
        <v>1</v>
      </c>
      <c r="M49" s="100">
        <f>COUNTIFS('MASTER DSE OCT Inn'!$AA:$AA,M$13,'MASTER DSE OCT Inn'!$E:$E,SUMMARY!$C49)</f>
        <v>0</v>
      </c>
      <c r="N49" s="100">
        <f>COUNTIFS('MASTER DSE OCT Inn'!$AA:$AA,N$13,'MASTER DSE OCT Inn'!$E:$E,SUMMARY!$C49)</f>
        <v>1</v>
      </c>
    </row>
    <row r="50" spans="1:14" hidden="1">
      <c r="A50" s="51" t="s">
        <v>22</v>
      </c>
      <c r="B50" s="51" t="s">
        <v>443</v>
      </c>
      <c r="C50" s="97" t="s">
        <v>24</v>
      </c>
      <c r="D50" s="51">
        <f>COUNTIFS('MASTER DSE OCT Inn'!E:E,SUMMARY!C50)</f>
        <v>10</v>
      </c>
      <c r="F50" s="100">
        <f>COUNTIFS('MASTER DSE OCT Inn'!$Z:$Z,F$13,'MASTER DSE OCT Inn'!$E:$E,SUMMARY!$C50)</f>
        <v>10</v>
      </c>
      <c r="G50" s="100">
        <f>COUNTIFS('MASTER DSE OCT Inn'!$Z:$Z,G$13,'MASTER DSE OCT Inn'!$E:$E,SUMMARY!$C50)</f>
        <v>0</v>
      </c>
      <c r="H50" s="100">
        <f>COUNTIFS('MASTER DSE OCT Inn'!$Z:$Z,H$13,'MASTER DSE OCT Inn'!$E:$E,SUMMARY!$C50)</f>
        <v>0</v>
      </c>
      <c r="I50" s="100">
        <f>COUNTIFS('MASTER DSE OCT Inn'!$Z:$Z,I$13,'MASTER DSE OCT Inn'!$E:$E,SUMMARY!$C50)</f>
        <v>0</v>
      </c>
      <c r="K50" s="100">
        <f>COUNTIFS('MASTER DSE OCT Inn'!$AA:$AA,K$13,'MASTER DSE OCT Inn'!$E:$E,SUMMARY!$C50)</f>
        <v>6</v>
      </c>
      <c r="L50" s="100">
        <f>COUNTIFS('MASTER DSE OCT Inn'!$AA:$AA,L$13,'MASTER DSE OCT Inn'!$E:$E,SUMMARY!$C50)</f>
        <v>4</v>
      </c>
      <c r="M50" s="100">
        <f>COUNTIFS('MASTER DSE OCT Inn'!$AA:$AA,M$13,'MASTER DSE OCT Inn'!$E:$E,SUMMARY!$C50)</f>
        <v>0</v>
      </c>
      <c r="N50" s="100">
        <f>COUNTIFS('MASTER DSE OCT Inn'!$AA:$AA,N$13,'MASTER DSE OCT Inn'!$E:$E,SUMMARY!$C50)</f>
        <v>0</v>
      </c>
    </row>
    <row r="51" spans="1:14" hidden="1">
      <c r="A51" s="51" t="s">
        <v>22</v>
      </c>
      <c r="B51" s="51" t="s">
        <v>470</v>
      </c>
      <c r="C51" s="97" t="s">
        <v>471</v>
      </c>
      <c r="D51" s="51">
        <f>COUNTIFS('MASTER DSE OCT Inn'!E:E,SUMMARY!C51)</f>
        <v>8</v>
      </c>
      <c r="F51" s="100">
        <f>COUNTIFS('MASTER DSE OCT Inn'!$Z:$Z,F$13,'MASTER DSE OCT Inn'!$E:$E,SUMMARY!$C51)</f>
        <v>8</v>
      </c>
      <c r="G51" s="100">
        <f>COUNTIFS('MASTER DSE OCT Inn'!$Z:$Z,G$13,'MASTER DSE OCT Inn'!$E:$E,SUMMARY!$C51)</f>
        <v>0</v>
      </c>
      <c r="H51" s="100">
        <f>COUNTIFS('MASTER DSE OCT Inn'!$Z:$Z,H$13,'MASTER DSE OCT Inn'!$E:$E,SUMMARY!$C51)</f>
        <v>0</v>
      </c>
      <c r="I51" s="100">
        <f>COUNTIFS('MASTER DSE OCT Inn'!$Z:$Z,I$13,'MASTER DSE OCT Inn'!$E:$E,SUMMARY!$C51)</f>
        <v>0</v>
      </c>
      <c r="K51" s="100">
        <f>COUNTIFS('MASTER DSE OCT Inn'!$AA:$AA,K$13,'MASTER DSE OCT Inn'!$E:$E,SUMMARY!$C51)</f>
        <v>6</v>
      </c>
      <c r="L51" s="100">
        <f>COUNTIFS('MASTER DSE OCT Inn'!$AA:$AA,L$13,'MASTER DSE OCT Inn'!$E:$E,SUMMARY!$C51)</f>
        <v>2</v>
      </c>
      <c r="M51" s="100">
        <f>COUNTIFS('MASTER DSE OCT Inn'!$AA:$AA,M$13,'MASTER DSE OCT Inn'!$E:$E,SUMMARY!$C51)</f>
        <v>0</v>
      </c>
      <c r="N51" s="100">
        <f>COUNTIFS('MASTER DSE OCT Inn'!$AA:$AA,N$13,'MASTER DSE OCT Inn'!$E:$E,SUMMARY!$C51)</f>
        <v>0</v>
      </c>
    </row>
    <row r="52" spans="1:14" hidden="1">
      <c r="A52" s="51" t="s">
        <v>22</v>
      </c>
      <c r="B52" s="51" t="s">
        <v>498</v>
      </c>
      <c r="C52" s="97" t="s">
        <v>499</v>
      </c>
      <c r="D52" s="51">
        <f>COUNTIFS('MASTER DSE OCT Inn'!E:E,SUMMARY!C52)</f>
        <v>7</v>
      </c>
      <c r="F52" s="100">
        <f>COUNTIFS('MASTER DSE OCT Inn'!$Z:$Z,F$13,'MASTER DSE OCT Inn'!$E:$E,SUMMARY!$C52)</f>
        <v>7</v>
      </c>
      <c r="G52" s="100">
        <f>COUNTIFS('MASTER DSE OCT Inn'!$Z:$Z,G$13,'MASTER DSE OCT Inn'!$E:$E,SUMMARY!$C52)</f>
        <v>0</v>
      </c>
      <c r="H52" s="100">
        <f>COUNTIFS('MASTER DSE OCT Inn'!$Z:$Z,H$13,'MASTER DSE OCT Inn'!$E:$E,SUMMARY!$C52)</f>
        <v>0</v>
      </c>
      <c r="I52" s="100">
        <f>COUNTIFS('MASTER DSE OCT Inn'!$Z:$Z,I$13,'MASTER DSE OCT Inn'!$E:$E,SUMMARY!$C52)</f>
        <v>0</v>
      </c>
      <c r="K52" s="100">
        <f>COUNTIFS('MASTER DSE OCT Inn'!$AA:$AA,K$13,'MASTER DSE OCT Inn'!$E:$E,SUMMARY!$C52)</f>
        <v>7</v>
      </c>
      <c r="L52" s="100">
        <f>COUNTIFS('MASTER DSE OCT Inn'!$AA:$AA,L$13,'MASTER DSE OCT Inn'!$E:$E,SUMMARY!$C52)</f>
        <v>0</v>
      </c>
      <c r="M52" s="100">
        <f>COUNTIFS('MASTER DSE OCT Inn'!$AA:$AA,M$13,'MASTER DSE OCT Inn'!$E:$E,SUMMARY!$C52)</f>
        <v>0</v>
      </c>
      <c r="N52" s="100">
        <f>COUNTIFS('MASTER DSE OCT Inn'!$AA:$AA,N$13,'MASTER DSE OCT Inn'!$E:$E,SUMMARY!$C52)</f>
        <v>0</v>
      </c>
    </row>
  </sheetData>
  <autoFilter ref="A13:N52" xr:uid="{C7147D51-4AC9-462A-AE05-E014B610F160}">
    <filterColumn colId="0">
      <filters>
        <filter val="CENTRAL NORTH JAKARTA"/>
      </filters>
    </filterColumn>
  </autoFilter>
  <mergeCells count="4">
    <mergeCell ref="F12:I12"/>
    <mergeCell ref="K12:N12"/>
    <mergeCell ref="F1:I1"/>
    <mergeCell ref="K1:N1"/>
  </mergeCells>
  <conditionalFormatting sqref="J16:J19">
    <cfRule type="cellIs" dxfId="110" priority="2" operator="equal">
      <formula>"ACTIVE"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1B48-E28E-4918-BF58-8E767FEDDA7B}">
  <dimension ref="A4:T276"/>
  <sheetViews>
    <sheetView showGridLines="0" tabSelected="1" zoomScale="80" zoomScaleNormal="80" workbookViewId="0">
      <pane ySplit="4" topLeftCell="A246" activePane="bottomLeft" state="frozen"/>
      <selection pane="bottomLeft" activeCell="C249" sqref="C249"/>
    </sheetView>
  </sheetViews>
  <sheetFormatPr defaultColWidth="9.1640625" defaultRowHeight="16"/>
  <cols>
    <col min="1" max="1" width="14.5" style="39" bestFit="1" customWidth="1"/>
    <col min="2" max="2" width="23.75" style="39" bestFit="1" customWidth="1"/>
    <col min="3" max="3" width="15.9140625" style="39" bestFit="1" customWidth="1"/>
    <col min="4" max="4" width="21.25" style="39" bestFit="1" customWidth="1"/>
    <col min="5" max="5" width="28.33203125" style="39" bestFit="1" customWidth="1"/>
    <col min="6" max="6" width="33" style="39" bestFit="1" customWidth="1"/>
    <col min="7" max="7" width="28.33203125" style="39" customWidth="1"/>
    <col min="8" max="8" width="103.83203125" style="39" bestFit="1" customWidth="1"/>
    <col min="9" max="9" width="17.5" style="39" bestFit="1" customWidth="1"/>
    <col min="10" max="10" width="15.08203125" style="39" bestFit="1" customWidth="1"/>
    <col min="11" max="11" width="16.4140625" style="39" bestFit="1" customWidth="1"/>
    <col min="12" max="12" width="33.08203125" style="39" bestFit="1" customWidth="1"/>
    <col min="13" max="13" width="31.08203125" style="39" bestFit="1" customWidth="1"/>
    <col min="14" max="14" width="9.9140625" style="39" bestFit="1" customWidth="1"/>
    <col min="15" max="15" width="13.33203125" style="39" bestFit="1" customWidth="1"/>
    <col min="16" max="16" width="17.9140625" style="39" bestFit="1" customWidth="1"/>
    <col min="17" max="17" width="20.5" style="39" bestFit="1" customWidth="1"/>
    <col min="18" max="18" width="34.6640625" style="39" bestFit="1" customWidth="1"/>
    <col min="19" max="19" width="37.4140625" style="39" bestFit="1" customWidth="1"/>
    <col min="20" max="20" width="28.33203125" style="39" customWidth="1"/>
    <col min="21" max="16384" width="9.1640625" style="39"/>
  </cols>
  <sheetData>
    <row r="4" spans="1:20" s="68" customFormat="1">
      <c r="A4" s="209" t="s">
        <v>2</v>
      </c>
      <c r="B4" s="209" t="s">
        <v>2853</v>
      </c>
      <c r="C4" s="210" t="s">
        <v>3686</v>
      </c>
      <c r="D4" s="209" t="s">
        <v>4</v>
      </c>
      <c r="E4" s="210" t="s">
        <v>3685</v>
      </c>
      <c r="F4" s="209" t="s">
        <v>11</v>
      </c>
      <c r="G4" s="210" t="s">
        <v>3684</v>
      </c>
      <c r="H4" s="75" t="s">
        <v>12</v>
      </c>
      <c r="I4" s="211" t="s">
        <v>13</v>
      </c>
      <c r="J4" s="75" t="s">
        <v>14</v>
      </c>
      <c r="K4" s="75" t="s">
        <v>15</v>
      </c>
      <c r="L4" s="212" t="s">
        <v>16</v>
      </c>
      <c r="M4" s="75" t="s">
        <v>17</v>
      </c>
      <c r="N4" s="75" t="s">
        <v>18</v>
      </c>
      <c r="O4" s="75" t="s">
        <v>19</v>
      </c>
      <c r="P4" s="213" t="s">
        <v>1956</v>
      </c>
      <c r="Q4" s="213" t="s">
        <v>1957</v>
      </c>
      <c r="R4" s="213" t="s">
        <v>1958</v>
      </c>
      <c r="S4" s="213" t="s">
        <v>1959</v>
      </c>
      <c r="T4" s="210" t="s">
        <v>3684</v>
      </c>
    </row>
    <row r="5" spans="1:20">
      <c r="A5" s="39" t="s">
        <v>21</v>
      </c>
      <c r="B5" s="39" t="s">
        <v>314</v>
      </c>
      <c r="C5" s="39" t="s">
        <v>2804</v>
      </c>
      <c r="D5" s="39" t="s">
        <v>381</v>
      </c>
      <c r="E5" s="39" t="s">
        <v>2768</v>
      </c>
      <c r="F5" s="39" t="s">
        <v>387</v>
      </c>
      <c r="H5" s="39" t="s">
        <v>388</v>
      </c>
      <c r="I5" s="39" t="s">
        <v>389</v>
      </c>
      <c r="J5" s="39" t="s">
        <v>68</v>
      </c>
      <c r="L5" s="44">
        <v>628567620678</v>
      </c>
      <c r="O5" s="39" t="s">
        <v>390</v>
      </c>
      <c r="P5" s="39" t="s">
        <v>385</v>
      </c>
      <c r="Q5" s="39" t="s">
        <v>386</v>
      </c>
      <c r="R5" s="39" t="s">
        <v>2092</v>
      </c>
      <c r="S5" s="39" t="s">
        <v>2093</v>
      </c>
      <c r="T5" s="39">
        <v>6613490972</v>
      </c>
    </row>
    <row r="6" spans="1:20">
      <c r="A6" s="39" t="s">
        <v>21</v>
      </c>
      <c r="B6" s="39" t="s">
        <v>314</v>
      </c>
      <c r="C6" s="39" t="s">
        <v>2804</v>
      </c>
      <c r="D6" s="39" t="s">
        <v>381</v>
      </c>
      <c r="E6" s="39" t="s">
        <v>2768</v>
      </c>
      <c r="F6" s="39" t="s">
        <v>393</v>
      </c>
      <c r="H6" s="39" t="s">
        <v>394</v>
      </c>
      <c r="I6" s="39" t="s">
        <v>395</v>
      </c>
      <c r="J6" s="39" t="s">
        <v>68</v>
      </c>
      <c r="L6" s="44">
        <v>6280086422485</v>
      </c>
      <c r="O6" s="39" t="s">
        <v>396</v>
      </c>
      <c r="P6" s="39" t="s">
        <v>391</v>
      </c>
      <c r="Q6" s="39" t="s">
        <v>392</v>
      </c>
      <c r="R6" s="39" t="s">
        <v>2094</v>
      </c>
      <c r="S6" s="39" t="s">
        <v>2095</v>
      </c>
      <c r="T6" s="39">
        <v>1986015049</v>
      </c>
    </row>
    <row r="7" spans="1:20">
      <c r="A7" s="39" t="s">
        <v>21</v>
      </c>
      <c r="B7" s="39" t="s">
        <v>314</v>
      </c>
      <c r="C7" s="39" t="s">
        <v>2804</v>
      </c>
      <c r="D7" s="39" t="s">
        <v>381</v>
      </c>
      <c r="E7" s="39" t="s">
        <v>2768</v>
      </c>
      <c r="F7" s="39" t="s">
        <v>410</v>
      </c>
      <c r="H7" s="39" t="s">
        <v>411</v>
      </c>
      <c r="I7" s="39" t="s">
        <v>412</v>
      </c>
      <c r="J7" s="39" t="s">
        <v>68</v>
      </c>
      <c r="K7" s="39" t="s">
        <v>32</v>
      </c>
      <c r="L7" s="44">
        <v>6280086422482</v>
      </c>
      <c r="M7" s="39" t="s">
        <v>413</v>
      </c>
      <c r="O7" s="39" t="s">
        <v>414</v>
      </c>
      <c r="P7" s="39" t="s">
        <v>408</v>
      </c>
      <c r="Q7" s="39" t="s">
        <v>409</v>
      </c>
      <c r="R7" s="39" t="s">
        <v>2098</v>
      </c>
      <c r="S7" s="39" t="s">
        <v>2099</v>
      </c>
      <c r="T7" s="39">
        <v>8548433055</v>
      </c>
    </row>
    <row r="8" spans="1:20">
      <c r="A8" s="39" t="s">
        <v>21</v>
      </c>
      <c r="B8" s="39" t="s">
        <v>314</v>
      </c>
      <c r="C8" s="39" t="s">
        <v>2804</v>
      </c>
      <c r="D8" s="39" t="s">
        <v>381</v>
      </c>
      <c r="E8" s="39" t="s">
        <v>2768</v>
      </c>
      <c r="F8" s="39" t="s">
        <v>1454</v>
      </c>
      <c r="G8" s="39">
        <v>8859636861</v>
      </c>
      <c r="H8" s="39">
        <v>0</v>
      </c>
      <c r="I8" s="39" t="s">
        <v>1455</v>
      </c>
      <c r="J8" s="39" t="s">
        <v>68</v>
      </c>
      <c r="K8" s="39" t="s">
        <v>32</v>
      </c>
      <c r="L8" s="44">
        <v>6289602778059</v>
      </c>
      <c r="O8" s="39" t="s">
        <v>1456</v>
      </c>
      <c r="P8" s="39" t="s">
        <v>1453</v>
      </c>
      <c r="Q8" s="39" t="s">
        <v>1452</v>
      </c>
      <c r="R8" s="39" t="s">
        <v>2376</v>
      </c>
      <c r="S8" s="39" t="s">
        <v>2377</v>
      </c>
      <c r="T8" s="39">
        <v>8859636861</v>
      </c>
    </row>
    <row r="9" spans="1:20">
      <c r="A9" s="39" t="s">
        <v>21</v>
      </c>
      <c r="B9" s="39" t="s">
        <v>314</v>
      </c>
      <c r="C9" s="39" t="s">
        <v>2804</v>
      </c>
      <c r="D9" s="39" t="s">
        <v>381</v>
      </c>
      <c r="E9" s="39" t="s">
        <v>2768</v>
      </c>
      <c r="F9" s="39" t="s">
        <v>1471</v>
      </c>
      <c r="G9" s="39">
        <v>6436712136</v>
      </c>
      <c r="H9" s="39" t="s">
        <v>1472</v>
      </c>
      <c r="I9" s="39" t="s">
        <v>1473</v>
      </c>
      <c r="J9" s="39" t="s">
        <v>68</v>
      </c>
      <c r="L9" s="44">
        <v>6289602778055</v>
      </c>
      <c r="O9" s="39" t="s">
        <v>1474</v>
      </c>
      <c r="P9" s="39" t="s">
        <v>1470</v>
      </c>
      <c r="Q9" s="39" t="s">
        <v>1469</v>
      </c>
      <c r="R9" s="39" t="s">
        <v>2382</v>
      </c>
      <c r="S9" s="39" t="s">
        <v>2383</v>
      </c>
      <c r="T9" s="39">
        <v>6436712136</v>
      </c>
    </row>
    <row r="10" spans="1:20">
      <c r="A10" s="39" t="s">
        <v>21</v>
      </c>
      <c r="B10" s="39" t="s">
        <v>314</v>
      </c>
      <c r="C10" s="39" t="s">
        <v>2804</v>
      </c>
      <c r="D10" s="39" t="s">
        <v>381</v>
      </c>
      <c r="E10" s="39" t="s">
        <v>2768</v>
      </c>
      <c r="F10" s="39" t="s">
        <v>1477</v>
      </c>
      <c r="G10" s="39">
        <v>5102856680</v>
      </c>
      <c r="H10" s="39" t="s">
        <v>1479</v>
      </c>
      <c r="I10" s="39" t="s">
        <v>1480</v>
      </c>
      <c r="J10" s="39" t="s">
        <v>68</v>
      </c>
      <c r="K10" s="39" t="s">
        <v>32</v>
      </c>
      <c r="L10" s="44">
        <v>628985561822</v>
      </c>
      <c r="M10" s="39" t="s">
        <v>1482</v>
      </c>
      <c r="O10" s="39" t="s">
        <v>1483</v>
      </c>
      <c r="P10" s="39" t="s">
        <v>1476</v>
      </c>
      <c r="Q10" s="39" t="s">
        <v>1475</v>
      </c>
      <c r="R10" s="39" t="s">
        <v>2384</v>
      </c>
      <c r="S10" s="39" t="s">
        <v>2385</v>
      </c>
      <c r="T10" s="39">
        <v>5102856680</v>
      </c>
    </row>
    <row r="11" spans="1:20">
      <c r="A11" s="39" t="s">
        <v>21</v>
      </c>
      <c r="B11" s="39" t="s">
        <v>314</v>
      </c>
      <c r="C11" s="39" t="s">
        <v>2804</v>
      </c>
      <c r="D11" s="39" t="s">
        <v>381</v>
      </c>
      <c r="E11" s="39" t="s">
        <v>2768</v>
      </c>
      <c r="F11" s="39" t="s">
        <v>1557</v>
      </c>
      <c r="G11" s="39">
        <v>8082066485</v>
      </c>
      <c r="H11" s="39" t="s">
        <v>1558</v>
      </c>
      <c r="I11" s="39" t="s">
        <v>1559</v>
      </c>
      <c r="J11" s="39" t="s">
        <v>68</v>
      </c>
      <c r="L11" s="44">
        <v>6289602778072</v>
      </c>
      <c r="O11" s="39" t="s">
        <v>1560</v>
      </c>
      <c r="P11" s="39" t="s">
        <v>1556</v>
      </c>
      <c r="Q11" s="39" t="s">
        <v>1555</v>
      </c>
      <c r="R11" s="39" t="s">
        <v>2404</v>
      </c>
      <c r="S11" s="39" t="s">
        <v>2405</v>
      </c>
      <c r="T11" s="39">
        <v>8082066485</v>
      </c>
    </row>
    <row r="12" spans="1:20">
      <c r="A12" s="39" t="s">
        <v>21</v>
      </c>
      <c r="B12" s="39" t="s">
        <v>314</v>
      </c>
      <c r="C12" s="39" t="s">
        <v>2804</v>
      </c>
      <c r="D12" s="39" t="s">
        <v>381</v>
      </c>
      <c r="E12" s="39" t="s">
        <v>2768</v>
      </c>
      <c r="F12" s="39" t="s">
        <v>1563</v>
      </c>
      <c r="G12" s="39">
        <v>876793650</v>
      </c>
      <c r="H12" s="39" t="s">
        <v>1565</v>
      </c>
      <c r="I12" s="39" t="s">
        <v>1566</v>
      </c>
      <c r="J12" s="39" t="s">
        <v>68</v>
      </c>
      <c r="K12" s="39" t="s">
        <v>32</v>
      </c>
      <c r="L12" s="44">
        <v>628985560095</v>
      </c>
      <c r="M12" s="39" t="s">
        <v>1568</v>
      </c>
      <c r="O12" s="39" t="s">
        <v>1569</v>
      </c>
      <c r="P12" s="39" t="s">
        <v>1562</v>
      </c>
      <c r="Q12" s="39" t="s">
        <v>1561</v>
      </c>
      <c r="R12" s="39" t="s">
        <v>2406</v>
      </c>
      <c r="S12" s="39" t="s">
        <v>2407</v>
      </c>
      <c r="T12" s="39">
        <v>876793650</v>
      </c>
    </row>
    <row r="13" spans="1:20">
      <c r="A13" s="39" t="s">
        <v>21</v>
      </c>
      <c r="B13" s="39" t="s">
        <v>314</v>
      </c>
      <c r="C13" s="39" t="s">
        <v>2804</v>
      </c>
      <c r="D13" s="39" t="s">
        <v>381</v>
      </c>
      <c r="E13" s="39" t="s">
        <v>2768</v>
      </c>
      <c r="F13" s="39" t="s">
        <v>1564</v>
      </c>
      <c r="G13" s="39">
        <v>1420948858</v>
      </c>
      <c r="H13" s="39" t="s">
        <v>1612</v>
      </c>
      <c r="I13" s="39" t="s">
        <v>1613</v>
      </c>
      <c r="J13" s="39" t="s">
        <v>68</v>
      </c>
      <c r="K13" s="39" t="s">
        <v>32</v>
      </c>
      <c r="L13" s="44">
        <v>628985561832</v>
      </c>
      <c r="M13" s="39" t="s">
        <v>1615</v>
      </c>
      <c r="O13" s="39" t="s">
        <v>1616</v>
      </c>
      <c r="P13" s="39" t="s">
        <v>1611</v>
      </c>
      <c r="Q13" s="39" t="s">
        <v>1610</v>
      </c>
      <c r="R13" s="39" t="s">
        <v>2416</v>
      </c>
      <c r="S13" s="39" t="s">
        <v>2417</v>
      </c>
      <c r="T13" s="39">
        <v>1420948858</v>
      </c>
    </row>
    <row r="14" spans="1:20">
      <c r="A14" s="39" t="s">
        <v>21</v>
      </c>
      <c r="B14" s="39" t="s">
        <v>314</v>
      </c>
      <c r="C14" s="39" t="s">
        <v>2804</v>
      </c>
      <c r="D14" s="39" t="s">
        <v>381</v>
      </c>
      <c r="E14" s="39" t="s">
        <v>2768</v>
      </c>
      <c r="F14" s="39" t="s">
        <v>1678</v>
      </c>
      <c r="H14" s="39" t="s">
        <v>1679</v>
      </c>
      <c r="I14" s="39" t="s">
        <v>1680</v>
      </c>
      <c r="J14" s="39" t="s">
        <v>68</v>
      </c>
      <c r="K14" s="39" t="s">
        <v>32</v>
      </c>
      <c r="L14" s="44">
        <v>6289607902966</v>
      </c>
      <c r="O14" s="39" t="s">
        <v>1681</v>
      </c>
      <c r="P14" s="39" t="s">
        <v>1677</v>
      </c>
      <c r="Q14" s="39" t="s">
        <v>1676</v>
      </c>
      <c r="R14" s="39" t="s">
        <v>2436</v>
      </c>
      <c r="S14" s="39" t="s">
        <v>2437</v>
      </c>
    </row>
    <row r="15" spans="1:20">
      <c r="A15" s="39" t="s">
        <v>21</v>
      </c>
      <c r="B15" s="39" t="s">
        <v>314</v>
      </c>
      <c r="C15" s="39" t="s">
        <v>2804</v>
      </c>
      <c r="D15" s="39" t="s">
        <v>397</v>
      </c>
      <c r="E15" s="39" t="s">
        <v>2769</v>
      </c>
      <c r="F15" s="39" t="s">
        <v>403</v>
      </c>
      <c r="H15" s="39" t="s">
        <v>404</v>
      </c>
      <c r="I15" s="39" t="s">
        <v>405</v>
      </c>
      <c r="J15" s="39" t="s">
        <v>68</v>
      </c>
      <c r="K15" s="39" t="s">
        <v>32</v>
      </c>
      <c r="L15" s="44">
        <v>6280086422487</v>
      </c>
      <c r="M15" s="39" t="s">
        <v>406</v>
      </c>
      <c r="O15" s="39" t="s">
        <v>407</v>
      </c>
      <c r="P15" s="39" t="s">
        <v>401</v>
      </c>
      <c r="Q15" s="39" t="s">
        <v>402</v>
      </c>
      <c r="R15" s="39" t="s">
        <v>2096</v>
      </c>
      <c r="S15" s="39" t="s">
        <v>2097</v>
      </c>
      <c r="T15" s="39">
        <v>8855252608</v>
      </c>
    </row>
    <row r="16" spans="1:20">
      <c r="A16" s="39" t="s">
        <v>21</v>
      </c>
      <c r="B16" s="39" t="s">
        <v>314</v>
      </c>
      <c r="C16" s="39" t="s">
        <v>2804</v>
      </c>
      <c r="D16" s="39" t="s">
        <v>397</v>
      </c>
      <c r="E16" s="39" t="s">
        <v>2769</v>
      </c>
      <c r="F16" s="39" t="s">
        <v>417</v>
      </c>
      <c r="H16" s="39" t="s">
        <v>418</v>
      </c>
      <c r="I16" s="39" t="s">
        <v>419</v>
      </c>
      <c r="J16" s="39" t="s">
        <v>68</v>
      </c>
      <c r="K16" s="39" t="s">
        <v>32</v>
      </c>
      <c r="L16" s="44">
        <v>6280086422488</v>
      </c>
      <c r="M16" s="39" t="s">
        <v>420</v>
      </c>
      <c r="O16" s="39" t="s">
        <v>421</v>
      </c>
      <c r="P16" s="39" t="s">
        <v>415</v>
      </c>
      <c r="Q16" s="39" t="s">
        <v>416</v>
      </c>
      <c r="R16" s="39" t="s">
        <v>2100</v>
      </c>
      <c r="S16" s="39" t="s">
        <v>2101</v>
      </c>
      <c r="T16" s="39">
        <v>8627734137</v>
      </c>
    </row>
    <row r="17" spans="1:20">
      <c r="A17" s="39" t="s">
        <v>21</v>
      </c>
      <c r="B17" s="39" t="s">
        <v>314</v>
      </c>
      <c r="C17" s="39" t="s">
        <v>2804</v>
      </c>
      <c r="D17" s="39" t="s">
        <v>397</v>
      </c>
      <c r="E17" s="39" t="s">
        <v>2769</v>
      </c>
      <c r="F17" s="39" t="s">
        <v>424</v>
      </c>
      <c r="H17" s="39" t="s">
        <v>425</v>
      </c>
      <c r="I17" s="39" t="s">
        <v>426</v>
      </c>
      <c r="J17" s="39" t="s">
        <v>68</v>
      </c>
      <c r="K17" s="39" t="s">
        <v>32</v>
      </c>
      <c r="L17" s="44">
        <v>6280086422483</v>
      </c>
      <c r="M17" s="39" t="s">
        <v>427</v>
      </c>
      <c r="O17" s="39" t="s">
        <v>428</v>
      </c>
      <c r="P17" s="39" t="s">
        <v>422</v>
      </c>
      <c r="Q17" s="39" t="s">
        <v>423</v>
      </c>
      <c r="R17" s="39" t="s">
        <v>2102</v>
      </c>
      <c r="S17" s="39" t="s">
        <v>2103</v>
      </c>
      <c r="T17" s="39">
        <v>6414405497</v>
      </c>
    </row>
    <row r="18" spans="1:20">
      <c r="A18" s="39" t="s">
        <v>21</v>
      </c>
      <c r="B18" s="39" t="s">
        <v>314</v>
      </c>
      <c r="C18" s="39" t="s">
        <v>2804</v>
      </c>
      <c r="D18" s="39" t="s">
        <v>397</v>
      </c>
      <c r="E18" s="39" t="s">
        <v>2769</v>
      </c>
      <c r="F18" s="39" t="s">
        <v>1631</v>
      </c>
      <c r="G18" s="39">
        <v>6522187953</v>
      </c>
      <c r="H18" s="39" t="s">
        <v>1632</v>
      </c>
      <c r="I18" s="39" t="s">
        <v>1633</v>
      </c>
      <c r="J18" s="39" t="s">
        <v>68</v>
      </c>
      <c r="L18" s="44">
        <v>6289602778054</v>
      </c>
      <c r="O18" s="39" t="s">
        <v>1634</v>
      </c>
      <c r="P18" s="39" t="s">
        <v>1630</v>
      </c>
      <c r="Q18" s="39" t="s">
        <v>1629</v>
      </c>
      <c r="R18" s="39" t="s">
        <v>2422</v>
      </c>
      <c r="S18" s="39" t="s">
        <v>2423</v>
      </c>
      <c r="T18" s="39">
        <v>6522187953</v>
      </c>
    </row>
    <row r="19" spans="1:20">
      <c r="A19" s="39" t="s">
        <v>21</v>
      </c>
      <c r="B19" s="39" t="s">
        <v>314</v>
      </c>
      <c r="C19" s="39" t="s">
        <v>2804</v>
      </c>
      <c r="D19" s="39" t="s">
        <v>397</v>
      </c>
      <c r="E19" s="39" t="s">
        <v>2769</v>
      </c>
      <c r="F19" s="39" t="s">
        <v>1691</v>
      </c>
      <c r="G19" s="39">
        <v>8627850949</v>
      </c>
      <c r="H19" s="39" t="s">
        <v>1692</v>
      </c>
      <c r="I19" s="39" t="s">
        <v>1693</v>
      </c>
      <c r="J19" s="39" t="s">
        <v>68</v>
      </c>
      <c r="L19" s="44">
        <v>6289602778053</v>
      </c>
      <c r="O19" s="39" t="s">
        <v>1694</v>
      </c>
      <c r="P19" s="39" t="s">
        <v>1690</v>
      </c>
      <c r="Q19" s="39" t="s">
        <v>1689</v>
      </c>
      <c r="R19" s="39" t="s">
        <v>2440</v>
      </c>
      <c r="S19" s="39" t="s">
        <v>2441</v>
      </c>
      <c r="T19" s="39">
        <v>8627850949</v>
      </c>
    </row>
    <row r="20" spans="1:20">
      <c r="A20" s="39" t="s">
        <v>21</v>
      </c>
      <c r="B20" s="39" t="s">
        <v>314</v>
      </c>
      <c r="C20" s="39" t="s">
        <v>2804</v>
      </c>
      <c r="D20" s="39" t="s">
        <v>397</v>
      </c>
      <c r="E20" s="39" t="s">
        <v>2769</v>
      </c>
      <c r="F20" s="39" t="s">
        <v>1697</v>
      </c>
      <c r="G20" s="39">
        <v>1693640001</v>
      </c>
      <c r="H20" s="39" t="s">
        <v>1698</v>
      </c>
      <c r="I20" s="39" t="s">
        <v>1699</v>
      </c>
      <c r="J20" s="39" t="s">
        <v>68</v>
      </c>
      <c r="K20" s="39" t="s">
        <v>32</v>
      </c>
      <c r="L20" s="44">
        <v>0</v>
      </c>
      <c r="O20" s="39" t="s">
        <v>1700</v>
      </c>
      <c r="P20" s="39" t="s">
        <v>1696</v>
      </c>
      <c r="Q20" s="39" t="s">
        <v>1695</v>
      </c>
      <c r="R20" s="39" t="s">
        <v>2442</v>
      </c>
      <c r="S20" s="39" t="s">
        <v>2443</v>
      </c>
      <c r="T20" s="39">
        <v>1693640001</v>
      </c>
    </row>
    <row r="21" spans="1:20">
      <c r="A21" s="39" t="s">
        <v>21</v>
      </c>
      <c r="B21" s="39" t="s">
        <v>314</v>
      </c>
      <c r="C21" s="39" t="s">
        <v>2804</v>
      </c>
      <c r="D21" s="39" t="s">
        <v>356</v>
      </c>
      <c r="E21" s="39" t="s">
        <v>2770</v>
      </c>
      <c r="F21" s="39" t="s">
        <v>438</v>
      </c>
      <c r="G21" s="39">
        <v>6484161430</v>
      </c>
      <c r="H21" s="39" t="s">
        <v>439</v>
      </c>
      <c r="I21" s="39" t="s">
        <v>440</v>
      </c>
      <c r="J21" s="39" t="s">
        <v>68</v>
      </c>
      <c r="K21" s="39" t="s">
        <v>32</v>
      </c>
      <c r="L21" s="44">
        <v>62857177749007</v>
      </c>
      <c r="M21" s="39" t="s">
        <v>441</v>
      </c>
      <c r="O21" s="39" t="s">
        <v>442</v>
      </c>
      <c r="P21" s="39" t="s">
        <v>436</v>
      </c>
      <c r="Q21" s="39" t="s">
        <v>437</v>
      </c>
      <c r="R21" s="39" t="s">
        <v>2106</v>
      </c>
      <c r="S21" s="39" t="s">
        <v>2107</v>
      </c>
      <c r="T21" s="39">
        <v>6484161430</v>
      </c>
    </row>
    <row r="22" spans="1:20">
      <c r="A22" s="39" t="s">
        <v>21</v>
      </c>
      <c r="B22" s="39" t="s">
        <v>314</v>
      </c>
      <c r="C22" s="39" t="s">
        <v>2804</v>
      </c>
      <c r="D22" s="39" t="s">
        <v>356</v>
      </c>
      <c r="E22" s="39" t="s">
        <v>2770</v>
      </c>
      <c r="F22" s="39" t="s">
        <v>362</v>
      </c>
      <c r="H22" s="39" t="s">
        <v>363</v>
      </c>
      <c r="I22" s="39" t="s">
        <v>364</v>
      </c>
      <c r="J22" s="39" t="s">
        <v>68</v>
      </c>
      <c r="L22" s="44">
        <v>6280086422484</v>
      </c>
      <c r="O22" s="39" t="s">
        <v>365</v>
      </c>
      <c r="P22" s="39" t="s">
        <v>360</v>
      </c>
      <c r="Q22" s="39" t="s">
        <v>361</v>
      </c>
      <c r="R22" s="39" t="s">
        <v>2086</v>
      </c>
      <c r="S22" s="39" t="s">
        <v>2087</v>
      </c>
      <c r="T22" s="39">
        <v>6130103877</v>
      </c>
    </row>
    <row r="23" spans="1:20">
      <c r="A23" s="39" t="s">
        <v>21</v>
      </c>
      <c r="B23" s="39" t="s">
        <v>314</v>
      </c>
      <c r="C23" s="39" t="s">
        <v>2804</v>
      </c>
      <c r="D23" s="39" t="s">
        <v>356</v>
      </c>
      <c r="E23" s="39" t="s">
        <v>2770</v>
      </c>
      <c r="F23" s="39" t="s">
        <v>368</v>
      </c>
      <c r="G23" s="39">
        <v>6867103460</v>
      </c>
      <c r="H23" s="39" t="s">
        <v>369</v>
      </c>
      <c r="I23" s="39" t="s">
        <v>370</v>
      </c>
      <c r="J23" s="39" t="s">
        <v>68</v>
      </c>
      <c r="K23" s="39" t="s">
        <v>32</v>
      </c>
      <c r="L23" s="44">
        <v>62857111777787</v>
      </c>
      <c r="M23" s="39" t="s">
        <v>371</v>
      </c>
      <c r="O23" s="39" t="s">
        <v>372</v>
      </c>
      <c r="P23" s="39" t="s">
        <v>366</v>
      </c>
      <c r="Q23" s="39" t="s">
        <v>367</v>
      </c>
      <c r="R23" s="39" t="s">
        <v>2088</v>
      </c>
      <c r="S23" s="39" t="s">
        <v>2089</v>
      </c>
      <c r="T23" s="39">
        <v>6867103460</v>
      </c>
    </row>
    <row r="24" spans="1:20">
      <c r="A24" s="39" t="s">
        <v>21</v>
      </c>
      <c r="B24" s="39" t="s">
        <v>314</v>
      </c>
      <c r="C24" s="39" t="s">
        <v>2804</v>
      </c>
      <c r="D24" s="39" t="s">
        <v>356</v>
      </c>
      <c r="E24" s="39" t="s">
        <v>2770</v>
      </c>
      <c r="F24" s="39" t="s">
        <v>376</v>
      </c>
      <c r="H24" s="39" t="s">
        <v>377</v>
      </c>
      <c r="I24" s="39" t="s">
        <v>378</v>
      </c>
      <c r="J24" s="39" t="s">
        <v>68</v>
      </c>
      <c r="K24" s="39" t="s">
        <v>32</v>
      </c>
      <c r="L24" s="44">
        <v>62857111166697</v>
      </c>
      <c r="M24" s="39" t="s">
        <v>379</v>
      </c>
      <c r="O24" s="39" t="s">
        <v>380</v>
      </c>
      <c r="P24" s="39" t="s">
        <v>374</v>
      </c>
      <c r="Q24" s="39" t="s">
        <v>375</v>
      </c>
      <c r="R24" s="39" t="s">
        <v>2090</v>
      </c>
      <c r="S24" s="39" t="s">
        <v>2091</v>
      </c>
      <c r="T24" s="39">
        <v>8863650921</v>
      </c>
    </row>
    <row r="25" spans="1:20">
      <c r="A25" s="39" t="s">
        <v>21</v>
      </c>
      <c r="B25" s="39" t="s">
        <v>314</v>
      </c>
      <c r="C25" s="39" t="s">
        <v>2804</v>
      </c>
      <c r="D25" s="39" t="s">
        <v>356</v>
      </c>
      <c r="E25" s="39" t="s">
        <v>2770</v>
      </c>
      <c r="F25" s="39" t="s">
        <v>431</v>
      </c>
      <c r="H25" s="39" t="s">
        <v>432</v>
      </c>
      <c r="I25" s="39" t="s">
        <v>433</v>
      </c>
      <c r="J25" s="39" t="s">
        <v>68</v>
      </c>
      <c r="K25" s="39" t="s">
        <v>32</v>
      </c>
      <c r="L25" s="44">
        <v>6285770070006</v>
      </c>
      <c r="M25" s="39" t="s">
        <v>434</v>
      </c>
      <c r="O25" s="39" t="s">
        <v>435</v>
      </c>
      <c r="P25" s="39" t="s">
        <v>429</v>
      </c>
      <c r="Q25" s="39" t="s">
        <v>430</v>
      </c>
      <c r="R25" s="39" t="s">
        <v>2104</v>
      </c>
      <c r="S25" s="39" t="s">
        <v>2105</v>
      </c>
      <c r="T25" s="39">
        <v>7552356704</v>
      </c>
    </row>
    <row r="26" spans="1:20">
      <c r="A26" s="39" t="s">
        <v>21</v>
      </c>
      <c r="B26" s="39" t="s">
        <v>314</v>
      </c>
      <c r="C26" s="39" t="s">
        <v>2804</v>
      </c>
      <c r="D26" s="39" t="s">
        <v>356</v>
      </c>
      <c r="E26" s="39" t="s">
        <v>2770</v>
      </c>
      <c r="F26" s="39" t="s">
        <v>1448</v>
      </c>
      <c r="G26" s="39">
        <v>8976538478</v>
      </c>
      <c r="H26" s="39" t="s">
        <v>1449</v>
      </c>
      <c r="I26" s="39" t="s">
        <v>1450</v>
      </c>
      <c r="J26" s="39" t="s">
        <v>68</v>
      </c>
      <c r="L26" s="44">
        <v>6289602778073</v>
      </c>
      <c r="O26" s="39" t="s">
        <v>1451</v>
      </c>
      <c r="P26" s="39" t="s">
        <v>1447</v>
      </c>
      <c r="Q26" s="39" t="s">
        <v>1446</v>
      </c>
      <c r="R26" s="39" t="s">
        <v>2374</v>
      </c>
      <c r="S26" s="39" t="s">
        <v>2375</v>
      </c>
      <c r="T26" s="39">
        <v>8976538478</v>
      </c>
    </row>
    <row r="27" spans="1:20">
      <c r="A27" s="39" t="s">
        <v>21</v>
      </c>
      <c r="B27" s="39" t="s">
        <v>314</v>
      </c>
      <c r="C27" s="39" t="s">
        <v>2804</v>
      </c>
      <c r="D27" s="39" t="s">
        <v>356</v>
      </c>
      <c r="E27" s="39" t="s">
        <v>2770</v>
      </c>
      <c r="F27" s="39" t="s">
        <v>1549</v>
      </c>
      <c r="H27" s="39" t="s">
        <v>1550</v>
      </c>
      <c r="I27" s="39" t="s">
        <v>1551</v>
      </c>
      <c r="J27" s="39" t="s">
        <v>68</v>
      </c>
      <c r="K27" s="39" t="s">
        <v>32</v>
      </c>
      <c r="L27" s="44">
        <v>628985560042</v>
      </c>
      <c r="M27" s="39" t="s">
        <v>1553</v>
      </c>
      <c r="O27" s="39" t="s">
        <v>1554</v>
      </c>
      <c r="P27" s="39" t="s">
        <v>1548</v>
      </c>
      <c r="Q27" s="39" t="s">
        <v>1547</v>
      </c>
      <c r="R27" s="39" t="s">
        <v>2402</v>
      </c>
      <c r="S27" s="39" t="s">
        <v>2403</v>
      </c>
    </row>
    <row r="28" spans="1:20">
      <c r="A28" s="39" t="s">
        <v>21</v>
      </c>
      <c r="B28" s="39" t="s">
        <v>314</v>
      </c>
      <c r="C28" s="39" t="s">
        <v>2804</v>
      </c>
      <c r="D28" s="39" t="s">
        <v>356</v>
      </c>
      <c r="E28" s="39" t="s">
        <v>2770</v>
      </c>
      <c r="F28" s="39" t="s">
        <v>1619</v>
      </c>
      <c r="G28" s="39">
        <v>5258172895</v>
      </c>
      <c r="H28" s="39" t="s">
        <v>1620</v>
      </c>
      <c r="I28" s="39" t="s">
        <v>1621</v>
      </c>
      <c r="J28" s="39" t="s">
        <v>68</v>
      </c>
      <c r="L28" s="44">
        <v>6289602778079</v>
      </c>
      <c r="O28" s="39" t="s">
        <v>1622</v>
      </c>
      <c r="P28" s="39" t="s">
        <v>1618</v>
      </c>
      <c r="Q28" s="39" t="s">
        <v>1617</v>
      </c>
      <c r="R28" s="39" t="s">
        <v>2418</v>
      </c>
      <c r="S28" s="39" t="s">
        <v>2419</v>
      </c>
      <c r="T28" s="39">
        <v>5258172895</v>
      </c>
    </row>
    <row r="29" spans="1:20">
      <c r="A29" s="39" t="s">
        <v>21</v>
      </c>
      <c r="B29" s="39" t="s">
        <v>314</v>
      </c>
      <c r="C29" s="39" t="s">
        <v>2804</v>
      </c>
      <c r="D29" s="39" t="s">
        <v>315</v>
      </c>
      <c r="E29" s="39" t="s">
        <v>2771</v>
      </c>
      <c r="F29" s="39" t="s">
        <v>322</v>
      </c>
      <c r="G29" s="39">
        <v>6459739401</v>
      </c>
      <c r="H29" s="39" t="s">
        <v>323</v>
      </c>
      <c r="I29" s="39" t="s">
        <v>324</v>
      </c>
      <c r="J29" s="39" t="s">
        <v>68</v>
      </c>
      <c r="L29" s="44">
        <v>628166333327</v>
      </c>
      <c r="O29" s="39" t="s">
        <v>325</v>
      </c>
      <c r="P29" s="39" t="s">
        <v>320</v>
      </c>
      <c r="Q29" s="39" t="s">
        <v>321</v>
      </c>
      <c r="R29" s="39" t="s">
        <v>2074</v>
      </c>
      <c r="S29" s="39" t="s">
        <v>2075</v>
      </c>
      <c r="T29" s="39">
        <v>6459739401</v>
      </c>
    </row>
    <row r="30" spans="1:20">
      <c r="A30" s="39" t="s">
        <v>21</v>
      </c>
      <c r="B30" s="39" t="s">
        <v>314</v>
      </c>
      <c r="C30" s="39" t="s">
        <v>2804</v>
      </c>
      <c r="D30" s="39" t="s">
        <v>315</v>
      </c>
      <c r="E30" s="39" t="s">
        <v>2771</v>
      </c>
      <c r="F30" s="39" t="s">
        <v>328</v>
      </c>
      <c r="G30" s="39">
        <v>7906117504</v>
      </c>
      <c r="H30" s="39" t="s">
        <v>329</v>
      </c>
      <c r="I30" s="39" t="s">
        <v>330</v>
      </c>
      <c r="J30" s="39" t="s">
        <v>68</v>
      </c>
      <c r="L30" s="44">
        <v>628165671777</v>
      </c>
      <c r="O30" s="39" t="s">
        <v>331</v>
      </c>
      <c r="P30" s="39" t="s">
        <v>326</v>
      </c>
      <c r="Q30" s="39" t="s">
        <v>327</v>
      </c>
      <c r="R30" s="39" t="s">
        <v>2076</v>
      </c>
      <c r="S30" s="39" t="s">
        <v>2077</v>
      </c>
      <c r="T30" s="39">
        <v>7906117504</v>
      </c>
    </row>
    <row r="31" spans="1:20">
      <c r="A31" s="39" t="s">
        <v>21</v>
      </c>
      <c r="B31" s="39" t="s">
        <v>314</v>
      </c>
      <c r="C31" s="39" t="s">
        <v>2804</v>
      </c>
      <c r="D31" s="39" t="s">
        <v>315</v>
      </c>
      <c r="E31" s="39" t="s">
        <v>2771</v>
      </c>
      <c r="F31" s="39" t="s">
        <v>334</v>
      </c>
      <c r="G31" s="39">
        <v>6478070708</v>
      </c>
      <c r="H31" s="39" t="s">
        <v>335</v>
      </c>
      <c r="I31" s="39" t="s">
        <v>336</v>
      </c>
      <c r="J31" s="39" t="s">
        <v>68</v>
      </c>
      <c r="L31" s="44">
        <v>62858940940827</v>
      </c>
      <c r="O31" s="39" t="s">
        <v>337</v>
      </c>
      <c r="P31" s="39" t="s">
        <v>332</v>
      </c>
      <c r="Q31" s="39" t="s">
        <v>333</v>
      </c>
      <c r="R31" s="39" t="s">
        <v>2078</v>
      </c>
      <c r="S31" s="39" t="s">
        <v>2079</v>
      </c>
      <c r="T31" s="39">
        <v>6478070708</v>
      </c>
    </row>
    <row r="32" spans="1:20">
      <c r="A32" s="39" t="s">
        <v>21</v>
      </c>
      <c r="B32" s="39" t="s">
        <v>314</v>
      </c>
      <c r="C32" s="39" t="s">
        <v>2804</v>
      </c>
      <c r="D32" s="39" t="s">
        <v>315</v>
      </c>
      <c r="E32" s="39" t="s">
        <v>2771</v>
      </c>
      <c r="F32" s="39" t="s">
        <v>340</v>
      </c>
      <c r="G32" s="39">
        <v>6443249460</v>
      </c>
      <c r="H32" s="39" t="s">
        <v>341</v>
      </c>
      <c r="I32" s="39" t="s">
        <v>342</v>
      </c>
      <c r="J32" s="39" t="s">
        <v>68</v>
      </c>
      <c r="L32" s="44">
        <v>62857765555347</v>
      </c>
      <c r="O32" s="39" t="s">
        <v>343</v>
      </c>
      <c r="P32" s="39" t="s">
        <v>338</v>
      </c>
      <c r="Q32" s="39" t="s">
        <v>339</v>
      </c>
      <c r="R32" s="39" t="s">
        <v>2080</v>
      </c>
      <c r="S32" s="39" t="s">
        <v>2081</v>
      </c>
      <c r="T32" s="39">
        <v>6443249460</v>
      </c>
    </row>
    <row r="33" spans="1:20">
      <c r="A33" s="39" t="s">
        <v>21</v>
      </c>
      <c r="B33" s="39" t="s">
        <v>314</v>
      </c>
      <c r="C33" s="39" t="s">
        <v>2804</v>
      </c>
      <c r="D33" s="39" t="s">
        <v>315</v>
      </c>
      <c r="E33" s="39" t="s">
        <v>2771</v>
      </c>
      <c r="F33" s="39" t="s">
        <v>346</v>
      </c>
      <c r="G33" s="39">
        <v>6139822823</v>
      </c>
      <c r="H33" s="39" t="s">
        <v>347</v>
      </c>
      <c r="I33" s="39" t="s">
        <v>348</v>
      </c>
      <c r="J33" s="39" t="s">
        <v>68</v>
      </c>
      <c r="L33" s="44">
        <v>62856970280217</v>
      </c>
      <c r="O33" s="39" t="s">
        <v>349</v>
      </c>
      <c r="P33" s="39" t="s">
        <v>344</v>
      </c>
      <c r="Q33" s="39" t="s">
        <v>345</v>
      </c>
      <c r="R33" s="39" t="s">
        <v>2082</v>
      </c>
      <c r="S33" s="39" t="s">
        <v>2083</v>
      </c>
      <c r="T33" s="39">
        <v>6139822823</v>
      </c>
    </row>
    <row r="34" spans="1:20">
      <c r="A34" s="39" t="s">
        <v>21</v>
      </c>
      <c r="B34" s="39" t="s">
        <v>314</v>
      </c>
      <c r="C34" s="39" t="s">
        <v>2804</v>
      </c>
      <c r="D34" s="39" t="s">
        <v>315</v>
      </c>
      <c r="E34" s="39" t="s">
        <v>2771</v>
      </c>
      <c r="F34" s="39" t="s">
        <v>352</v>
      </c>
      <c r="G34" s="39">
        <v>5531128311</v>
      </c>
      <c r="H34" s="39" t="s">
        <v>353</v>
      </c>
      <c r="I34" s="39" t="s">
        <v>354</v>
      </c>
      <c r="J34" s="39" t="s">
        <v>68</v>
      </c>
      <c r="L34" s="44">
        <v>62815746723287</v>
      </c>
      <c r="O34" s="39" t="s">
        <v>355</v>
      </c>
      <c r="P34" s="39" t="s">
        <v>350</v>
      </c>
      <c r="Q34" s="39" t="s">
        <v>351</v>
      </c>
      <c r="R34" s="39" t="s">
        <v>2084</v>
      </c>
      <c r="S34" s="39" t="s">
        <v>2085</v>
      </c>
      <c r="T34" s="39">
        <v>5531128311</v>
      </c>
    </row>
    <row r="35" spans="1:20">
      <c r="A35" s="39" t="s">
        <v>21</v>
      </c>
      <c r="B35" s="39" t="s">
        <v>314</v>
      </c>
      <c r="C35" s="39" t="s">
        <v>2804</v>
      </c>
      <c r="D35" s="39" t="s">
        <v>315</v>
      </c>
      <c r="E35" s="39" t="s">
        <v>2771</v>
      </c>
      <c r="F35" s="39" t="s">
        <v>1440</v>
      </c>
      <c r="G35" s="39">
        <v>8830859485</v>
      </c>
      <c r="H35" s="39" t="s">
        <v>1441</v>
      </c>
      <c r="I35" s="39" t="s">
        <v>1442</v>
      </c>
      <c r="J35" s="39" t="s">
        <v>68</v>
      </c>
      <c r="K35" s="39" t="s">
        <v>32</v>
      </c>
      <c r="L35" s="44">
        <v>628985560045</v>
      </c>
      <c r="M35" s="39" t="s">
        <v>1444</v>
      </c>
      <c r="O35" s="39" t="s">
        <v>1445</v>
      </c>
      <c r="P35" s="39" t="s">
        <v>1438</v>
      </c>
      <c r="Q35" s="39" t="s">
        <v>1437</v>
      </c>
      <c r="R35" s="39" t="s">
        <v>2372</v>
      </c>
      <c r="S35" s="39" t="s">
        <v>2373</v>
      </c>
      <c r="T35" s="39">
        <v>8830859485</v>
      </c>
    </row>
    <row r="36" spans="1:20">
      <c r="A36" s="39" t="s">
        <v>21</v>
      </c>
      <c r="B36" s="39" t="s">
        <v>314</v>
      </c>
      <c r="C36" s="39" t="s">
        <v>2804</v>
      </c>
      <c r="D36" s="39" t="s">
        <v>315</v>
      </c>
      <c r="E36" s="39" t="s">
        <v>2771</v>
      </c>
      <c r="F36" s="39" t="s">
        <v>1459</v>
      </c>
      <c r="G36" s="39">
        <v>7626944116</v>
      </c>
      <c r="H36" s="39" t="s">
        <v>1460</v>
      </c>
      <c r="I36" s="39" t="s">
        <v>1461</v>
      </c>
      <c r="J36" s="39" t="s">
        <v>68</v>
      </c>
      <c r="L36" s="44">
        <v>6289602778076</v>
      </c>
      <c r="O36" s="39" t="s">
        <v>1462</v>
      </c>
      <c r="P36" s="39" t="s">
        <v>1458</v>
      </c>
      <c r="Q36" s="39" t="s">
        <v>1457</v>
      </c>
      <c r="R36" s="39" t="s">
        <v>2378</v>
      </c>
      <c r="S36" s="39" t="s">
        <v>2379</v>
      </c>
      <c r="T36" s="39">
        <v>7626944116</v>
      </c>
    </row>
    <row r="37" spans="1:20">
      <c r="A37" s="39" t="s">
        <v>21</v>
      </c>
      <c r="B37" s="39" t="s">
        <v>314</v>
      </c>
      <c r="C37" s="39" t="s">
        <v>2804</v>
      </c>
      <c r="D37" s="39" t="s">
        <v>315</v>
      </c>
      <c r="E37" s="39" t="s">
        <v>2771</v>
      </c>
      <c r="F37" s="39" t="s">
        <v>1578</v>
      </c>
      <c r="G37" s="39">
        <v>8677906122</v>
      </c>
      <c r="H37" s="39" t="s">
        <v>1580</v>
      </c>
      <c r="I37" s="39" t="s">
        <v>1581</v>
      </c>
      <c r="J37" s="39" t="s">
        <v>68</v>
      </c>
      <c r="K37" s="39" t="s">
        <v>32</v>
      </c>
      <c r="L37" s="44">
        <v>6289602778077</v>
      </c>
      <c r="M37" s="39" t="s">
        <v>1583</v>
      </c>
      <c r="O37" s="39" t="s">
        <v>1584</v>
      </c>
      <c r="P37" s="39" t="s">
        <v>1577</v>
      </c>
      <c r="Q37" s="39" t="s">
        <v>1576</v>
      </c>
      <c r="R37" s="39" t="s">
        <v>2410</v>
      </c>
      <c r="S37" s="39" t="s">
        <v>2411</v>
      </c>
      <c r="T37" s="39">
        <v>8677906122</v>
      </c>
    </row>
    <row r="38" spans="1:20">
      <c r="A38" s="39" t="s">
        <v>21</v>
      </c>
      <c r="B38" s="39" t="s">
        <v>314</v>
      </c>
      <c r="C38" s="39" t="s">
        <v>2804</v>
      </c>
      <c r="D38" s="39" t="s">
        <v>315</v>
      </c>
      <c r="E38" s="39" t="s">
        <v>2771</v>
      </c>
      <c r="F38" s="39" t="s">
        <v>1672</v>
      </c>
      <c r="G38" s="39">
        <v>8819253454</v>
      </c>
      <c r="H38" s="39" t="s">
        <v>1673</v>
      </c>
      <c r="I38" s="39" t="s">
        <v>1674</v>
      </c>
      <c r="J38" s="39" t="s">
        <v>68</v>
      </c>
      <c r="L38" s="44">
        <v>6289602778078</v>
      </c>
      <c r="O38" s="39" t="s">
        <v>1675</v>
      </c>
      <c r="P38" s="39" t="s">
        <v>1671</v>
      </c>
      <c r="Q38" s="39" t="s">
        <v>1670</v>
      </c>
      <c r="R38" s="39" t="s">
        <v>2434</v>
      </c>
      <c r="S38" s="39" t="s">
        <v>2435</v>
      </c>
      <c r="T38" s="39">
        <v>8819253454</v>
      </c>
    </row>
    <row r="39" spans="1:20">
      <c r="A39" s="39" t="s">
        <v>21</v>
      </c>
      <c r="B39" s="39" t="s">
        <v>70</v>
      </c>
      <c r="C39" s="39" t="s">
        <v>2805</v>
      </c>
      <c r="D39" s="39" t="s">
        <v>121</v>
      </c>
      <c r="E39" s="39" t="s">
        <v>2772</v>
      </c>
      <c r="F39" s="39" t="s">
        <v>126</v>
      </c>
      <c r="G39" s="39">
        <v>7318574582</v>
      </c>
      <c r="H39" s="39" t="s">
        <v>127</v>
      </c>
      <c r="I39" s="39" t="s">
        <v>128</v>
      </c>
      <c r="J39" s="39" t="s">
        <v>68</v>
      </c>
      <c r="K39" s="39" t="s">
        <v>32</v>
      </c>
      <c r="L39" s="44">
        <v>6285771315013</v>
      </c>
      <c r="O39" s="39" t="s">
        <v>129</v>
      </c>
      <c r="P39" s="39">
        <v>2613050977</v>
      </c>
      <c r="Q39" s="39" t="s">
        <v>125</v>
      </c>
      <c r="R39" s="39" t="s">
        <v>2016</v>
      </c>
      <c r="S39" s="39" t="s">
        <v>2017</v>
      </c>
      <c r="T39" s="39">
        <v>7318574582</v>
      </c>
    </row>
    <row r="40" spans="1:20">
      <c r="A40" s="39" t="s">
        <v>21</v>
      </c>
      <c r="B40" s="39" t="s">
        <v>70</v>
      </c>
      <c r="C40" s="39" t="s">
        <v>2805</v>
      </c>
      <c r="D40" s="39" t="s">
        <v>121</v>
      </c>
      <c r="E40" s="39" t="s">
        <v>2772</v>
      </c>
      <c r="F40" s="39" t="s">
        <v>221</v>
      </c>
      <c r="G40" s="39">
        <v>1445450502</v>
      </c>
      <c r="H40" s="39" t="s">
        <v>222</v>
      </c>
      <c r="I40" s="39" t="s">
        <v>223</v>
      </c>
      <c r="J40" s="39" t="s">
        <v>68</v>
      </c>
      <c r="K40" s="39" t="s">
        <v>32</v>
      </c>
      <c r="L40" s="44">
        <v>6281511649202</v>
      </c>
      <c r="O40" s="39" t="s">
        <v>224</v>
      </c>
      <c r="P40" s="39">
        <v>2613052398</v>
      </c>
      <c r="Q40" s="39" t="s">
        <v>220</v>
      </c>
      <c r="R40" s="39" t="s">
        <v>2046</v>
      </c>
      <c r="S40" s="39" t="s">
        <v>2047</v>
      </c>
      <c r="T40" s="39">
        <v>1445450502</v>
      </c>
    </row>
    <row r="41" spans="1:20">
      <c r="A41" s="39" t="s">
        <v>21</v>
      </c>
      <c r="B41" s="39" t="s">
        <v>70</v>
      </c>
      <c r="C41" s="39" t="s">
        <v>2805</v>
      </c>
      <c r="D41" s="39" t="s">
        <v>121</v>
      </c>
      <c r="E41" s="39" t="s">
        <v>2772</v>
      </c>
      <c r="F41" s="39" t="s">
        <v>550</v>
      </c>
      <c r="G41" s="39">
        <v>6452805492</v>
      </c>
      <c r="H41" s="39" t="s">
        <v>551</v>
      </c>
      <c r="I41" s="39" t="s">
        <v>552</v>
      </c>
      <c r="J41" s="39" t="s">
        <v>68</v>
      </c>
      <c r="K41" s="39" t="s">
        <v>32</v>
      </c>
      <c r="L41" s="44">
        <v>62857991691857</v>
      </c>
      <c r="O41" s="39" t="s">
        <v>553</v>
      </c>
      <c r="P41" s="39" t="s">
        <v>548</v>
      </c>
      <c r="Q41" s="39" t="s">
        <v>549</v>
      </c>
      <c r="R41" s="39" t="s">
        <v>2138</v>
      </c>
      <c r="S41" s="39" t="s">
        <v>2139</v>
      </c>
      <c r="T41" s="39">
        <v>6452805492</v>
      </c>
    </row>
    <row r="42" spans="1:20">
      <c r="A42" s="39" t="s">
        <v>21</v>
      </c>
      <c r="B42" s="39" t="s">
        <v>70</v>
      </c>
      <c r="C42" s="39" t="s">
        <v>2805</v>
      </c>
      <c r="D42" s="39" t="s">
        <v>121</v>
      </c>
      <c r="E42" s="39" t="s">
        <v>2772</v>
      </c>
      <c r="F42" s="39" t="s">
        <v>562</v>
      </c>
      <c r="G42" s="39">
        <v>8101087465</v>
      </c>
      <c r="H42" s="39" t="s">
        <v>563</v>
      </c>
      <c r="I42" s="39" t="s">
        <v>564</v>
      </c>
      <c r="J42" s="39" t="s">
        <v>68</v>
      </c>
      <c r="K42" s="39" t="s">
        <v>32</v>
      </c>
      <c r="L42" s="44">
        <v>62858606096957</v>
      </c>
      <c r="O42" s="39" t="s">
        <v>565</v>
      </c>
      <c r="P42" s="39" t="s">
        <v>560</v>
      </c>
      <c r="Q42" s="39" t="s">
        <v>561</v>
      </c>
      <c r="R42" s="39" t="s">
        <v>2142</v>
      </c>
      <c r="S42" s="39" t="s">
        <v>2143</v>
      </c>
      <c r="T42" s="39">
        <v>8101087465</v>
      </c>
    </row>
    <row r="43" spans="1:20">
      <c r="A43" s="39" t="s">
        <v>21</v>
      </c>
      <c r="B43" s="39" t="s">
        <v>70</v>
      </c>
      <c r="C43" s="39" t="s">
        <v>2805</v>
      </c>
      <c r="D43" s="39" t="s">
        <v>121</v>
      </c>
      <c r="E43" s="39" t="s">
        <v>2772</v>
      </c>
      <c r="F43" s="39" t="s">
        <v>568</v>
      </c>
      <c r="G43" s="39">
        <v>7802374707</v>
      </c>
      <c r="H43" s="39" t="s">
        <v>569</v>
      </c>
      <c r="I43" s="39" t="s">
        <v>570</v>
      </c>
      <c r="J43" s="39" t="s">
        <v>68</v>
      </c>
      <c r="K43" s="39" t="s">
        <v>32</v>
      </c>
      <c r="L43" s="44">
        <v>62857773555597</v>
      </c>
      <c r="O43" s="39" t="s">
        <v>571</v>
      </c>
      <c r="P43" s="39" t="s">
        <v>566</v>
      </c>
      <c r="Q43" s="39" t="s">
        <v>567</v>
      </c>
      <c r="R43" s="39" t="s">
        <v>2144</v>
      </c>
      <c r="S43" s="39" t="s">
        <v>2145</v>
      </c>
      <c r="T43" s="39">
        <v>7802374707</v>
      </c>
    </row>
    <row r="44" spans="1:20">
      <c r="A44" s="39" t="s">
        <v>21</v>
      </c>
      <c r="B44" s="39" t="s">
        <v>70</v>
      </c>
      <c r="C44" s="39" t="s">
        <v>2805</v>
      </c>
      <c r="D44" s="39" t="s">
        <v>121</v>
      </c>
      <c r="E44" s="39" t="s">
        <v>2772</v>
      </c>
      <c r="F44" s="39" t="s">
        <v>574</v>
      </c>
      <c r="G44" s="39">
        <v>7416269307</v>
      </c>
      <c r="H44" s="39" t="s">
        <v>575</v>
      </c>
      <c r="I44" s="39" t="s">
        <v>576</v>
      </c>
      <c r="J44" s="39" t="s">
        <v>68</v>
      </c>
      <c r="K44" s="39" t="s">
        <v>32</v>
      </c>
      <c r="L44" s="44">
        <v>62858131344137</v>
      </c>
      <c r="O44" s="39" t="s">
        <v>577</v>
      </c>
      <c r="P44" s="39" t="s">
        <v>572</v>
      </c>
      <c r="Q44" s="39" t="s">
        <v>573</v>
      </c>
      <c r="R44" s="39" t="s">
        <v>2146</v>
      </c>
      <c r="S44" s="39" t="s">
        <v>2147</v>
      </c>
      <c r="T44" s="39">
        <v>7416269307</v>
      </c>
    </row>
    <row r="45" spans="1:20">
      <c r="A45" s="39" t="s">
        <v>21</v>
      </c>
      <c r="B45" s="39" t="s">
        <v>70</v>
      </c>
      <c r="C45" s="39" t="s">
        <v>2805</v>
      </c>
      <c r="D45" s="39" t="s">
        <v>121</v>
      </c>
      <c r="E45" s="39" t="s">
        <v>2772</v>
      </c>
      <c r="F45" s="39" t="s">
        <v>580</v>
      </c>
      <c r="G45" s="39">
        <v>1716620959</v>
      </c>
      <c r="H45" s="39" t="s">
        <v>581</v>
      </c>
      <c r="I45" s="39" t="s">
        <v>582</v>
      </c>
      <c r="J45" s="39" t="s">
        <v>68</v>
      </c>
      <c r="K45" s="39" t="s">
        <v>32</v>
      </c>
      <c r="L45" s="44">
        <v>62858831083737</v>
      </c>
      <c r="O45" s="39" t="s">
        <v>583</v>
      </c>
      <c r="P45" s="39" t="s">
        <v>578</v>
      </c>
      <c r="Q45" s="39" t="s">
        <v>579</v>
      </c>
      <c r="R45" s="39" t="s">
        <v>2148</v>
      </c>
      <c r="S45" s="39" t="s">
        <v>2149</v>
      </c>
      <c r="T45" s="39">
        <v>1716620959</v>
      </c>
    </row>
    <row r="46" spans="1:20">
      <c r="A46" s="39" t="s">
        <v>21</v>
      </c>
      <c r="B46" s="39" t="s">
        <v>70</v>
      </c>
      <c r="C46" s="39" t="s">
        <v>2805</v>
      </c>
      <c r="D46" s="39" t="s">
        <v>121</v>
      </c>
      <c r="E46" s="39" t="s">
        <v>2772</v>
      </c>
      <c r="F46" s="39" t="s">
        <v>586</v>
      </c>
      <c r="G46" s="39">
        <v>8080401631</v>
      </c>
      <c r="H46" s="39" t="s">
        <v>587</v>
      </c>
      <c r="I46" s="39" t="s">
        <v>588</v>
      </c>
      <c r="J46" s="39" t="s">
        <v>68</v>
      </c>
      <c r="K46" s="39" t="s">
        <v>32</v>
      </c>
      <c r="L46" s="44">
        <v>62857765271617</v>
      </c>
      <c r="O46" s="39" t="s">
        <v>589</v>
      </c>
      <c r="P46" s="39" t="s">
        <v>584</v>
      </c>
      <c r="Q46" s="39" t="s">
        <v>585</v>
      </c>
      <c r="R46" s="39" t="s">
        <v>2150</v>
      </c>
      <c r="S46" s="39" t="s">
        <v>2151</v>
      </c>
      <c r="T46" s="39">
        <v>8080401631</v>
      </c>
    </row>
    <row r="47" spans="1:20">
      <c r="A47" s="39" t="s">
        <v>21</v>
      </c>
      <c r="B47" s="39" t="s">
        <v>70</v>
      </c>
      <c r="C47" s="39" t="s">
        <v>2805</v>
      </c>
      <c r="D47" s="39" t="s">
        <v>121</v>
      </c>
      <c r="E47" s="39" t="s">
        <v>2772</v>
      </c>
      <c r="F47" s="39" t="s">
        <v>598</v>
      </c>
      <c r="G47" s="39">
        <v>8028883139</v>
      </c>
      <c r="H47" s="39" t="s">
        <v>599</v>
      </c>
      <c r="I47" s="39" t="s">
        <v>600</v>
      </c>
      <c r="J47" s="39" t="s">
        <v>68</v>
      </c>
      <c r="K47" s="39" t="s">
        <v>32</v>
      </c>
      <c r="L47" s="44">
        <v>62858909225157</v>
      </c>
      <c r="O47" s="39" t="s">
        <v>601</v>
      </c>
      <c r="P47" s="39" t="s">
        <v>596</v>
      </c>
      <c r="Q47" s="39" t="s">
        <v>597</v>
      </c>
      <c r="R47" s="39" t="s">
        <v>2154</v>
      </c>
      <c r="S47" s="39" t="s">
        <v>2155</v>
      </c>
      <c r="T47" s="39">
        <v>8028883139</v>
      </c>
    </row>
    <row r="48" spans="1:20">
      <c r="A48" s="39" t="s">
        <v>21</v>
      </c>
      <c r="B48" s="39" t="s">
        <v>70</v>
      </c>
      <c r="C48" s="39" t="s">
        <v>2805</v>
      </c>
      <c r="D48" s="39" t="s">
        <v>71</v>
      </c>
      <c r="E48" s="39" t="s">
        <v>2773</v>
      </c>
      <c r="F48" s="39" t="s">
        <v>77</v>
      </c>
      <c r="H48" s="39" t="s">
        <v>78</v>
      </c>
      <c r="I48" s="39" t="s">
        <v>79</v>
      </c>
      <c r="J48" s="39" t="s">
        <v>68</v>
      </c>
      <c r="K48" s="39" t="s">
        <v>32</v>
      </c>
      <c r="L48" s="44">
        <v>6285691354474</v>
      </c>
      <c r="O48" s="39" t="s">
        <v>80</v>
      </c>
      <c r="P48" s="39">
        <v>2613050474</v>
      </c>
      <c r="Q48" s="39" t="s">
        <v>76</v>
      </c>
      <c r="R48" s="39" t="s">
        <v>2006</v>
      </c>
      <c r="S48" s="39" t="s">
        <v>2007</v>
      </c>
      <c r="T48" s="39">
        <v>8439960026</v>
      </c>
    </row>
    <row r="49" spans="1:20">
      <c r="A49" s="39" t="s">
        <v>21</v>
      </c>
      <c r="B49" s="39" t="s">
        <v>70</v>
      </c>
      <c r="C49" s="39" t="s">
        <v>2805</v>
      </c>
      <c r="D49" s="39" t="s">
        <v>71</v>
      </c>
      <c r="E49" s="39" t="s">
        <v>2773</v>
      </c>
      <c r="F49" s="39" t="s">
        <v>226</v>
      </c>
      <c r="G49" s="39">
        <v>6438558018</v>
      </c>
      <c r="H49" s="39" t="s">
        <v>227</v>
      </c>
      <c r="I49" s="39" t="s">
        <v>228</v>
      </c>
      <c r="J49" s="39" t="s">
        <v>68</v>
      </c>
      <c r="K49" s="39" t="s">
        <v>32</v>
      </c>
      <c r="L49" s="44">
        <v>6285781257152</v>
      </c>
      <c r="O49" s="39" t="s">
        <v>229</v>
      </c>
      <c r="P49" s="39">
        <v>2613051092</v>
      </c>
      <c r="Q49" s="39" t="s">
        <v>225</v>
      </c>
      <c r="R49" s="39" t="s">
        <v>2048</v>
      </c>
      <c r="S49" s="39" t="s">
        <v>2049</v>
      </c>
      <c r="T49" s="39">
        <v>6438558018</v>
      </c>
    </row>
    <row r="50" spans="1:20">
      <c r="A50" s="39" t="s">
        <v>21</v>
      </c>
      <c r="B50" s="39" t="s">
        <v>70</v>
      </c>
      <c r="C50" s="39" t="s">
        <v>2805</v>
      </c>
      <c r="D50" s="39" t="s">
        <v>71</v>
      </c>
      <c r="E50" s="39" t="s">
        <v>2773</v>
      </c>
      <c r="F50" s="39" t="s">
        <v>276</v>
      </c>
      <c r="G50" s="39">
        <v>8204310249</v>
      </c>
      <c r="H50" s="39" t="s">
        <v>277</v>
      </c>
      <c r="I50" s="39" t="s">
        <v>278</v>
      </c>
      <c r="J50" s="39" t="s">
        <v>68</v>
      </c>
      <c r="K50" s="39" t="s">
        <v>32</v>
      </c>
      <c r="L50" s="44">
        <v>6285888855077</v>
      </c>
      <c r="O50" s="39" t="s">
        <v>279</v>
      </c>
      <c r="P50" s="39">
        <v>2613051872</v>
      </c>
      <c r="Q50" s="39" t="s">
        <v>275</v>
      </c>
      <c r="R50" s="39" t="s">
        <v>2066</v>
      </c>
      <c r="S50" s="39" t="s">
        <v>2067</v>
      </c>
      <c r="T50" s="39">
        <v>8204310249</v>
      </c>
    </row>
    <row r="51" spans="1:20">
      <c r="A51" s="39" t="s">
        <v>21</v>
      </c>
      <c r="B51" s="39" t="s">
        <v>70</v>
      </c>
      <c r="C51" s="39" t="s">
        <v>2805</v>
      </c>
      <c r="D51" s="39" t="s">
        <v>71</v>
      </c>
      <c r="E51" s="39" t="s">
        <v>2773</v>
      </c>
      <c r="F51" s="39" t="s">
        <v>943</v>
      </c>
      <c r="H51" s="39" t="s">
        <v>944</v>
      </c>
      <c r="I51" s="39" t="s">
        <v>945</v>
      </c>
      <c r="J51" s="39" t="s">
        <v>68</v>
      </c>
      <c r="K51" s="39" t="s">
        <v>32</v>
      </c>
      <c r="L51" s="44">
        <v>6285692700649</v>
      </c>
      <c r="O51" s="39" t="s">
        <v>946</v>
      </c>
      <c r="P51" s="39" t="s">
        <v>941</v>
      </c>
      <c r="Q51" s="39" t="s">
        <v>942</v>
      </c>
      <c r="R51" s="39" t="s">
        <v>2228</v>
      </c>
      <c r="S51" s="39" t="s">
        <v>2229</v>
      </c>
      <c r="T51" s="39">
        <v>8905936677</v>
      </c>
    </row>
    <row r="52" spans="1:20">
      <c r="A52" s="39" t="s">
        <v>21</v>
      </c>
      <c r="B52" s="39" t="s">
        <v>70</v>
      </c>
      <c r="C52" s="39" t="s">
        <v>2805</v>
      </c>
      <c r="D52" s="39" t="s">
        <v>71</v>
      </c>
      <c r="E52" s="39" t="s">
        <v>2773</v>
      </c>
      <c r="F52" s="39" t="s">
        <v>949</v>
      </c>
      <c r="G52" s="39" t="s">
        <v>2865</v>
      </c>
      <c r="H52" s="39" t="s">
        <v>950</v>
      </c>
      <c r="I52" s="39" t="s">
        <v>951</v>
      </c>
      <c r="J52" s="39" t="s">
        <v>68</v>
      </c>
      <c r="K52" s="39" t="s">
        <v>32</v>
      </c>
      <c r="L52" s="44">
        <v>6285692700656</v>
      </c>
      <c r="O52" s="39" t="s">
        <v>952</v>
      </c>
      <c r="P52" s="39" t="s">
        <v>947</v>
      </c>
      <c r="Q52" s="39" t="s">
        <v>948</v>
      </c>
      <c r="R52" s="39" t="s">
        <v>2230</v>
      </c>
      <c r="S52" s="39" t="s">
        <v>2231</v>
      </c>
    </row>
    <row r="53" spans="1:20">
      <c r="A53" s="39" t="s">
        <v>21</v>
      </c>
      <c r="B53" s="39" t="s">
        <v>70</v>
      </c>
      <c r="C53" s="39" t="s">
        <v>2805</v>
      </c>
      <c r="D53" s="39" t="s">
        <v>71</v>
      </c>
      <c r="E53" s="39" t="s">
        <v>2773</v>
      </c>
      <c r="F53" s="39" t="s">
        <v>955</v>
      </c>
      <c r="G53" s="39">
        <v>5807958342</v>
      </c>
      <c r="H53" s="39" t="s">
        <v>956</v>
      </c>
      <c r="I53" s="39" t="s">
        <v>957</v>
      </c>
      <c r="J53" s="39" t="s">
        <v>68</v>
      </c>
      <c r="K53" s="39" t="s">
        <v>32</v>
      </c>
      <c r="L53" s="44">
        <v>6285692700657</v>
      </c>
      <c r="O53" s="39" t="s">
        <v>958</v>
      </c>
      <c r="P53" s="39" t="s">
        <v>953</v>
      </c>
      <c r="Q53" s="39" t="s">
        <v>954</v>
      </c>
      <c r="R53" s="39" t="s">
        <v>2232</v>
      </c>
      <c r="S53" s="39" t="s">
        <v>2233</v>
      </c>
      <c r="T53" s="39">
        <v>5807958342</v>
      </c>
    </row>
    <row r="54" spans="1:20">
      <c r="A54" s="39" t="s">
        <v>21</v>
      </c>
      <c r="B54" s="39" t="s">
        <v>70</v>
      </c>
      <c r="C54" s="39" t="s">
        <v>2805</v>
      </c>
      <c r="D54" s="39" t="s">
        <v>71</v>
      </c>
      <c r="E54" s="39" t="s">
        <v>2773</v>
      </c>
      <c r="F54" s="39" t="s">
        <v>973</v>
      </c>
      <c r="G54" s="39">
        <v>8314477409</v>
      </c>
      <c r="H54" s="39" t="s">
        <v>974</v>
      </c>
      <c r="I54" s="39" t="s">
        <v>975</v>
      </c>
      <c r="J54" s="39" t="s">
        <v>68</v>
      </c>
      <c r="K54" s="39" t="s">
        <v>32</v>
      </c>
      <c r="L54" s="44">
        <v>6285692700662</v>
      </c>
      <c r="O54" s="39" t="s">
        <v>976</v>
      </c>
      <c r="P54" s="39" t="s">
        <v>971</v>
      </c>
      <c r="Q54" s="39" t="s">
        <v>972</v>
      </c>
      <c r="R54" s="39" t="s">
        <v>2238</v>
      </c>
      <c r="S54" s="39" t="s">
        <v>2239</v>
      </c>
      <c r="T54" s="39">
        <v>8314477409</v>
      </c>
    </row>
    <row r="55" spans="1:20">
      <c r="A55" s="39" t="s">
        <v>21</v>
      </c>
      <c r="B55" s="39" t="s">
        <v>70</v>
      </c>
      <c r="C55" s="39" t="s">
        <v>2805</v>
      </c>
      <c r="D55" s="39" t="s">
        <v>111</v>
      </c>
      <c r="E55" s="39" t="s">
        <v>2774</v>
      </c>
      <c r="F55" s="39" t="s">
        <v>116</v>
      </c>
      <c r="H55" s="39" t="s">
        <v>117</v>
      </c>
      <c r="I55" s="39" t="s">
        <v>118</v>
      </c>
      <c r="J55" s="39" t="s">
        <v>119</v>
      </c>
      <c r="K55" s="39" t="s">
        <v>32</v>
      </c>
      <c r="L55" s="44">
        <v>6285839976830</v>
      </c>
      <c r="O55" s="39" t="s">
        <v>120</v>
      </c>
      <c r="P55" s="39">
        <v>2613050954</v>
      </c>
      <c r="Q55" s="39" t="s">
        <v>115</v>
      </c>
      <c r="R55" s="39" t="s">
        <v>2014</v>
      </c>
      <c r="S55" s="39" t="s">
        <v>2015</v>
      </c>
      <c r="T55" s="39">
        <v>8801454719</v>
      </c>
    </row>
    <row r="56" spans="1:20">
      <c r="A56" s="39" t="s">
        <v>21</v>
      </c>
      <c r="B56" s="39" t="s">
        <v>70</v>
      </c>
      <c r="C56" s="39" t="s">
        <v>2805</v>
      </c>
      <c r="D56" s="39" t="s">
        <v>111</v>
      </c>
      <c r="E56" s="39" t="s">
        <v>2774</v>
      </c>
      <c r="F56" s="39" t="s">
        <v>785</v>
      </c>
      <c r="H56" s="39" t="s">
        <v>786</v>
      </c>
      <c r="I56" s="39" t="s">
        <v>787</v>
      </c>
      <c r="J56" s="39" t="s">
        <v>68</v>
      </c>
      <c r="K56" s="39" t="s">
        <v>32</v>
      </c>
      <c r="L56" s="44">
        <v>6285716260216</v>
      </c>
      <c r="O56" s="39" t="s">
        <v>788</v>
      </c>
      <c r="P56" s="39" t="s">
        <v>783</v>
      </c>
      <c r="Q56" s="39" t="s">
        <v>784</v>
      </c>
      <c r="R56" s="39" t="s">
        <v>2194</v>
      </c>
      <c r="S56" s="39" t="s">
        <v>2195</v>
      </c>
    </row>
    <row r="57" spans="1:20">
      <c r="A57" s="39" t="s">
        <v>21</v>
      </c>
      <c r="B57" s="39" t="s">
        <v>70</v>
      </c>
      <c r="C57" s="39" t="s">
        <v>2805</v>
      </c>
      <c r="D57" s="39" t="s">
        <v>111</v>
      </c>
      <c r="E57" s="39" t="s">
        <v>2774</v>
      </c>
      <c r="F57" s="39" t="s">
        <v>985</v>
      </c>
      <c r="G57" s="39" t="s">
        <v>2865</v>
      </c>
      <c r="H57" s="39" t="s">
        <v>986</v>
      </c>
      <c r="I57" s="39" t="s">
        <v>987</v>
      </c>
      <c r="J57" s="39" t="s">
        <v>68</v>
      </c>
      <c r="K57" s="39" t="s">
        <v>32</v>
      </c>
      <c r="L57" s="44">
        <v>6285692700664</v>
      </c>
      <c r="O57" s="39" t="s">
        <v>988</v>
      </c>
      <c r="P57" s="39" t="s">
        <v>983</v>
      </c>
      <c r="Q57" s="39" t="s">
        <v>984</v>
      </c>
      <c r="R57" s="39" t="s">
        <v>2242</v>
      </c>
      <c r="S57" s="39" t="s">
        <v>2243</v>
      </c>
    </row>
    <row r="58" spans="1:20">
      <c r="A58" s="39" t="s">
        <v>21</v>
      </c>
      <c r="B58" s="39" t="s">
        <v>70</v>
      </c>
      <c r="C58" s="39" t="s">
        <v>2805</v>
      </c>
      <c r="D58" s="39" t="s">
        <v>111</v>
      </c>
      <c r="E58" s="39" t="s">
        <v>2774</v>
      </c>
      <c r="F58" s="39" t="s">
        <v>997</v>
      </c>
      <c r="G58" s="39">
        <v>7254132404</v>
      </c>
      <c r="H58" s="39" t="s">
        <v>998</v>
      </c>
      <c r="I58" s="39" t="s">
        <v>999</v>
      </c>
      <c r="J58" s="39" t="s">
        <v>68</v>
      </c>
      <c r="K58" s="39" t="s">
        <v>32</v>
      </c>
      <c r="L58" s="44">
        <v>6285714888807</v>
      </c>
      <c r="O58" s="39" t="s">
        <v>1000</v>
      </c>
      <c r="P58" s="39" t="s">
        <v>995</v>
      </c>
      <c r="Q58" s="39" t="s">
        <v>996</v>
      </c>
      <c r="R58" s="39" t="s">
        <v>2246</v>
      </c>
      <c r="S58" s="39" t="s">
        <v>2247</v>
      </c>
      <c r="T58" s="39">
        <v>7254132404</v>
      </c>
    </row>
    <row r="59" spans="1:20">
      <c r="A59" s="39" t="s">
        <v>21</v>
      </c>
      <c r="B59" s="39" t="s">
        <v>70</v>
      </c>
      <c r="C59" s="39" t="s">
        <v>2805</v>
      </c>
      <c r="D59" s="39" t="s">
        <v>111</v>
      </c>
      <c r="E59" s="39" t="s">
        <v>2774</v>
      </c>
      <c r="F59" s="39" t="s">
        <v>1003</v>
      </c>
      <c r="G59" s="39" t="s">
        <v>2865</v>
      </c>
      <c r="H59" s="39" t="s">
        <v>1004</v>
      </c>
      <c r="I59" s="39" t="s">
        <v>1005</v>
      </c>
      <c r="J59" s="39" t="s">
        <v>68</v>
      </c>
      <c r="K59" s="39" t="s">
        <v>32</v>
      </c>
      <c r="L59" s="44">
        <v>6285692700676</v>
      </c>
      <c r="O59" s="39" t="s">
        <v>1006</v>
      </c>
      <c r="P59" s="39" t="s">
        <v>1001</v>
      </c>
      <c r="Q59" s="39" t="s">
        <v>1002</v>
      </c>
      <c r="R59" s="39" t="s">
        <v>2248</v>
      </c>
      <c r="S59" s="39" t="s">
        <v>2249</v>
      </c>
    </row>
    <row r="60" spans="1:20">
      <c r="A60" s="39" t="s">
        <v>21</v>
      </c>
      <c r="B60" s="39" t="s">
        <v>70</v>
      </c>
      <c r="C60" s="39" t="s">
        <v>2805</v>
      </c>
      <c r="D60" s="39" t="s">
        <v>111</v>
      </c>
      <c r="E60" s="39" t="s">
        <v>2774</v>
      </c>
      <c r="F60" s="39" t="s">
        <v>1009</v>
      </c>
      <c r="G60" s="39">
        <v>8779829368</v>
      </c>
      <c r="H60" s="39" t="s">
        <v>1010</v>
      </c>
      <c r="I60" s="39" t="s">
        <v>1011</v>
      </c>
      <c r="J60" s="39" t="s">
        <v>68</v>
      </c>
      <c r="K60" s="39" t="s">
        <v>32</v>
      </c>
      <c r="L60" s="44">
        <v>6285692700680</v>
      </c>
      <c r="O60" s="39" t="s">
        <v>1012</v>
      </c>
      <c r="P60" s="39" t="s">
        <v>1007</v>
      </c>
      <c r="Q60" s="39" t="s">
        <v>1008</v>
      </c>
      <c r="R60" s="39" t="s">
        <v>2250</v>
      </c>
      <c r="S60" s="39" t="s">
        <v>2251</v>
      </c>
      <c r="T60" s="39">
        <v>8779829368</v>
      </c>
    </row>
    <row r="61" spans="1:20">
      <c r="A61" s="39" t="s">
        <v>21</v>
      </c>
      <c r="B61" s="39" t="s">
        <v>70</v>
      </c>
      <c r="C61" s="39" t="s">
        <v>2805</v>
      </c>
      <c r="D61" s="39" t="s">
        <v>111</v>
      </c>
      <c r="E61" s="39" t="s">
        <v>2774</v>
      </c>
      <c r="F61" s="39" t="s">
        <v>1015</v>
      </c>
      <c r="G61" s="39">
        <v>8186450442</v>
      </c>
      <c r="H61" s="39" t="s">
        <v>1016</v>
      </c>
      <c r="I61" s="39" t="s">
        <v>1017</v>
      </c>
      <c r="J61" s="39" t="s">
        <v>68</v>
      </c>
      <c r="K61" s="39" t="s">
        <v>32</v>
      </c>
      <c r="L61" s="44">
        <v>6285692700683</v>
      </c>
      <c r="O61" s="39" t="s">
        <v>1018</v>
      </c>
      <c r="P61" s="39" t="s">
        <v>1013</v>
      </c>
      <c r="Q61" s="39" t="s">
        <v>1014</v>
      </c>
      <c r="R61" s="39" t="s">
        <v>2252</v>
      </c>
      <c r="S61" s="39" t="s">
        <v>2253</v>
      </c>
      <c r="T61" s="39">
        <v>8186450442</v>
      </c>
    </row>
    <row r="62" spans="1:20">
      <c r="A62" s="39" t="s">
        <v>21</v>
      </c>
      <c r="B62" s="39" t="s">
        <v>70</v>
      </c>
      <c r="C62" s="39" t="s">
        <v>2805</v>
      </c>
      <c r="D62" s="39" t="s">
        <v>111</v>
      </c>
      <c r="E62" s="39" t="s">
        <v>2774</v>
      </c>
      <c r="F62" s="39" t="s">
        <v>1027</v>
      </c>
      <c r="G62" s="39">
        <v>8840314501</v>
      </c>
      <c r="H62" s="39" t="s">
        <v>1028</v>
      </c>
      <c r="I62" s="39" t="s">
        <v>1029</v>
      </c>
      <c r="J62" s="39" t="s">
        <v>68</v>
      </c>
      <c r="K62" s="39" t="s">
        <v>32</v>
      </c>
      <c r="L62" s="44">
        <v>6285718256704</v>
      </c>
      <c r="O62" s="39" t="s">
        <v>1030</v>
      </c>
      <c r="P62" s="39" t="s">
        <v>1025</v>
      </c>
      <c r="Q62" s="39" t="s">
        <v>1026</v>
      </c>
      <c r="R62" s="39" t="s">
        <v>2256</v>
      </c>
      <c r="S62" s="39" t="s">
        <v>2257</v>
      </c>
      <c r="T62" s="39">
        <v>8840314501</v>
      </c>
    </row>
    <row r="63" spans="1:20">
      <c r="A63" s="39" t="s">
        <v>21</v>
      </c>
      <c r="B63" s="39" t="s">
        <v>70</v>
      </c>
      <c r="C63" s="39" t="s">
        <v>2805</v>
      </c>
      <c r="D63" s="39" t="s">
        <v>526</v>
      </c>
      <c r="E63" s="39" t="s">
        <v>2775</v>
      </c>
      <c r="F63" s="39" t="s">
        <v>532</v>
      </c>
      <c r="G63" s="39">
        <v>7897604815</v>
      </c>
      <c r="H63" s="39" t="s">
        <v>533</v>
      </c>
      <c r="I63" s="39" t="s">
        <v>534</v>
      </c>
      <c r="J63" s="39" t="s">
        <v>68</v>
      </c>
      <c r="K63" s="39" t="s">
        <v>32</v>
      </c>
      <c r="L63" s="44">
        <v>62857163999997</v>
      </c>
      <c r="O63" s="39" t="s">
        <v>535</v>
      </c>
      <c r="P63" s="39" t="s">
        <v>530</v>
      </c>
      <c r="Q63" s="39" t="s">
        <v>531</v>
      </c>
      <c r="R63" s="39" t="s">
        <v>2132</v>
      </c>
      <c r="S63" s="39" t="s">
        <v>2133</v>
      </c>
      <c r="T63" s="39">
        <v>7897604815</v>
      </c>
    </row>
    <row r="64" spans="1:20">
      <c r="A64" s="39" t="s">
        <v>21</v>
      </c>
      <c r="B64" s="39" t="s">
        <v>70</v>
      </c>
      <c r="C64" s="39" t="s">
        <v>2805</v>
      </c>
      <c r="D64" s="39" t="s">
        <v>526</v>
      </c>
      <c r="E64" s="39" t="s">
        <v>2775</v>
      </c>
      <c r="F64" s="39" t="s">
        <v>538</v>
      </c>
      <c r="G64" s="39">
        <v>6828378538</v>
      </c>
      <c r="H64" s="39" t="s">
        <v>539</v>
      </c>
      <c r="I64" s="39" t="s">
        <v>540</v>
      </c>
      <c r="J64" s="39" t="s">
        <v>68</v>
      </c>
      <c r="K64" s="39" t="s">
        <v>32</v>
      </c>
      <c r="L64" s="44">
        <v>6285619745127</v>
      </c>
      <c r="O64" s="39" t="s">
        <v>541</v>
      </c>
      <c r="P64" s="39" t="s">
        <v>536</v>
      </c>
      <c r="Q64" s="39" t="s">
        <v>537</v>
      </c>
      <c r="R64" s="39" t="s">
        <v>2134</v>
      </c>
      <c r="S64" s="39" t="s">
        <v>2135</v>
      </c>
      <c r="T64" s="39">
        <v>6828378538</v>
      </c>
    </row>
    <row r="65" spans="1:20">
      <c r="A65" s="39" t="s">
        <v>21</v>
      </c>
      <c r="B65" s="39" t="s">
        <v>70</v>
      </c>
      <c r="C65" s="39" t="s">
        <v>2805</v>
      </c>
      <c r="D65" s="39" t="s">
        <v>526</v>
      </c>
      <c r="E65" s="39" t="s">
        <v>2775</v>
      </c>
      <c r="F65" s="39" t="s">
        <v>544</v>
      </c>
      <c r="H65" s="39" t="s">
        <v>545</v>
      </c>
      <c r="I65" s="39" t="s">
        <v>546</v>
      </c>
      <c r="J65" s="39" t="s">
        <v>68</v>
      </c>
      <c r="K65" s="39" t="s">
        <v>32</v>
      </c>
      <c r="L65" s="44">
        <v>62858899994847</v>
      </c>
      <c r="O65" s="39" t="s">
        <v>547</v>
      </c>
      <c r="P65" s="39" t="s">
        <v>542</v>
      </c>
      <c r="Q65" s="39" t="s">
        <v>543</v>
      </c>
      <c r="R65" s="39" t="s">
        <v>2136</v>
      </c>
      <c r="S65" s="39" t="s">
        <v>2137</v>
      </c>
      <c r="T65" s="39">
        <v>7444867996</v>
      </c>
    </row>
    <row r="66" spans="1:20">
      <c r="A66" s="39" t="s">
        <v>21</v>
      </c>
      <c r="B66" s="39" t="s">
        <v>70</v>
      </c>
      <c r="C66" s="39" t="s">
        <v>2805</v>
      </c>
      <c r="D66" s="39" t="s">
        <v>526</v>
      </c>
      <c r="E66" s="39" t="s">
        <v>2775</v>
      </c>
      <c r="F66" s="39" t="s">
        <v>556</v>
      </c>
      <c r="G66" s="39">
        <v>7393611572</v>
      </c>
      <c r="H66" s="39" t="s">
        <v>557</v>
      </c>
      <c r="I66" s="39" t="s">
        <v>558</v>
      </c>
      <c r="J66" s="39" t="s">
        <v>68</v>
      </c>
      <c r="K66" s="39" t="s">
        <v>32</v>
      </c>
      <c r="L66" s="44">
        <v>62856943338887</v>
      </c>
      <c r="O66" s="39" t="s">
        <v>559</v>
      </c>
      <c r="P66" s="39" t="s">
        <v>554</v>
      </c>
      <c r="Q66" s="39" t="s">
        <v>555</v>
      </c>
      <c r="R66" s="39" t="s">
        <v>2140</v>
      </c>
      <c r="S66" s="39" t="s">
        <v>2141</v>
      </c>
      <c r="T66" s="39">
        <v>7393611572</v>
      </c>
    </row>
    <row r="67" spans="1:20">
      <c r="A67" s="39" t="s">
        <v>21</v>
      </c>
      <c r="B67" s="39" t="s">
        <v>70</v>
      </c>
      <c r="C67" s="39" t="s">
        <v>2805</v>
      </c>
      <c r="D67" s="39" t="s">
        <v>526</v>
      </c>
      <c r="E67" s="39" t="s">
        <v>2775</v>
      </c>
      <c r="F67" s="39" t="s">
        <v>592</v>
      </c>
      <c r="G67" s="39">
        <v>8992555213</v>
      </c>
      <c r="H67" s="39" t="s">
        <v>593</v>
      </c>
      <c r="I67" s="39" t="s">
        <v>594</v>
      </c>
      <c r="J67" s="39" t="s">
        <v>68</v>
      </c>
      <c r="K67" s="39" t="s">
        <v>32</v>
      </c>
      <c r="L67" s="44">
        <v>62857173737307</v>
      </c>
      <c r="O67" s="39" t="s">
        <v>595</v>
      </c>
      <c r="P67" s="39" t="s">
        <v>590</v>
      </c>
      <c r="Q67" s="39" t="s">
        <v>591</v>
      </c>
      <c r="R67" s="39" t="s">
        <v>2152</v>
      </c>
      <c r="S67" s="39" t="s">
        <v>2153</v>
      </c>
      <c r="T67" s="39">
        <v>8992555213</v>
      </c>
    </row>
    <row r="68" spans="1:20">
      <c r="A68" s="39" t="s">
        <v>21</v>
      </c>
      <c r="B68" s="39" t="s">
        <v>70</v>
      </c>
      <c r="C68" s="39" t="s">
        <v>2805</v>
      </c>
      <c r="D68" s="39" t="s">
        <v>102</v>
      </c>
      <c r="E68" s="39" t="s">
        <v>2776</v>
      </c>
      <c r="F68" s="39" t="s">
        <v>231</v>
      </c>
      <c r="H68" s="39" t="s">
        <v>232</v>
      </c>
      <c r="I68" s="39" t="s">
        <v>233</v>
      </c>
      <c r="J68" s="39" t="s">
        <v>68</v>
      </c>
      <c r="K68" s="39" t="s">
        <v>32</v>
      </c>
      <c r="L68" s="44">
        <v>62857301257151</v>
      </c>
      <c r="O68" s="39" t="s">
        <v>234</v>
      </c>
      <c r="P68" s="39">
        <v>2613051093</v>
      </c>
      <c r="Q68" s="39" t="s">
        <v>230</v>
      </c>
      <c r="R68" s="39" t="s">
        <v>2050</v>
      </c>
      <c r="S68" s="39" t="s">
        <v>2051</v>
      </c>
      <c r="T68" s="39">
        <v>8984588273</v>
      </c>
    </row>
    <row r="69" spans="1:20">
      <c r="A69" s="39" t="s">
        <v>21</v>
      </c>
      <c r="B69" s="39" t="s">
        <v>70</v>
      </c>
      <c r="C69" s="39" t="s">
        <v>2805</v>
      </c>
      <c r="D69" s="39" t="s">
        <v>102</v>
      </c>
      <c r="E69" s="39" t="s">
        <v>2776</v>
      </c>
      <c r="F69" s="39" t="s">
        <v>271</v>
      </c>
      <c r="G69" s="39">
        <v>8614548434</v>
      </c>
      <c r="H69" s="39" t="s">
        <v>272</v>
      </c>
      <c r="I69" s="39" t="s">
        <v>273</v>
      </c>
      <c r="J69" s="39" t="s">
        <v>68</v>
      </c>
      <c r="K69" s="39" t="s">
        <v>32</v>
      </c>
      <c r="L69" s="44">
        <v>6285882783924</v>
      </c>
      <c r="O69" s="39" t="s">
        <v>274</v>
      </c>
      <c r="P69" s="39">
        <v>2613051413</v>
      </c>
      <c r="Q69" s="39" t="s">
        <v>270</v>
      </c>
      <c r="R69" s="39" t="s">
        <v>2064</v>
      </c>
      <c r="S69" s="39" t="s">
        <v>2065</v>
      </c>
      <c r="T69" s="39">
        <v>8614548434</v>
      </c>
    </row>
    <row r="70" spans="1:20">
      <c r="A70" s="39" t="s">
        <v>21</v>
      </c>
      <c r="B70" s="39" t="s">
        <v>70</v>
      </c>
      <c r="C70" s="39" t="s">
        <v>2805</v>
      </c>
      <c r="D70" s="39" t="s">
        <v>102</v>
      </c>
      <c r="E70" s="39" t="s">
        <v>2776</v>
      </c>
      <c r="F70" s="39" t="s">
        <v>107</v>
      </c>
      <c r="H70" s="39" t="s">
        <v>108</v>
      </c>
      <c r="I70" s="39" t="s">
        <v>109</v>
      </c>
      <c r="J70" s="39" t="s">
        <v>68</v>
      </c>
      <c r="K70" s="39" t="s">
        <v>32</v>
      </c>
      <c r="L70" s="44">
        <v>6285778144448</v>
      </c>
      <c r="O70" s="39" t="s">
        <v>110</v>
      </c>
      <c r="P70" s="39">
        <v>2613052473</v>
      </c>
      <c r="Q70" s="39" t="s">
        <v>106</v>
      </c>
      <c r="R70" s="39" t="s">
        <v>2012</v>
      </c>
      <c r="S70" s="39" t="s">
        <v>2013</v>
      </c>
    </row>
    <row r="71" spans="1:20">
      <c r="A71" s="39" t="s">
        <v>21</v>
      </c>
      <c r="B71" s="39" t="s">
        <v>70</v>
      </c>
      <c r="C71" s="39" t="s">
        <v>2805</v>
      </c>
      <c r="D71" s="39" t="s">
        <v>102</v>
      </c>
      <c r="E71" s="39" t="s">
        <v>2776</v>
      </c>
      <c r="F71" s="39" t="s">
        <v>961</v>
      </c>
      <c r="G71" s="39">
        <v>8651168274</v>
      </c>
      <c r="H71" s="39" t="s">
        <v>962</v>
      </c>
      <c r="I71" s="39" t="s">
        <v>963</v>
      </c>
      <c r="J71" s="39" t="s">
        <v>68</v>
      </c>
      <c r="K71" s="39" t="s">
        <v>32</v>
      </c>
      <c r="L71" s="44">
        <v>62856815404</v>
      </c>
      <c r="O71" s="39" t="s">
        <v>964</v>
      </c>
      <c r="P71" s="39" t="s">
        <v>959</v>
      </c>
      <c r="Q71" s="39" t="s">
        <v>960</v>
      </c>
      <c r="R71" s="39" t="s">
        <v>2234</v>
      </c>
      <c r="S71" s="39" t="s">
        <v>2235</v>
      </c>
      <c r="T71" s="39">
        <v>8651168274</v>
      </c>
    </row>
    <row r="72" spans="1:20">
      <c r="A72" s="39" t="s">
        <v>21</v>
      </c>
      <c r="B72" s="39" t="s">
        <v>70</v>
      </c>
      <c r="C72" s="39" t="s">
        <v>2805</v>
      </c>
      <c r="D72" s="39" t="s">
        <v>102</v>
      </c>
      <c r="E72" s="39" t="s">
        <v>2776</v>
      </c>
      <c r="F72" s="39" t="s">
        <v>967</v>
      </c>
      <c r="G72" s="39">
        <v>7739225754</v>
      </c>
      <c r="H72" s="39" t="s">
        <v>968</v>
      </c>
      <c r="I72" s="39" t="s">
        <v>969</v>
      </c>
      <c r="J72" s="39" t="s">
        <v>68</v>
      </c>
      <c r="K72" s="39" t="s">
        <v>32</v>
      </c>
      <c r="L72" s="44">
        <v>6285692700661</v>
      </c>
      <c r="O72" s="39" t="s">
        <v>970</v>
      </c>
      <c r="P72" s="39" t="s">
        <v>965</v>
      </c>
      <c r="Q72" s="39" t="s">
        <v>966</v>
      </c>
      <c r="R72" s="39" t="s">
        <v>2236</v>
      </c>
      <c r="S72" s="39" t="s">
        <v>2237</v>
      </c>
      <c r="T72" s="39">
        <v>7739225754</v>
      </c>
    </row>
    <row r="73" spans="1:20">
      <c r="A73" s="39" t="s">
        <v>21</v>
      </c>
      <c r="B73" s="39" t="s">
        <v>70</v>
      </c>
      <c r="C73" s="39" t="s">
        <v>2805</v>
      </c>
      <c r="D73" s="39" t="s">
        <v>102</v>
      </c>
      <c r="E73" s="39" t="s">
        <v>2776</v>
      </c>
      <c r="F73" s="39" t="s">
        <v>979</v>
      </c>
      <c r="G73" s="39">
        <v>8478529371</v>
      </c>
      <c r="H73" s="39" t="s">
        <v>980</v>
      </c>
      <c r="I73" s="39" t="s">
        <v>981</v>
      </c>
      <c r="J73" s="39" t="s">
        <v>68</v>
      </c>
      <c r="K73" s="39" t="s">
        <v>32</v>
      </c>
      <c r="L73" s="44">
        <v>6285692700647</v>
      </c>
      <c r="O73" s="39" t="s">
        <v>982</v>
      </c>
      <c r="P73" s="39" t="s">
        <v>977</v>
      </c>
      <c r="Q73" s="39" t="s">
        <v>978</v>
      </c>
      <c r="R73" s="39" t="s">
        <v>2240</v>
      </c>
      <c r="S73" s="39" t="s">
        <v>2241</v>
      </c>
      <c r="T73" s="39">
        <v>8478529371</v>
      </c>
    </row>
    <row r="74" spans="1:20">
      <c r="A74" s="39" t="s">
        <v>21</v>
      </c>
      <c r="B74" s="39" t="s">
        <v>70</v>
      </c>
      <c r="C74" s="39" t="s">
        <v>2805</v>
      </c>
      <c r="D74" s="39" t="s">
        <v>102</v>
      </c>
      <c r="E74" s="39" t="s">
        <v>2776</v>
      </c>
      <c r="F74" s="39" t="s">
        <v>991</v>
      </c>
      <c r="H74" s="39" t="s">
        <v>992</v>
      </c>
      <c r="I74" s="39" t="s">
        <v>993</v>
      </c>
      <c r="J74" s="39" t="s">
        <v>68</v>
      </c>
      <c r="K74" s="39" t="s">
        <v>32</v>
      </c>
      <c r="L74" s="44">
        <v>6285692700667</v>
      </c>
      <c r="O74" s="39" t="s">
        <v>994</v>
      </c>
      <c r="P74" s="39" t="s">
        <v>989</v>
      </c>
      <c r="Q74" s="39" t="s">
        <v>990</v>
      </c>
      <c r="R74" s="39" t="s">
        <v>2244</v>
      </c>
      <c r="S74" s="39" t="s">
        <v>2245</v>
      </c>
      <c r="T74" s="39">
        <v>8315374570</v>
      </c>
    </row>
    <row r="75" spans="1:20">
      <c r="A75" s="39" t="s">
        <v>21</v>
      </c>
      <c r="B75" s="39" t="s">
        <v>70</v>
      </c>
      <c r="C75" s="39" t="s">
        <v>2805</v>
      </c>
      <c r="D75" s="39" t="s">
        <v>102</v>
      </c>
      <c r="E75" s="39" t="s">
        <v>2776</v>
      </c>
      <c r="F75" s="39" t="s">
        <v>1021</v>
      </c>
      <c r="G75" s="39">
        <v>8649078857</v>
      </c>
      <c r="H75" s="39" t="s">
        <v>1022</v>
      </c>
      <c r="I75" s="39" t="s">
        <v>1023</v>
      </c>
      <c r="J75" s="39" t="s">
        <v>68</v>
      </c>
      <c r="K75" s="39" t="s">
        <v>32</v>
      </c>
      <c r="L75" s="44">
        <v>6285692700686</v>
      </c>
      <c r="O75" s="39" t="s">
        <v>1024</v>
      </c>
      <c r="P75" s="39" t="s">
        <v>1019</v>
      </c>
      <c r="Q75" s="39" t="s">
        <v>1020</v>
      </c>
      <c r="R75" s="39" t="s">
        <v>2254</v>
      </c>
      <c r="S75" s="39" t="s">
        <v>2255</v>
      </c>
      <c r="T75" s="39">
        <v>8649078857</v>
      </c>
    </row>
    <row r="76" spans="1:20">
      <c r="A76" s="39" t="s">
        <v>21</v>
      </c>
      <c r="B76" s="39" t="s">
        <v>2752</v>
      </c>
      <c r="C76" s="39" t="s">
        <v>2806</v>
      </c>
      <c r="D76" s="39" t="s">
        <v>282</v>
      </c>
      <c r="E76" s="39" t="s">
        <v>2777</v>
      </c>
      <c r="F76" s="39" t="s">
        <v>287</v>
      </c>
      <c r="H76" s="39" t="s">
        <v>288</v>
      </c>
      <c r="I76" s="39" t="s">
        <v>289</v>
      </c>
      <c r="J76" s="39" t="s">
        <v>119</v>
      </c>
      <c r="K76" s="39" t="s">
        <v>32</v>
      </c>
      <c r="L76" s="44">
        <v>62895634937759</v>
      </c>
      <c r="O76" s="39" t="s">
        <v>290</v>
      </c>
      <c r="P76" s="39">
        <v>2613052261</v>
      </c>
      <c r="Q76" s="39" t="s">
        <v>286</v>
      </c>
      <c r="R76" s="39" t="s">
        <v>2068</v>
      </c>
      <c r="S76" s="39" t="s">
        <v>2069</v>
      </c>
    </row>
    <row r="77" spans="1:20">
      <c r="A77" s="39" t="s">
        <v>21</v>
      </c>
      <c r="B77" s="39" t="s">
        <v>2752</v>
      </c>
      <c r="C77" s="39" t="s">
        <v>2806</v>
      </c>
      <c r="D77" s="39" t="s">
        <v>282</v>
      </c>
      <c r="E77" s="39" t="s">
        <v>2777</v>
      </c>
      <c r="F77" s="39" t="s">
        <v>671</v>
      </c>
      <c r="G77" s="39">
        <v>7693185992</v>
      </c>
      <c r="H77" s="39" t="s">
        <v>672</v>
      </c>
      <c r="I77" s="39" t="s">
        <v>673</v>
      </c>
      <c r="J77" s="39" t="s">
        <v>68</v>
      </c>
      <c r="K77" s="39" t="s">
        <v>32</v>
      </c>
      <c r="L77" s="44">
        <v>6280086422501</v>
      </c>
      <c r="O77" s="39" t="s">
        <v>674</v>
      </c>
      <c r="P77" s="39" t="s">
        <v>669</v>
      </c>
      <c r="Q77" s="39" t="s">
        <v>670</v>
      </c>
      <c r="R77" s="39" t="s">
        <v>2164</v>
      </c>
      <c r="S77" s="39" t="s">
        <v>2165</v>
      </c>
      <c r="T77" s="39">
        <v>7693185992</v>
      </c>
    </row>
    <row r="78" spans="1:20">
      <c r="A78" s="39" t="s">
        <v>21</v>
      </c>
      <c r="B78" s="39" t="s">
        <v>2752</v>
      </c>
      <c r="C78" s="39" t="s">
        <v>2806</v>
      </c>
      <c r="D78" s="39" t="s">
        <v>282</v>
      </c>
      <c r="E78" s="39" t="s">
        <v>2777</v>
      </c>
      <c r="F78" s="39" t="s">
        <v>720</v>
      </c>
      <c r="G78" s="39">
        <v>5530267974</v>
      </c>
      <c r="H78" s="39" t="s">
        <v>721</v>
      </c>
      <c r="I78" s="39" t="s">
        <v>722</v>
      </c>
      <c r="J78" s="39" t="s">
        <v>68</v>
      </c>
      <c r="K78" s="39" t="s">
        <v>32</v>
      </c>
      <c r="L78" s="44">
        <v>6285810001998</v>
      </c>
      <c r="O78" s="39" t="s">
        <v>723</v>
      </c>
      <c r="P78" s="39" t="s">
        <v>718</v>
      </c>
      <c r="Q78" s="39" t="s">
        <v>719</v>
      </c>
      <c r="R78" s="39" t="s">
        <v>2172</v>
      </c>
      <c r="S78" s="39" t="s">
        <v>2173</v>
      </c>
      <c r="T78" s="39">
        <v>5530267974</v>
      </c>
    </row>
    <row r="79" spans="1:20">
      <c r="A79" s="39" t="s">
        <v>21</v>
      </c>
      <c r="B79" s="39" t="s">
        <v>2752</v>
      </c>
      <c r="C79" s="39" t="s">
        <v>2806</v>
      </c>
      <c r="D79" s="39" t="s">
        <v>282</v>
      </c>
      <c r="E79" s="39" t="s">
        <v>2777</v>
      </c>
      <c r="F79" s="39" t="s">
        <v>1763</v>
      </c>
      <c r="G79" s="39">
        <v>7452836329</v>
      </c>
      <c r="H79" s="39" t="s">
        <v>1764</v>
      </c>
      <c r="I79" s="39" t="s">
        <v>1765</v>
      </c>
      <c r="J79" s="39" t="s">
        <v>68</v>
      </c>
      <c r="K79" s="39" t="s">
        <v>32</v>
      </c>
      <c r="L79" s="44">
        <v>6289507336727</v>
      </c>
      <c r="O79" s="39" t="s">
        <v>1766</v>
      </c>
      <c r="P79" s="39" t="s">
        <v>1762</v>
      </c>
      <c r="Q79" s="39" t="s">
        <v>1761</v>
      </c>
      <c r="R79" s="39" t="s">
        <v>2462</v>
      </c>
      <c r="S79" s="39" t="s">
        <v>2463</v>
      </c>
      <c r="T79" s="39">
        <v>7452836329</v>
      </c>
    </row>
    <row r="80" spans="1:20">
      <c r="A80" s="39" t="s">
        <v>21</v>
      </c>
      <c r="B80" s="39" t="s">
        <v>2752</v>
      </c>
      <c r="C80" s="39" t="s">
        <v>2806</v>
      </c>
      <c r="D80" s="39" t="s">
        <v>282</v>
      </c>
      <c r="E80" s="39" t="s">
        <v>2777</v>
      </c>
      <c r="F80" s="39" t="s">
        <v>1775</v>
      </c>
      <c r="G80" s="39">
        <v>8002538783</v>
      </c>
      <c r="H80" s="39" t="s">
        <v>1776</v>
      </c>
      <c r="I80" s="39" t="s">
        <v>1777</v>
      </c>
      <c r="J80" s="39" t="s">
        <v>119</v>
      </c>
      <c r="K80" s="39" t="s">
        <v>32</v>
      </c>
      <c r="L80" s="44">
        <v>6289507363417</v>
      </c>
      <c r="O80" s="39" t="s">
        <v>1778</v>
      </c>
      <c r="P80" s="39" t="s">
        <v>1774</v>
      </c>
      <c r="Q80" s="39" t="s">
        <v>1773</v>
      </c>
      <c r="R80" s="39" t="s">
        <v>2464</v>
      </c>
      <c r="S80" s="39" t="s">
        <v>2465</v>
      </c>
      <c r="T80" s="39">
        <v>8002538783</v>
      </c>
    </row>
    <row r="81" spans="1:20">
      <c r="A81" s="39" t="s">
        <v>21</v>
      </c>
      <c r="B81" s="39" t="s">
        <v>2752</v>
      </c>
      <c r="C81" s="39" t="s">
        <v>2806</v>
      </c>
      <c r="D81" s="39" t="s">
        <v>282</v>
      </c>
      <c r="E81" s="39" t="s">
        <v>2777</v>
      </c>
      <c r="F81" s="39" t="s">
        <v>1888</v>
      </c>
      <c r="G81" s="39">
        <v>1446832099</v>
      </c>
      <c r="H81" s="39" t="s">
        <v>1889</v>
      </c>
      <c r="I81" s="39" t="s">
        <v>1890</v>
      </c>
      <c r="J81" s="39" t="s">
        <v>119</v>
      </c>
      <c r="K81" s="39" t="s">
        <v>32</v>
      </c>
      <c r="L81" s="44">
        <v>6289602777875</v>
      </c>
      <c r="O81" s="39" t="s">
        <v>1891</v>
      </c>
      <c r="P81" s="39" t="s">
        <v>1887</v>
      </c>
      <c r="Q81" s="39" t="s">
        <v>1886</v>
      </c>
      <c r="R81" s="39" t="s">
        <v>2502</v>
      </c>
      <c r="S81" s="39" t="s">
        <v>2503</v>
      </c>
      <c r="T81" s="39">
        <v>1446832099</v>
      </c>
    </row>
    <row r="82" spans="1:20">
      <c r="A82" s="39" t="s">
        <v>21</v>
      </c>
      <c r="B82" s="39" t="s">
        <v>2752</v>
      </c>
      <c r="C82" s="39" t="s">
        <v>2806</v>
      </c>
      <c r="D82" s="39" t="s">
        <v>691</v>
      </c>
      <c r="E82" s="39" t="s">
        <v>2778</v>
      </c>
      <c r="F82" s="39" t="s">
        <v>698</v>
      </c>
      <c r="G82" s="39">
        <v>8166464839</v>
      </c>
      <c r="H82" s="39" t="s">
        <v>699</v>
      </c>
      <c r="I82" s="39" t="s">
        <v>700</v>
      </c>
      <c r="J82" s="39" t="s">
        <v>119</v>
      </c>
      <c r="K82" s="39" t="s">
        <v>32</v>
      </c>
      <c r="L82" s="44">
        <v>6280086422505</v>
      </c>
      <c r="O82" s="39" t="s">
        <v>701</v>
      </c>
      <c r="P82" s="39" t="s">
        <v>696</v>
      </c>
      <c r="Q82" s="39" t="s">
        <v>697</v>
      </c>
      <c r="R82" s="39" t="s">
        <v>2166</v>
      </c>
      <c r="S82" s="39" t="s">
        <v>2167</v>
      </c>
      <c r="T82" s="39">
        <v>8166464839</v>
      </c>
    </row>
    <row r="83" spans="1:20">
      <c r="A83" s="39" t="s">
        <v>21</v>
      </c>
      <c r="B83" s="39" t="s">
        <v>2752</v>
      </c>
      <c r="C83" s="39" t="s">
        <v>2806</v>
      </c>
      <c r="D83" s="39" t="s">
        <v>691</v>
      </c>
      <c r="E83" s="39" t="s">
        <v>2778</v>
      </c>
      <c r="F83" s="39" t="s">
        <v>726</v>
      </c>
      <c r="G83" s="39">
        <v>5997015901</v>
      </c>
      <c r="H83" s="39" t="s">
        <v>727</v>
      </c>
      <c r="I83" s="39" t="s">
        <v>728</v>
      </c>
      <c r="J83" s="39" t="s">
        <v>68</v>
      </c>
      <c r="K83" s="39" t="s">
        <v>32</v>
      </c>
      <c r="L83" s="44">
        <v>6285717020316</v>
      </c>
      <c r="O83" s="39" t="s">
        <v>729</v>
      </c>
      <c r="P83" s="39" t="s">
        <v>724</v>
      </c>
      <c r="Q83" s="39" t="s">
        <v>725</v>
      </c>
      <c r="R83" s="39" t="s">
        <v>2174</v>
      </c>
      <c r="S83" s="39" t="s">
        <v>2175</v>
      </c>
      <c r="T83" s="39">
        <v>5997015901</v>
      </c>
    </row>
    <row r="84" spans="1:20">
      <c r="A84" s="39" t="s">
        <v>21</v>
      </c>
      <c r="B84" s="39" t="s">
        <v>2752</v>
      </c>
      <c r="C84" s="39" t="s">
        <v>2806</v>
      </c>
      <c r="D84" s="39" t="s">
        <v>691</v>
      </c>
      <c r="E84" s="39" t="s">
        <v>2778</v>
      </c>
      <c r="F84" s="39" t="s">
        <v>738</v>
      </c>
      <c r="G84" s="39">
        <v>6444733934</v>
      </c>
      <c r="H84" s="39" t="s">
        <v>739</v>
      </c>
      <c r="I84" s="39" t="s">
        <v>740</v>
      </c>
      <c r="J84" s="39" t="s">
        <v>68</v>
      </c>
      <c r="K84" s="39" t="s">
        <v>32</v>
      </c>
      <c r="L84" s="44">
        <v>6285782385678</v>
      </c>
      <c r="O84" s="39" t="s">
        <v>741</v>
      </c>
      <c r="P84" s="39" t="s">
        <v>736</v>
      </c>
      <c r="Q84" s="39" t="s">
        <v>737</v>
      </c>
      <c r="R84" s="39" t="s">
        <v>2178</v>
      </c>
      <c r="S84" s="39" t="s">
        <v>2179</v>
      </c>
      <c r="T84" s="39">
        <v>6444733934</v>
      </c>
    </row>
    <row r="85" spans="1:20">
      <c r="A85" s="39" t="s">
        <v>21</v>
      </c>
      <c r="B85" s="39" t="s">
        <v>2752</v>
      </c>
      <c r="C85" s="39" t="s">
        <v>2806</v>
      </c>
      <c r="D85" s="39" t="s">
        <v>691</v>
      </c>
      <c r="E85" s="39" t="s">
        <v>2778</v>
      </c>
      <c r="F85" s="39" t="s">
        <v>750</v>
      </c>
      <c r="G85" s="39">
        <v>1147778501</v>
      </c>
      <c r="H85" s="39" t="s">
        <v>751</v>
      </c>
      <c r="I85" s="39" t="s">
        <v>752</v>
      </c>
      <c r="J85" s="39" t="s">
        <v>119</v>
      </c>
      <c r="K85" s="39" t="s">
        <v>32</v>
      </c>
      <c r="L85" s="44">
        <v>62857160357947</v>
      </c>
      <c r="O85" s="39" t="s">
        <v>753</v>
      </c>
      <c r="P85" s="39" t="s">
        <v>748</v>
      </c>
      <c r="Q85" s="39" t="s">
        <v>749</v>
      </c>
      <c r="R85" s="39" t="s">
        <v>2182</v>
      </c>
      <c r="S85" s="39" t="s">
        <v>2183</v>
      </c>
      <c r="T85" s="39">
        <v>1147778501</v>
      </c>
    </row>
    <row r="86" spans="1:20">
      <c r="A86" s="39" t="s">
        <v>21</v>
      </c>
      <c r="B86" s="39" t="s">
        <v>2752</v>
      </c>
      <c r="C86" s="39" t="s">
        <v>2806</v>
      </c>
      <c r="D86" s="39" t="s">
        <v>691</v>
      </c>
      <c r="E86" s="39" t="s">
        <v>2778</v>
      </c>
      <c r="F86" s="39" t="s">
        <v>756</v>
      </c>
      <c r="G86" s="39">
        <v>8587349867</v>
      </c>
      <c r="H86" s="39" t="s">
        <v>757</v>
      </c>
      <c r="I86" s="39" t="s">
        <v>758</v>
      </c>
      <c r="J86" s="39" t="s">
        <v>119</v>
      </c>
      <c r="K86" s="39" t="s">
        <v>32</v>
      </c>
      <c r="L86" s="44">
        <v>6281574929262</v>
      </c>
      <c r="O86" s="39" t="s">
        <v>759</v>
      </c>
      <c r="P86" s="39" t="s">
        <v>754</v>
      </c>
      <c r="Q86" s="39" t="s">
        <v>755</v>
      </c>
      <c r="R86" s="39" t="s">
        <v>2184</v>
      </c>
      <c r="S86" s="39" t="s">
        <v>2185</v>
      </c>
      <c r="T86" s="39">
        <v>8587349867</v>
      </c>
    </row>
    <row r="87" spans="1:20">
      <c r="A87" s="39" t="s">
        <v>21</v>
      </c>
      <c r="B87" s="39" t="s">
        <v>2752</v>
      </c>
      <c r="C87" s="39" t="s">
        <v>2806</v>
      </c>
      <c r="D87" s="39" t="s">
        <v>691</v>
      </c>
      <c r="E87" s="39" t="s">
        <v>2778</v>
      </c>
      <c r="F87" s="39" t="s">
        <v>328</v>
      </c>
      <c r="G87" s="39">
        <v>7906117504</v>
      </c>
      <c r="H87" s="39" t="s">
        <v>768</v>
      </c>
      <c r="I87" s="39" t="s">
        <v>769</v>
      </c>
      <c r="J87" s="39" t="s">
        <v>68</v>
      </c>
      <c r="K87" s="39" t="s">
        <v>32</v>
      </c>
      <c r="L87" s="44">
        <v>6285719252307</v>
      </c>
      <c r="O87" s="39" t="s">
        <v>770</v>
      </c>
      <c r="P87" s="39" t="s">
        <v>766</v>
      </c>
      <c r="Q87" s="39" t="s">
        <v>767</v>
      </c>
      <c r="R87" s="39" t="s">
        <v>2188</v>
      </c>
      <c r="S87" s="39" t="s">
        <v>2189</v>
      </c>
      <c r="T87" s="39">
        <v>7906117504</v>
      </c>
    </row>
    <row r="88" spans="1:20">
      <c r="A88" s="39" t="s">
        <v>21</v>
      </c>
      <c r="B88" s="39" t="s">
        <v>2752</v>
      </c>
      <c r="C88" s="39" t="s">
        <v>2806</v>
      </c>
      <c r="D88" s="39" t="s">
        <v>702</v>
      </c>
      <c r="E88" s="39" t="s">
        <v>2779</v>
      </c>
      <c r="F88" s="39" t="s">
        <v>773</v>
      </c>
      <c r="G88" s="39">
        <v>1693304400</v>
      </c>
      <c r="H88" s="39" t="s">
        <v>774</v>
      </c>
      <c r="I88" s="39" t="s">
        <v>775</v>
      </c>
      <c r="J88" s="39" t="s">
        <v>68</v>
      </c>
      <c r="K88" s="39" t="s">
        <v>32</v>
      </c>
      <c r="L88" s="44">
        <v>6289507348390</v>
      </c>
      <c r="O88" s="39" t="s">
        <v>776</v>
      </c>
      <c r="P88" s="39" t="s">
        <v>771</v>
      </c>
      <c r="Q88" s="39" t="s">
        <v>772</v>
      </c>
      <c r="R88" s="39" t="s">
        <v>2190</v>
      </c>
      <c r="S88" s="39" t="s">
        <v>2191</v>
      </c>
      <c r="T88" s="39">
        <v>1693304400</v>
      </c>
    </row>
    <row r="89" spans="1:20">
      <c r="A89" s="39" t="s">
        <v>21</v>
      </c>
      <c r="B89" s="39" t="s">
        <v>2752</v>
      </c>
      <c r="C89" s="39" t="s">
        <v>2806</v>
      </c>
      <c r="D89" s="39" t="s">
        <v>702</v>
      </c>
      <c r="E89" s="39" t="s">
        <v>2779</v>
      </c>
      <c r="F89" s="39" t="s">
        <v>708</v>
      </c>
      <c r="H89" s="39" t="s">
        <v>709</v>
      </c>
      <c r="I89" s="39" t="s">
        <v>710</v>
      </c>
      <c r="J89" s="39" t="s">
        <v>119</v>
      </c>
      <c r="K89" s="39" t="s">
        <v>32</v>
      </c>
      <c r="L89" s="44">
        <v>6280086422506</v>
      </c>
      <c r="O89" s="39" t="s">
        <v>711</v>
      </c>
      <c r="P89" s="39" t="s">
        <v>706</v>
      </c>
      <c r="Q89" s="39" t="s">
        <v>707</v>
      </c>
      <c r="R89" s="39" t="s">
        <v>2168</v>
      </c>
      <c r="S89" s="39" t="s">
        <v>2169</v>
      </c>
      <c r="T89" s="39">
        <v>1285372772</v>
      </c>
    </row>
    <row r="90" spans="1:20">
      <c r="A90" s="39" t="s">
        <v>21</v>
      </c>
      <c r="B90" s="39" t="s">
        <v>2752</v>
      </c>
      <c r="C90" s="39" t="s">
        <v>2806</v>
      </c>
      <c r="D90" s="39" t="s">
        <v>702</v>
      </c>
      <c r="E90" s="39" t="s">
        <v>2779</v>
      </c>
      <c r="F90" s="39" t="s">
        <v>714</v>
      </c>
      <c r="G90" s="39">
        <v>8866875255</v>
      </c>
      <c r="H90" s="39" t="s">
        <v>715</v>
      </c>
      <c r="I90" s="39" t="s">
        <v>716</v>
      </c>
      <c r="J90" s="39" t="s">
        <v>119</v>
      </c>
      <c r="K90" s="39" t="s">
        <v>32</v>
      </c>
      <c r="L90" s="44">
        <v>6280086422507</v>
      </c>
      <c r="O90" s="39" t="s">
        <v>717</v>
      </c>
      <c r="P90" s="39" t="s">
        <v>712</v>
      </c>
      <c r="Q90" s="39" t="s">
        <v>713</v>
      </c>
      <c r="R90" s="39" t="s">
        <v>2170</v>
      </c>
      <c r="S90" s="39" t="s">
        <v>2171</v>
      </c>
      <c r="T90" s="39">
        <v>8866875255</v>
      </c>
    </row>
    <row r="91" spans="1:20">
      <c r="A91" s="39" t="s">
        <v>21</v>
      </c>
      <c r="B91" s="39" t="s">
        <v>2752</v>
      </c>
      <c r="C91" s="39" t="s">
        <v>2806</v>
      </c>
      <c r="D91" s="39" t="s">
        <v>702</v>
      </c>
      <c r="E91" s="39" t="s">
        <v>2779</v>
      </c>
      <c r="F91" s="39" t="s">
        <v>732</v>
      </c>
      <c r="H91" s="39" t="s">
        <v>733</v>
      </c>
      <c r="I91" s="39" t="s">
        <v>734</v>
      </c>
      <c r="J91" s="39" t="s">
        <v>119</v>
      </c>
      <c r="K91" s="39" t="s">
        <v>32</v>
      </c>
      <c r="L91" s="44">
        <v>6285779999546</v>
      </c>
      <c r="O91" s="39" t="s">
        <v>735</v>
      </c>
      <c r="P91" s="39" t="s">
        <v>730</v>
      </c>
      <c r="Q91" s="39" t="s">
        <v>731</v>
      </c>
      <c r="R91" s="39" t="s">
        <v>2176</v>
      </c>
      <c r="S91" s="39" t="s">
        <v>2177</v>
      </c>
      <c r="T91" s="39">
        <v>1644090081</v>
      </c>
    </row>
    <row r="92" spans="1:20">
      <c r="A92" s="39" t="s">
        <v>21</v>
      </c>
      <c r="B92" s="39" t="s">
        <v>2752</v>
      </c>
      <c r="C92" s="39" t="s">
        <v>2806</v>
      </c>
      <c r="D92" s="39" t="s">
        <v>702</v>
      </c>
      <c r="E92" s="39" t="s">
        <v>2779</v>
      </c>
      <c r="F92" s="39" t="s">
        <v>744</v>
      </c>
      <c r="G92" s="39">
        <v>6313198446</v>
      </c>
      <c r="H92" s="39" t="s">
        <v>745</v>
      </c>
      <c r="I92" s="39" t="s">
        <v>746</v>
      </c>
      <c r="J92" s="39" t="s">
        <v>68</v>
      </c>
      <c r="K92" s="39" t="s">
        <v>32</v>
      </c>
      <c r="L92" s="44">
        <v>62856956664997</v>
      </c>
      <c r="O92" s="39" t="s">
        <v>747</v>
      </c>
      <c r="P92" s="39" t="s">
        <v>742</v>
      </c>
      <c r="Q92" s="39" t="s">
        <v>743</v>
      </c>
      <c r="R92" s="39" t="s">
        <v>2180</v>
      </c>
      <c r="S92" s="39" t="s">
        <v>2181</v>
      </c>
      <c r="T92" s="39">
        <v>6313198446</v>
      </c>
    </row>
    <row r="93" spans="1:20">
      <c r="A93" s="39" t="s">
        <v>21</v>
      </c>
      <c r="B93" s="39" t="s">
        <v>2752</v>
      </c>
      <c r="C93" s="39" t="s">
        <v>2806</v>
      </c>
      <c r="D93" s="39" t="s">
        <v>702</v>
      </c>
      <c r="E93" s="39" t="s">
        <v>2779</v>
      </c>
      <c r="F93" s="39" t="s">
        <v>762</v>
      </c>
      <c r="H93" s="39" t="s">
        <v>763</v>
      </c>
      <c r="I93" s="39" t="s">
        <v>764</v>
      </c>
      <c r="J93" s="39" t="s">
        <v>119</v>
      </c>
      <c r="K93" s="39" t="s">
        <v>32</v>
      </c>
      <c r="L93" s="44">
        <v>6285781633357</v>
      </c>
      <c r="O93" s="39" t="s">
        <v>765</v>
      </c>
      <c r="P93" s="39" t="s">
        <v>760</v>
      </c>
      <c r="Q93" s="39" t="s">
        <v>761</v>
      </c>
      <c r="R93" s="39" t="s">
        <v>2186</v>
      </c>
      <c r="S93" s="39" t="s">
        <v>2187</v>
      </c>
      <c r="T93" s="39">
        <v>6333421366</v>
      </c>
    </row>
    <row r="94" spans="1:20">
      <c r="A94" s="39" t="s">
        <v>21</v>
      </c>
      <c r="B94" s="39" t="s">
        <v>2752</v>
      </c>
      <c r="C94" s="39" t="s">
        <v>2806</v>
      </c>
      <c r="D94" s="39" t="s">
        <v>702</v>
      </c>
      <c r="E94" s="39" t="s">
        <v>2779</v>
      </c>
      <c r="F94" s="39" t="s">
        <v>779</v>
      </c>
      <c r="G94" s="39">
        <v>8787682152</v>
      </c>
      <c r="H94" s="39" t="s">
        <v>780</v>
      </c>
      <c r="I94" s="39" t="s">
        <v>781</v>
      </c>
      <c r="J94" s="39" t="s">
        <v>119</v>
      </c>
      <c r="K94" s="39" t="s">
        <v>32</v>
      </c>
      <c r="L94" s="44">
        <v>62857743726347</v>
      </c>
      <c r="O94" s="39" t="s">
        <v>782</v>
      </c>
      <c r="P94" s="39" t="s">
        <v>777</v>
      </c>
      <c r="Q94" s="39" t="s">
        <v>778</v>
      </c>
      <c r="R94" s="39" t="s">
        <v>2192</v>
      </c>
      <c r="S94" s="39" t="s">
        <v>2193</v>
      </c>
      <c r="T94" s="39">
        <v>8787682152</v>
      </c>
    </row>
    <row r="95" spans="1:20">
      <c r="A95" s="39" t="s">
        <v>21</v>
      </c>
      <c r="B95" s="39" t="s">
        <v>2752</v>
      </c>
      <c r="C95" s="39" t="s">
        <v>2806</v>
      </c>
      <c r="D95" s="39" t="s">
        <v>702</v>
      </c>
      <c r="E95" s="39" t="s">
        <v>2779</v>
      </c>
      <c r="F95" s="39" t="s">
        <v>1721</v>
      </c>
      <c r="G95" s="39">
        <v>6214860102</v>
      </c>
      <c r="H95" s="39" t="s">
        <v>1722</v>
      </c>
      <c r="I95" s="39" t="s">
        <v>1723</v>
      </c>
      <c r="J95" s="39" t="s">
        <v>68</v>
      </c>
      <c r="K95" s="39" t="s">
        <v>32</v>
      </c>
      <c r="L95" s="44">
        <v>62895386577171</v>
      </c>
      <c r="O95" s="39" t="s">
        <v>1724</v>
      </c>
      <c r="P95" s="39" t="s">
        <v>1720</v>
      </c>
      <c r="Q95" s="39" t="s">
        <v>1719</v>
      </c>
      <c r="R95" s="39" t="s">
        <v>2450</v>
      </c>
      <c r="S95" s="39" t="s">
        <v>2451</v>
      </c>
      <c r="T95" s="39">
        <v>6214860102</v>
      </c>
    </row>
    <row r="96" spans="1:20">
      <c r="A96" s="39" t="s">
        <v>21</v>
      </c>
      <c r="B96" s="39" t="s">
        <v>2752</v>
      </c>
      <c r="C96" s="39" t="s">
        <v>2806</v>
      </c>
      <c r="D96" s="39" t="s">
        <v>675</v>
      </c>
      <c r="E96" s="39" t="s">
        <v>2780</v>
      </c>
      <c r="F96" s="39" t="s">
        <v>681</v>
      </c>
      <c r="G96" s="39">
        <v>7146014535</v>
      </c>
      <c r="H96" s="39" t="s">
        <v>682</v>
      </c>
      <c r="I96" s="39" t="s">
        <v>683</v>
      </c>
      <c r="J96" s="39" t="s">
        <v>68</v>
      </c>
      <c r="K96" s="39" t="s">
        <v>32</v>
      </c>
      <c r="L96" s="44">
        <v>6285880815199</v>
      </c>
      <c r="O96" s="39" t="s">
        <v>684</v>
      </c>
      <c r="P96" s="39" t="s">
        <v>679</v>
      </c>
      <c r="Q96" s="39" t="s">
        <v>680</v>
      </c>
      <c r="R96" s="39" t="s">
        <v>1994</v>
      </c>
      <c r="S96" s="39" t="s">
        <v>1995</v>
      </c>
      <c r="T96" s="39">
        <v>7146014535</v>
      </c>
    </row>
    <row r="97" spans="1:20">
      <c r="A97" s="39" t="s">
        <v>21</v>
      </c>
      <c r="B97" s="39" t="s">
        <v>2752</v>
      </c>
      <c r="C97" s="39" t="s">
        <v>2806</v>
      </c>
      <c r="D97" s="39" t="s">
        <v>675</v>
      </c>
      <c r="E97" s="39" t="s">
        <v>2780</v>
      </c>
      <c r="F97" s="39" t="s">
        <v>687</v>
      </c>
      <c r="G97" s="39">
        <v>6304085868</v>
      </c>
      <c r="H97" s="39" t="s">
        <v>688</v>
      </c>
      <c r="I97" s="39" t="s">
        <v>689</v>
      </c>
      <c r="J97" s="39" t="s">
        <v>68</v>
      </c>
      <c r="K97" s="39" t="s">
        <v>32</v>
      </c>
      <c r="L97" s="44">
        <v>6280086422502</v>
      </c>
      <c r="O97" s="39" t="s">
        <v>690</v>
      </c>
      <c r="P97" s="39" t="s">
        <v>685</v>
      </c>
      <c r="Q97" s="39" t="s">
        <v>686</v>
      </c>
      <c r="R97" s="39" t="s">
        <v>1996</v>
      </c>
      <c r="S97" s="39" t="s">
        <v>1997</v>
      </c>
      <c r="T97" s="39">
        <v>6304085868</v>
      </c>
    </row>
    <row r="98" spans="1:20">
      <c r="A98" s="39" t="s">
        <v>21</v>
      </c>
      <c r="B98" s="39" t="s">
        <v>2752</v>
      </c>
      <c r="C98" s="39" t="s">
        <v>2806</v>
      </c>
      <c r="D98" s="39" t="s">
        <v>675</v>
      </c>
      <c r="E98" s="39" t="s">
        <v>2780</v>
      </c>
      <c r="F98" s="39" t="s">
        <v>1757</v>
      </c>
      <c r="G98" s="39">
        <v>7932944707</v>
      </c>
      <c r="H98" s="39" t="s">
        <v>1758</v>
      </c>
      <c r="I98" s="39" t="s">
        <v>1759</v>
      </c>
      <c r="J98" s="39" t="s">
        <v>68</v>
      </c>
      <c r="K98" s="39" t="s">
        <v>32</v>
      </c>
      <c r="L98" s="44">
        <v>6289507343824</v>
      </c>
      <c r="O98" s="39" t="s">
        <v>1760</v>
      </c>
      <c r="P98" s="39" t="s">
        <v>1756</v>
      </c>
      <c r="Q98" s="39" t="s">
        <v>1755</v>
      </c>
      <c r="R98" s="39" t="s">
        <v>1998</v>
      </c>
      <c r="S98" s="39" t="s">
        <v>1999</v>
      </c>
      <c r="T98" s="39">
        <v>7932944707</v>
      </c>
    </row>
    <row r="99" spans="1:20">
      <c r="A99" s="39" t="s">
        <v>21</v>
      </c>
      <c r="B99" s="39" t="s">
        <v>2752</v>
      </c>
      <c r="C99" s="39" t="s">
        <v>2806</v>
      </c>
      <c r="D99" s="39" t="s">
        <v>675</v>
      </c>
      <c r="E99" s="39" t="s">
        <v>2780</v>
      </c>
      <c r="F99" s="39" t="s">
        <v>1769</v>
      </c>
      <c r="G99" s="39">
        <v>6056168598</v>
      </c>
      <c r="H99" s="39" t="s">
        <v>1770</v>
      </c>
      <c r="I99" s="39" t="s">
        <v>1771</v>
      </c>
      <c r="J99" s="39" t="s">
        <v>68</v>
      </c>
      <c r="K99" s="39" t="s">
        <v>32</v>
      </c>
      <c r="L99" s="44">
        <v>6289507363485</v>
      </c>
      <c r="O99" s="39" t="s">
        <v>1772</v>
      </c>
      <c r="P99" s="39" t="s">
        <v>1768</v>
      </c>
      <c r="Q99" s="39" t="s">
        <v>1767</v>
      </c>
      <c r="R99" s="39" t="s">
        <v>2000</v>
      </c>
      <c r="S99" s="39" t="s">
        <v>2001</v>
      </c>
      <c r="T99" s="39">
        <v>6056168598</v>
      </c>
    </row>
    <row r="100" spans="1:20">
      <c r="A100" s="39" t="s">
        <v>21</v>
      </c>
      <c r="B100" s="39" t="s">
        <v>2752</v>
      </c>
      <c r="C100" s="39" t="s">
        <v>2806</v>
      </c>
      <c r="D100" s="39" t="s">
        <v>675</v>
      </c>
      <c r="E100" s="39" t="s">
        <v>2780</v>
      </c>
      <c r="F100" s="39" t="s">
        <v>1894</v>
      </c>
      <c r="H100" s="39" t="s">
        <v>1895</v>
      </c>
      <c r="I100" s="39" t="s">
        <v>1896</v>
      </c>
      <c r="J100" s="39" t="s">
        <v>68</v>
      </c>
      <c r="K100" s="39" t="s">
        <v>32</v>
      </c>
      <c r="L100" s="44">
        <v>6289602777880</v>
      </c>
      <c r="O100" s="39" t="s">
        <v>1897</v>
      </c>
      <c r="P100" s="39" t="s">
        <v>1893</v>
      </c>
      <c r="Q100" s="39" t="s">
        <v>1892</v>
      </c>
      <c r="R100" s="39" t="s">
        <v>2002</v>
      </c>
      <c r="S100" s="39" t="s">
        <v>2003</v>
      </c>
    </row>
    <row r="101" spans="1:20">
      <c r="A101" s="39" t="s">
        <v>21</v>
      </c>
      <c r="B101" s="39" t="s">
        <v>58</v>
      </c>
      <c r="C101" s="39" t="s">
        <v>2807</v>
      </c>
      <c r="D101" s="39" t="s">
        <v>1097</v>
      </c>
      <c r="E101" s="39" t="s">
        <v>2781</v>
      </c>
      <c r="F101" s="39" t="s">
        <v>1104</v>
      </c>
      <c r="G101" s="39">
        <v>8623202790</v>
      </c>
      <c r="H101" s="39" t="s">
        <v>1105</v>
      </c>
      <c r="I101" s="39" t="s">
        <v>1106</v>
      </c>
      <c r="J101" s="39" t="s">
        <v>68</v>
      </c>
      <c r="K101" s="39" t="s">
        <v>32</v>
      </c>
      <c r="L101" s="44">
        <v>6285792000083</v>
      </c>
      <c r="O101" s="39" t="s">
        <v>1107</v>
      </c>
      <c r="P101" s="39" t="s">
        <v>1102</v>
      </c>
      <c r="Q101" s="39" t="s">
        <v>1103</v>
      </c>
      <c r="R101" s="39" t="s">
        <v>2280</v>
      </c>
      <c r="S101" s="39" t="s">
        <v>2281</v>
      </c>
      <c r="T101" s="39">
        <v>8623202790</v>
      </c>
    </row>
    <row r="102" spans="1:20">
      <c r="A102" s="39" t="s">
        <v>21</v>
      </c>
      <c r="B102" s="39" t="s">
        <v>58</v>
      </c>
      <c r="C102" s="39" t="s">
        <v>2807</v>
      </c>
      <c r="D102" s="39" t="s">
        <v>1097</v>
      </c>
      <c r="E102" s="39" t="s">
        <v>2781</v>
      </c>
      <c r="F102" s="39" t="s">
        <v>1110</v>
      </c>
      <c r="G102" s="39">
        <v>1620322999</v>
      </c>
      <c r="H102" s="39" t="s">
        <v>1111</v>
      </c>
      <c r="I102" s="39" t="s">
        <v>1112</v>
      </c>
      <c r="J102" s="39" t="s">
        <v>68</v>
      </c>
      <c r="K102" s="39" t="s">
        <v>32</v>
      </c>
      <c r="L102" s="44">
        <v>6285710911929</v>
      </c>
      <c r="O102" s="39" t="s">
        <v>1113</v>
      </c>
      <c r="P102" s="39" t="s">
        <v>1108</v>
      </c>
      <c r="Q102" s="39" t="s">
        <v>1109</v>
      </c>
      <c r="R102" s="39" t="s">
        <v>2282</v>
      </c>
      <c r="S102" s="39" t="s">
        <v>2283</v>
      </c>
      <c r="T102" s="39">
        <v>1620322999</v>
      </c>
    </row>
    <row r="103" spans="1:20">
      <c r="A103" s="39" t="s">
        <v>21</v>
      </c>
      <c r="B103" s="39" t="s">
        <v>58</v>
      </c>
      <c r="C103" s="39" t="s">
        <v>2807</v>
      </c>
      <c r="D103" s="39" t="s">
        <v>1097</v>
      </c>
      <c r="E103" s="39" t="s">
        <v>2781</v>
      </c>
      <c r="F103" s="39" t="s">
        <v>1116</v>
      </c>
      <c r="G103" s="39">
        <v>5437185576</v>
      </c>
      <c r="H103" s="39" t="s">
        <v>1117</v>
      </c>
      <c r="I103" s="39" t="s">
        <v>1118</v>
      </c>
      <c r="J103" s="39" t="s">
        <v>68</v>
      </c>
      <c r="K103" s="39" t="s">
        <v>32</v>
      </c>
      <c r="L103" s="44">
        <v>6285775999311</v>
      </c>
      <c r="O103" s="39" t="s">
        <v>1119</v>
      </c>
      <c r="P103" s="39" t="s">
        <v>1114</v>
      </c>
      <c r="Q103" s="39" t="s">
        <v>1115</v>
      </c>
      <c r="R103" s="39" t="s">
        <v>2284</v>
      </c>
      <c r="S103" s="39" t="s">
        <v>2285</v>
      </c>
      <c r="T103" s="39">
        <v>5437185576</v>
      </c>
    </row>
    <row r="104" spans="1:20">
      <c r="A104" s="39" t="s">
        <v>21</v>
      </c>
      <c r="B104" s="39" t="s">
        <v>58</v>
      </c>
      <c r="C104" s="39" t="s">
        <v>2807</v>
      </c>
      <c r="D104" s="39" t="s">
        <v>1097</v>
      </c>
      <c r="E104" s="39" t="s">
        <v>2781</v>
      </c>
      <c r="F104" s="39" t="s">
        <v>1122</v>
      </c>
      <c r="G104" s="39">
        <v>924516227</v>
      </c>
      <c r="H104" s="39" t="s">
        <v>1123</v>
      </c>
      <c r="I104" s="39" t="s">
        <v>1124</v>
      </c>
      <c r="J104" s="39" t="s">
        <v>68</v>
      </c>
      <c r="K104" s="39" t="s">
        <v>32</v>
      </c>
      <c r="L104" s="44">
        <v>6285697352707</v>
      </c>
      <c r="O104" s="39" t="s">
        <v>1125</v>
      </c>
      <c r="P104" s="39" t="s">
        <v>1120</v>
      </c>
      <c r="Q104" s="39" t="s">
        <v>1121</v>
      </c>
      <c r="R104" s="39" t="s">
        <v>2286</v>
      </c>
      <c r="S104" s="39" t="s">
        <v>2287</v>
      </c>
      <c r="T104" s="39">
        <v>924516227</v>
      </c>
    </row>
    <row r="105" spans="1:20">
      <c r="A105" s="39" t="s">
        <v>21</v>
      </c>
      <c r="B105" s="39" t="s">
        <v>58</v>
      </c>
      <c r="C105" s="39" t="s">
        <v>2807</v>
      </c>
      <c r="D105" s="39" t="s">
        <v>1097</v>
      </c>
      <c r="E105" s="39" t="s">
        <v>2781</v>
      </c>
      <c r="F105" s="39" t="s">
        <v>1128</v>
      </c>
      <c r="G105" s="39">
        <v>7331004122</v>
      </c>
      <c r="H105" s="39" t="s">
        <v>1129</v>
      </c>
      <c r="I105" s="39" t="s">
        <v>1130</v>
      </c>
      <c r="J105" s="39" t="s">
        <v>68</v>
      </c>
      <c r="K105" s="39" t="s">
        <v>32</v>
      </c>
      <c r="L105" s="44">
        <v>6285697351957</v>
      </c>
      <c r="O105" s="39" t="s">
        <v>1131</v>
      </c>
      <c r="P105" s="39" t="s">
        <v>1126</v>
      </c>
      <c r="Q105" s="39" t="s">
        <v>1127</v>
      </c>
      <c r="R105" s="39" t="s">
        <v>2288</v>
      </c>
      <c r="S105" s="39" t="s">
        <v>2289</v>
      </c>
      <c r="T105" s="39">
        <v>7331004122</v>
      </c>
    </row>
    <row r="106" spans="1:20">
      <c r="A106" s="39" t="s">
        <v>21</v>
      </c>
      <c r="B106" s="39" t="s">
        <v>58</v>
      </c>
      <c r="C106" s="39" t="s">
        <v>2807</v>
      </c>
      <c r="D106" s="39" t="s">
        <v>1097</v>
      </c>
      <c r="E106" s="39" t="s">
        <v>2781</v>
      </c>
      <c r="F106" s="39" t="s">
        <v>1817</v>
      </c>
      <c r="H106" s="39" t="s">
        <v>1818</v>
      </c>
      <c r="I106" s="39" t="s">
        <v>1819</v>
      </c>
      <c r="J106" s="39" t="s">
        <v>119</v>
      </c>
      <c r="K106" s="39" t="s">
        <v>32</v>
      </c>
      <c r="L106" s="44">
        <v>6289602778003</v>
      </c>
      <c r="O106" s="39" t="s">
        <v>1820</v>
      </c>
      <c r="P106" s="39" t="s">
        <v>1816</v>
      </c>
      <c r="Q106" s="39" t="s">
        <v>1815</v>
      </c>
      <c r="R106" s="39" t="s">
        <v>2478</v>
      </c>
      <c r="S106" s="39" t="s">
        <v>2479</v>
      </c>
    </row>
    <row r="107" spans="1:20">
      <c r="A107" s="39" t="s">
        <v>21</v>
      </c>
      <c r="B107" s="39" t="s">
        <v>58</v>
      </c>
      <c r="C107" s="39" t="s">
        <v>2807</v>
      </c>
      <c r="D107" s="39" t="s">
        <v>1097</v>
      </c>
      <c r="E107" s="39" t="s">
        <v>2781</v>
      </c>
      <c r="F107" s="39" t="s">
        <v>1823</v>
      </c>
      <c r="G107" s="39">
        <v>8225378318</v>
      </c>
      <c r="H107" s="39" t="s">
        <v>1824</v>
      </c>
      <c r="I107" s="39" t="s">
        <v>1825</v>
      </c>
      <c r="J107" s="39" t="s">
        <v>68</v>
      </c>
      <c r="K107" s="39" t="s">
        <v>32</v>
      </c>
      <c r="L107" s="44">
        <v>6289602778005</v>
      </c>
      <c r="O107" s="39" t="s">
        <v>1826</v>
      </c>
      <c r="P107" s="39" t="s">
        <v>1822</v>
      </c>
      <c r="Q107" s="39" t="s">
        <v>1821</v>
      </c>
      <c r="R107" s="39" t="s">
        <v>2480</v>
      </c>
      <c r="S107" s="39" t="s">
        <v>2481</v>
      </c>
      <c r="T107" s="39">
        <v>8225378318</v>
      </c>
    </row>
    <row r="108" spans="1:20">
      <c r="A108" s="39" t="s">
        <v>21</v>
      </c>
      <c r="B108" s="39" t="s">
        <v>58</v>
      </c>
      <c r="C108" s="39" t="s">
        <v>2807</v>
      </c>
      <c r="D108" s="39" t="s">
        <v>1097</v>
      </c>
      <c r="E108" s="39" t="s">
        <v>2781</v>
      </c>
      <c r="F108" s="39" t="s">
        <v>1835</v>
      </c>
      <c r="G108" s="39">
        <v>6149411049</v>
      </c>
      <c r="H108" s="39" t="s">
        <v>1836</v>
      </c>
      <c r="I108" s="39" t="s">
        <v>1837</v>
      </c>
      <c r="J108" s="39" t="s">
        <v>68</v>
      </c>
      <c r="K108" s="39" t="s">
        <v>32</v>
      </c>
      <c r="L108" s="44">
        <v>6289602778007</v>
      </c>
      <c r="O108" s="39" t="s">
        <v>1838</v>
      </c>
      <c r="P108" s="39" t="s">
        <v>1834</v>
      </c>
      <c r="Q108" s="39" t="s">
        <v>1833</v>
      </c>
      <c r="R108" s="39" t="s">
        <v>2484</v>
      </c>
      <c r="S108" s="39" t="s">
        <v>2485</v>
      </c>
      <c r="T108" s="39">
        <v>6149411049</v>
      </c>
    </row>
    <row r="109" spans="1:20">
      <c r="A109" s="39" t="s">
        <v>21</v>
      </c>
      <c r="B109" s="39" t="s">
        <v>58</v>
      </c>
      <c r="C109" s="39" t="s">
        <v>2807</v>
      </c>
      <c r="D109" s="39" t="s">
        <v>1097</v>
      </c>
      <c r="E109" s="39" t="s">
        <v>2781</v>
      </c>
      <c r="F109" s="39" t="s">
        <v>1858</v>
      </c>
      <c r="G109" s="39">
        <v>8072382835</v>
      </c>
      <c r="H109" s="39" t="s">
        <v>1859</v>
      </c>
      <c r="I109" s="39" t="s">
        <v>1860</v>
      </c>
      <c r="J109" s="39" t="s">
        <v>68</v>
      </c>
      <c r="K109" s="39" t="s">
        <v>32</v>
      </c>
      <c r="L109" s="44">
        <v>6289602778015</v>
      </c>
      <c r="O109" s="39" t="s">
        <v>1861</v>
      </c>
      <c r="P109" s="39" t="s">
        <v>1857</v>
      </c>
      <c r="Q109" s="39" t="s">
        <v>1856</v>
      </c>
      <c r="R109" s="39" t="s">
        <v>2492</v>
      </c>
      <c r="S109" s="39" t="s">
        <v>2493</v>
      </c>
      <c r="T109" s="39">
        <v>8072382835</v>
      </c>
    </row>
    <row r="110" spans="1:20">
      <c r="A110" s="39" t="s">
        <v>21</v>
      </c>
      <c r="B110" s="39" t="s">
        <v>58</v>
      </c>
      <c r="C110" s="39" t="s">
        <v>2807</v>
      </c>
      <c r="D110" s="39" t="s">
        <v>1097</v>
      </c>
      <c r="E110" s="39" t="s">
        <v>2781</v>
      </c>
      <c r="F110" s="39" t="s">
        <v>1864</v>
      </c>
      <c r="G110" s="39">
        <v>6681264239</v>
      </c>
      <c r="H110" s="39" t="s">
        <v>1865</v>
      </c>
      <c r="I110" s="39" t="s">
        <v>1866</v>
      </c>
      <c r="J110" s="39" t="s">
        <v>68</v>
      </c>
      <c r="K110" s="39" t="s">
        <v>32</v>
      </c>
      <c r="L110" s="44">
        <v>62089687777050</v>
      </c>
      <c r="O110" s="39" t="s">
        <v>1867</v>
      </c>
      <c r="P110" s="39" t="s">
        <v>1863</v>
      </c>
      <c r="Q110" s="39" t="s">
        <v>1862</v>
      </c>
      <c r="R110" s="39" t="s">
        <v>2494</v>
      </c>
      <c r="S110" s="39" t="s">
        <v>2495</v>
      </c>
      <c r="T110" s="39">
        <v>6681264239</v>
      </c>
    </row>
    <row r="111" spans="1:20">
      <c r="A111" s="39" t="s">
        <v>21</v>
      </c>
      <c r="B111" s="39" t="s">
        <v>58</v>
      </c>
      <c r="C111" s="39" t="s">
        <v>2807</v>
      </c>
      <c r="D111" s="39" t="s">
        <v>1097</v>
      </c>
      <c r="E111" s="39" t="s">
        <v>2781</v>
      </c>
      <c r="F111" s="39" t="s">
        <v>1882</v>
      </c>
      <c r="G111" s="39">
        <v>7050833942</v>
      </c>
      <c r="H111" s="39" t="s">
        <v>1883</v>
      </c>
      <c r="I111" s="39" t="s">
        <v>1884</v>
      </c>
      <c r="J111" s="39" t="s">
        <v>68</v>
      </c>
      <c r="K111" s="39" t="s">
        <v>32</v>
      </c>
      <c r="L111" s="44">
        <v>6289618181881</v>
      </c>
      <c r="O111" s="39" t="s">
        <v>1885</v>
      </c>
      <c r="P111" s="39" t="s">
        <v>1881</v>
      </c>
      <c r="Q111" s="39" t="s">
        <v>1880</v>
      </c>
      <c r="R111" s="39" t="s">
        <v>2500</v>
      </c>
      <c r="S111" s="39" t="s">
        <v>2501</v>
      </c>
      <c r="T111" s="39">
        <v>7050833942</v>
      </c>
    </row>
    <row r="112" spans="1:20">
      <c r="A112" s="39" t="s">
        <v>21</v>
      </c>
      <c r="B112" s="39" t="s">
        <v>58</v>
      </c>
      <c r="C112" s="39" t="s">
        <v>2807</v>
      </c>
      <c r="D112" s="39" t="s">
        <v>1097</v>
      </c>
      <c r="E112" s="39" t="s">
        <v>2781</v>
      </c>
      <c r="F112" s="39" t="s">
        <v>1212</v>
      </c>
      <c r="G112" s="39">
        <v>648295528</v>
      </c>
      <c r="H112" s="39" t="s">
        <v>1213</v>
      </c>
      <c r="I112" s="39" t="s">
        <v>1214</v>
      </c>
      <c r="J112" s="39" t="s">
        <v>68</v>
      </c>
      <c r="K112" s="39" t="s">
        <v>32</v>
      </c>
      <c r="L112" s="44">
        <v>6285692581643</v>
      </c>
      <c r="O112" s="39" t="s">
        <v>1215</v>
      </c>
      <c r="P112" s="39" t="s">
        <v>1210</v>
      </c>
      <c r="Q112" s="39" t="s">
        <v>1211</v>
      </c>
      <c r="R112" s="39" t="s">
        <v>2316</v>
      </c>
      <c r="S112" s="39" t="s">
        <v>2317</v>
      </c>
      <c r="T112" s="39">
        <v>648295528</v>
      </c>
    </row>
    <row r="113" spans="1:20">
      <c r="A113" s="39" t="s">
        <v>21</v>
      </c>
      <c r="B113" s="39" t="s">
        <v>58</v>
      </c>
      <c r="C113" s="39" t="s">
        <v>2807</v>
      </c>
      <c r="D113" s="39" t="s">
        <v>93</v>
      </c>
      <c r="E113" s="39" t="s">
        <v>2782</v>
      </c>
      <c r="F113" s="39" t="s">
        <v>98</v>
      </c>
      <c r="G113" s="39">
        <v>8011516020</v>
      </c>
      <c r="H113" s="39" t="s">
        <v>99</v>
      </c>
      <c r="I113" s="39" t="s">
        <v>100</v>
      </c>
      <c r="J113" s="39" t="s">
        <v>68</v>
      </c>
      <c r="K113" s="39" t="s">
        <v>32</v>
      </c>
      <c r="L113" s="44">
        <v>6285781223500</v>
      </c>
      <c r="O113" s="39" t="s">
        <v>101</v>
      </c>
      <c r="P113" s="39">
        <v>2613050742</v>
      </c>
      <c r="Q113" s="39" t="s">
        <v>97</v>
      </c>
      <c r="R113" s="39" t="s">
        <v>2010</v>
      </c>
      <c r="S113" s="39" t="s">
        <v>2011</v>
      </c>
      <c r="T113" s="39">
        <v>8011516020</v>
      </c>
    </row>
    <row r="114" spans="1:20">
      <c r="A114" s="39" t="s">
        <v>21</v>
      </c>
      <c r="B114" s="39" t="s">
        <v>58</v>
      </c>
      <c r="C114" s="39" t="s">
        <v>2807</v>
      </c>
      <c r="D114" s="39" t="s">
        <v>93</v>
      </c>
      <c r="E114" s="39" t="s">
        <v>2782</v>
      </c>
      <c r="F114" s="39" t="s">
        <v>1039</v>
      </c>
      <c r="G114" s="39">
        <v>8102964461</v>
      </c>
      <c r="H114" s="39" t="s">
        <v>1040</v>
      </c>
      <c r="I114" s="39" t="s">
        <v>1041</v>
      </c>
      <c r="J114" s="39" t="s">
        <v>68</v>
      </c>
      <c r="K114" s="39" t="s">
        <v>32</v>
      </c>
      <c r="L114" s="44">
        <v>6285711188480</v>
      </c>
      <c r="O114" s="39" t="s">
        <v>1042</v>
      </c>
      <c r="P114" s="39" t="s">
        <v>1037</v>
      </c>
      <c r="Q114" s="39" t="s">
        <v>1038</v>
      </c>
      <c r="R114" s="39" t="s">
        <v>2260</v>
      </c>
      <c r="S114" s="39" t="s">
        <v>2261</v>
      </c>
      <c r="T114" s="39">
        <v>8102964461</v>
      </c>
    </row>
    <row r="115" spans="1:20">
      <c r="A115" s="39" t="s">
        <v>21</v>
      </c>
      <c r="B115" s="39" t="s">
        <v>58</v>
      </c>
      <c r="C115" s="39" t="s">
        <v>2807</v>
      </c>
      <c r="D115" s="39" t="s">
        <v>93</v>
      </c>
      <c r="E115" s="39" t="s">
        <v>2782</v>
      </c>
      <c r="F115" s="39" t="s">
        <v>1045</v>
      </c>
      <c r="G115" s="39">
        <v>6298708357</v>
      </c>
      <c r="H115" s="39" t="s">
        <v>1046</v>
      </c>
      <c r="I115" s="39" t="s">
        <v>1047</v>
      </c>
      <c r="J115" s="39" t="s">
        <v>68</v>
      </c>
      <c r="K115" s="39" t="s">
        <v>32</v>
      </c>
      <c r="L115" s="44">
        <v>62085714266661</v>
      </c>
      <c r="O115" s="39" t="s">
        <v>1048</v>
      </c>
      <c r="P115" s="39" t="s">
        <v>1043</v>
      </c>
      <c r="Q115" s="39" t="s">
        <v>1044</v>
      </c>
      <c r="R115" s="39" t="s">
        <v>2262</v>
      </c>
      <c r="S115" s="39" t="s">
        <v>2263</v>
      </c>
      <c r="T115" s="39">
        <v>6298708357</v>
      </c>
    </row>
    <row r="116" spans="1:20">
      <c r="A116" s="39" t="s">
        <v>21</v>
      </c>
      <c r="B116" s="39" t="s">
        <v>58</v>
      </c>
      <c r="C116" s="39" t="s">
        <v>2807</v>
      </c>
      <c r="D116" s="39" t="s">
        <v>93</v>
      </c>
      <c r="E116" s="39" t="s">
        <v>2782</v>
      </c>
      <c r="F116" s="39" t="s">
        <v>1051</v>
      </c>
      <c r="G116" s="39">
        <v>7716796606</v>
      </c>
      <c r="H116" s="39" t="s">
        <v>1052</v>
      </c>
      <c r="I116" s="39" t="s">
        <v>1053</v>
      </c>
      <c r="J116" s="39" t="s">
        <v>68</v>
      </c>
      <c r="K116" s="39" t="s">
        <v>32</v>
      </c>
      <c r="L116" s="44">
        <v>6285711127998</v>
      </c>
      <c r="O116" s="39" t="s">
        <v>1054</v>
      </c>
      <c r="P116" s="39" t="s">
        <v>1049</v>
      </c>
      <c r="Q116" s="39" t="s">
        <v>1050</v>
      </c>
      <c r="R116" s="39" t="s">
        <v>2264</v>
      </c>
      <c r="S116" s="39" t="s">
        <v>2265</v>
      </c>
      <c r="T116" s="39">
        <v>7716796606</v>
      </c>
    </row>
    <row r="117" spans="1:20">
      <c r="A117" s="39" t="s">
        <v>21</v>
      </c>
      <c r="B117" s="39" t="s">
        <v>58</v>
      </c>
      <c r="C117" s="39" t="s">
        <v>2807</v>
      </c>
      <c r="D117" s="39" t="s">
        <v>93</v>
      </c>
      <c r="E117" s="39" t="s">
        <v>2782</v>
      </c>
      <c r="F117" s="39" t="s">
        <v>1057</v>
      </c>
      <c r="G117" s="39">
        <v>912960452</v>
      </c>
      <c r="H117" s="39" t="s">
        <v>1058</v>
      </c>
      <c r="I117" s="39" t="s">
        <v>1059</v>
      </c>
      <c r="J117" s="39" t="s">
        <v>68</v>
      </c>
      <c r="K117" s="39" t="s">
        <v>32</v>
      </c>
      <c r="L117" s="44">
        <v>6280086422494</v>
      </c>
      <c r="O117" s="39" t="s">
        <v>1060</v>
      </c>
      <c r="P117" s="39" t="s">
        <v>1055</v>
      </c>
      <c r="Q117" s="39" t="s">
        <v>1056</v>
      </c>
      <c r="R117" s="39" t="s">
        <v>2266</v>
      </c>
      <c r="S117" s="39" t="s">
        <v>2267</v>
      </c>
      <c r="T117" s="39">
        <v>912960452</v>
      </c>
    </row>
    <row r="118" spans="1:20">
      <c r="A118" s="39" t="s">
        <v>21</v>
      </c>
      <c r="B118" s="39" t="s">
        <v>58</v>
      </c>
      <c r="C118" s="39" t="s">
        <v>2807</v>
      </c>
      <c r="D118" s="39" t="s">
        <v>93</v>
      </c>
      <c r="E118" s="39" t="s">
        <v>2782</v>
      </c>
      <c r="F118" s="39" t="s">
        <v>1733</v>
      </c>
      <c r="G118" s="39">
        <v>7332752873</v>
      </c>
      <c r="H118" s="39" t="s">
        <v>1734</v>
      </c>
      <c r="I118" s="39" t="s">
        <v>1735</v>
      </c>
      <c r="J118" s="39" t="s">
        <v>68</v>
      </c>
      <c r="K118" s="39" t="s">
        <v>32</v>
      </c>
      <c r="L118" s="44">
        <v>62895386853434</v>
      </c>
      <c r="O118" s="39" t="s">
        <v>1736</v>
      </c>
      <c r="P118" s="39" t="s">
        <v>1732</v>
      </c>
      <c r="Q118" s="39" t="s">
        <v>1731</v>
      </c>
      <c r="R118" s="39" t="s">
        <v>2454</v>
      </c>
      <c r="S118" s="39" t="s">
        <v>2455</v>
      </c>
      <c r="T118" s="39">
        <v>7332752873</v>
      </c>
    </row>
    <row r="119" spans="1:20">
      <c r="A119" s="39" t="s">
        <v>21</v>
      </c>
      <c r="B119" s="39" t="s">
        <v>58</v>
      </c>
      <c r="C119" s="39" t="s">
        <v>2807</v>
      </c>
      <c r="D119" s="39" t="s">
        <v>93</v>
      </c>
      <c r="E119" s="39" t="s">
        <v>2782</v>
      </c>
      <c r="F119" s="39" t="s">
        <v>1745</v>
      </c>
      <c r="G119" s="39">
        <v>8422037382</v>
      </c>
      <c r="H119" s="39" t="s">
        <v>1746</v>
      </c>
      <c r="I119" s="39" t="s">
        <v>1747</v>
      </c>
      <c r="J119" s="39" t="s">
        <v>68</v>
      </c>
      <c r="K119" s="39" t="s">
        <v>32</v>
      </c>
      <c r="L119" s="44">
        <v>62895386859030</v>
      </c>
      <c r="O119" s="39" t="s">
        <v>1748</v>
      </c>
      <c r="P119" s="39" t="s">
        <v>1744</v>
      </c>
      <c r="Q119" s="39" t="s">
        <v>1743</v>
      </c>
      <c r="R119" s="39" t="s">
        <v>2458</v>
      </c>
      <c r="S119" s="39" t="s">
        <v>2459</v>
      </c>
      <c r="T119" s="39">
        <v>8422037382</v>
      </c>
    </row>
    <row r="120" spans="1:20">
      <c r="A120" s="39" t="s">
        <v>21</v>
      </c>
      <c r="B120" s="39" t="s">
        <v>58</v>
      </c>
      <c r="C120" s="39" t="s">
        <v>2807</v>
      </c>
      <c r="D120" s="39" t="s">
        <v>93</v>
      </c>
      <c r="E120" s="39" t="s">
        <v>2782</v>
      </c>
      <c r="F120" s="39" t="s">
        <v>1870</v>
      </c>
      <c r="G120" s="39">
        <v>7608061781</v>
      </c>
      <c r="H120" s="39" t="s">
        <v>1871</v>
      </c>
      <c r="I120" s="39" t="s">
        <v>1872</v>
      </c>
      <c r="J120" s="39" t="s">
        <v>68</v>
      </c>
      <c r="K120" s="39" t="s">
        <v>32</v>
      </c>
      <c r="L120" s="44">
        <v>6289602778024</v>
      </c>
      <c r="O120" s="39" t="s">
        <v>1873</v>
      </c>
      <c r="P120" s="39" t="s">
        <v>1869</v>
      </c>
      <c r="Q120" s="39" t="s">
        <v>1868</v>
      </c>
      <c r="R120" s="39" t="s">
        <v>2496</v>
      </c>
      <c r="S120" s="39" t="s">
        <v>2497</v>
      </c>
      <c r="T120" s="39">
        <v>7608061781</v>
      </c>
    </row>
    <row r="121" spans="1:20">
      <c r="A121" s="39" t="s">
        <v>21</v>
      </c>
      <c r="B121" s="39" t="s">
        <v>58</v>
      </c>
      <c r="C121" s="39" t="s">
        <v>2807</v>
      </c>
      <c r="D121" s="39" t="s">
        <v>93</v>
      </c>
      <c r="E121" s="39" t="s">
        <v>2782</v>
      </c>
      <c r="F121" s="39" t="s">
        <v>1876</v>
      </c>
      <c r="H121" s="39" t="s">
        <v>1877</v>
      </c>
      <c r="I121" s="39" t="s">
        <v>1878</v>
      </c>
      <c r="J121" s="39" t="s">
        <v>68</v>
      </c>
      <c r="K121" s="39" t="s">
        <v>32</v>
      </c>
      <c r="L121" s="44">
        <v>6289602778025</v>
      </c>
      <c r="O121" s="39" t="s">
        <v>1879</v>
      </c>
      <c r="P121" s="39" t="s">
        <v>1875</v>
      </c>
      <c r="Q121" s="39" t="s">
        <v>1874</v>
      </c>
      <c r="R121" s="39" t="s">
        <v>2498</v>
      </c>
      <c r="S121" s="39" t="s">
        <v>2499</v>
      </c>
    </row>
    <row r="122" spans="1:20">
      <c r="A122" s="39" t="s">
        <v>21</v>
      </c>
      <c r="B122" s="39" t="s">
        <v>58</v>
      </c>
      <c r="C122" s="39" t="s">
        <v>2807</v>
      </c>
      <c r="D122" s="39" t="s">
        <v>59</v>
      </c>
      <c r="E122" s="39" t="s">
        <v>2783</v>
      </c>
      <c r="F122" s="39" t="s">
        <v>65</v>
      </c>
      <c r="G122" s="39">
        <v>6730355977</v>
      </c>
      <c r="H122" s="39" t="s">
        <v>66</v>
      </c>
      <c r="I122" s="39" t="s">
        <v>67</v>
      </c>
      <c r="J122" s="39" t="s">
        <v>68</v>
      </c>
      <c r="K122" s="39" t="s">
        <v>32</v>
      </c>
      <c r="L122" s="44">
        <v>6280086422493</v>
      </c>
      <c r="O122" s="39" t="s">
        <v>69</v>
      </c>
      <c r="P122" s="39">
        <v>2613050467</v>
      </c>
      <c r="Q122" s="39" t="s">
        <v>64</v>
      </c>
      <c r="R122" s="39" t="s">
        <v>2004</v>
      </c>
      <c r="S122" s="39" t="s">
        <v>2005</v>
      </c>
      <c r="T122" s="39">
        <v>6730355977</v>
      </c>
    </row>
    <row r="123" spans="1:20">
      <c r="A123" s="39" t="s">
        <v>21</v>
      </c>
      <c r="B123" s="39" t="s">
        <v>58</v>
      </c>
      <c r="C123" s="39" t="s">
        <v>2807</v>
      </c>
      <c r="D123" s="39" t="s">
        <v>59</v>
      </c>
      <c r="E123" s="39" t="s">
        <v>2783</v>
      </c>
      <c r="F123" s="39" t="s">
        <v>1517</v>
      </c>
      <c r="G123" s="39">
        <v>6779932379</v>
      </c>
      <c r="H123" s="39" t="s">
        <v>1518</v>
      </c>
      <c r="I123" s="39" t="s">
        <v>1519</v>
      </c>
      <c r="J123" s="39" t="s">
        <v>68</v>
      </c>
      <c r="K123" s="39" t="s">
        <v>32</v>
      </c>
      <c r="L123" s="44">
        <v>62895386853131</v>
      </c>
      <c r="O123" s="39" t="s">
        <v>1520</v>
      </c>
      <c r="P123" s="39" t="s">
        <v>1516</v>
      </c>
      <c r="Q123" s="39" t="s">
        <v>1515</v>
      </c>
      <c r="R123" s="39" t="s">
        <v>2396</v>
      </c>
      <c r="S123" s="39" t="s">
        <v>2397</v>
      </c>
      <c r="T123" s="39">
        <v>6779932379</v>
      </c>
    </row>
    <row r="124" spans="1:20">
      <c r="A124" s="39" t="s">
        <v>21</v>
      </c>
      <c r="B124" s="39" t="s">
        <v>58</v>
      </c>
      <c r="C124" s="39" t="s">
        <v>2807</v>
      </c>
      <c r="D124" s="39" t="s">
        <v>59</v>
      </c>
      <c r="E124" s="39" t="s">
        <v>2783</v>
      </c>
      <c r="F124" s="39" t="s">
        <v>1727</v>
      </c>
      <c r="G124" s="39">
        <v>8582331071</v>
      </c>
      <c r="H124" s="39" t="s">
        <v>1728</v>
      </c>
      <c r="I124" s="39" t="s">
        <v>1729</v>
      </c>
      <c r="J124" s="39" t="s">
        <v>68</v>
      </c>
      <c r="K124" s="39" t="s">
        <v>32</v>
      </c>
      <c r="L124" s="44">
        <v>62895386584545</v>
      </c>
      <c r="O124" s="39" t="s">
        <v>1730</v>
      </c>
      <c r="P124" s="39" t="s">
        <v>1726</v>
      </c>
      <c r="Q124" s="39" t="s">
        <v>1725</v>
      </c>
      <c r="R124" s="39" t="s">
        <v>2452</v>
      </c>
      <c r="S124" s="39" t="s">
        <v>2453</v>
      </c>
      <c r="T124" s="39">
        <v>8582331071</v>
      </c>
    </row>
    <row r="125" spans="1:20">
      <c r="A125" s="39" t="s">
        <v>21</v>
      </c>
      <c r="B125" s="39" t="s">
        <v>58</v>
      </c>
      <c r="C125" s="39" t="s">
        <v>2807</v>
      </c>
      <c r="D125" s="39" t="s">
        <v>59</v>
      </c>
      <c r="E125" s="39" t="s">
        <v>2783</v>
      </c>
      <c r="F125" s="39" t="s">
        <v>1739</v>
      </c>
      <c r="G125" s="39">
        <v>1443215908</v>
      </c>
      <c r="H125" s="39" t="s">
        <v>1740</v>
      </c>
      <c r="I125" s="39" t="s">
        <v>1741</v>
      </c>
      <c r="J125" s="39" t="s">
        <v>119</v>
      </c>
      <c r="K125" s="39" t="s">
        <v>32</v>
      </c>
      <c r="L125" s="44">
        <v>62895386854646</v>
      </c>
      <c r="O125" s="39" t="s">
        <v>1742</v>
      </c>
      <c r="P125" s="39" t="s">
        <v>1738</v>
      </c>
      <c r="Q125" s="39" t="s">
        <v>1737</v>
      </c>
      <c r="R125" s="39" t="s">
        <v>2456</v>
      </c>
      <c r="S125" s="39" t="s">
        <v>2457</v>
      </c>
      <c r="T125" s="39">
        <v>1443215908</v>
      </c>
    </row>
    <row r="126" spans="1:20">
      <c r="A126" s="39" t="s">
        <v>21</v>
      </c>
      <c r="B126" s="39" t="s">
        <v>58</v>
      </c>
      <c r="C126" s="39" t="s">
        <v>2807</v>
      </c>
      <c r="D126" s="39" t="s">
        <v>59</v>
      </c>
      <c r="E126" s="39" t="s">
        <v>2783</v>
      </c>
      <c r="F126" s="39" t="s">
        <v>1751</v>
      </c>
      <c r="G126" s="39">
        <v>8770042446</v>
      </c>
      <c r="H126" s="39" t="s">
        <v>1752</v>
      </c>
      <c r="I126" s="39" t="s">
        <v>1753</v>
      </c>
      <c r="J126" s="39" t="s">
        <v>68</v>
      </c>
      <c r="K126" s="39" t="s">
        <v>32</v>
      </c>
      <c r="L126" s="44">
        <v>62895386870202</v>
      </c>
      <c r="O126" s="39" t="s">
        <v>1754</v>
      </c>
      <c r="P126" s="39" t="s">
        <v>1750</v>
      </c>
      <c r="Q126" s="39" t="s">
        <v>1749</v>
      </c>
      <c r="R126" s="39" t="s">
        <v>2460</v>
      </c>
      <c r="S126" s="39" t="s">
        <v>2461</v>
      </c>
      <c r="T126" s="39">
        <v>8770042446</v>
      </c>
    </row>
    <row r="127" spans="1:20">
      <c r="A127" s="39" t="s">
        <v>21</v>
      </c>
      <c r="B127" s="39" t="s">
        <v>58</v>
      </c>
      <c r="C127" s="39" t="s">
        <v>2807</v>
      </c>
      <c r="D127" s="39" t="s">
        <v>59</v>
      </c>
      <c r="E127" s="39" t="s">
        <v>2783</v>
      </c>
      <c r="F127" s="39" t="s">
        <v>1234</v>
      </c>
      <c r="H127" s="39" t="s">
        <v>1235</v>
      </c>
      <c r="I127" s="39" t="s">
        <v>1236</v>
      </c>
      <c r="J127" s="39" t="s">
        <v>68</v>
      </c>
      <c r="K127" s="39" t="s">
        <v>32</v>
      </c>
      <c r="L127" s="44">
        <v>6285691611168</v>
      </c>
      <c r="O127" s="39" t="s">
        <v>1237</v>
      </c>
      <c r="P127" s="39" t="s">
        <v>1232</v>
      </c>
      <c r="Q127" s="39" t="s">
        <v>1233</v>
      </c>
      <c r="R127" s="39" t="s">
        <v>2322</v>
      </c>
      <c r="S127" s="39" t="s">
        <v>2323</v>
      </c>
    </row>
    <row r="128" spans="1:20">
      <c r="A128" s="39" t="s">
        <v>21</v>
      </c>
      <c r="B128" s="39" t="s">
        <v>58</v>
      </c>
      <c r="C128" s="39" t="s">
        <v>2807</v>
      </c>
      <c r="D128" s="39" t="s">
        <v>59</v>
      </c>
      <c r="E128" s="39" t="s">
        <v>2783</v>
      </c>
      <c r="F128" s="39" t="s">
        <v>1240</v>
      </c>
      <c r="G128" s="39">
        <v>8688418585</v>
      </c>
      <c r="H128" s="39" t="s">
        <v>1241</v>
      </c>
      <c r="I128" s="39" t="s">
        <v>1242</v>
      </c>
      <c r="J128" s="39" t="s">
        <v>68</v>
      </c>
      <c r="K128" s="39" t="s">
        <v>32</v>
      </c>
      <c r="L128" s="44">
        <v>62085711111159</v>
      </c>
      <c r="O128" s="39" t="s">
        <v>1243</v>
      </c>
      <c r="P128" s="39" t="s">
        <v>1238</v>
      </c>
      <c r="Q128" s="39" t="s">
        <v>1239</v>
      </c>
      <c r="R128" s="39" t="s">
        <v>2324</v>
      </c>
      <c r="S128" s="39" t="s">
        <v>2325</v>
      </c>
      <c r="T128" s="39">
        <v>8688418585</v>
      </c>
    </row>
    <row r="129" spans="1:20">
      <c r="A129" s="39" t="s">
        <v>21</v>
      </c>
      <c r="B129" s="39" t="s">
        <v>58</v>
      </c>
      <c r="C129" s="39" t="s">
        <v>2807</v>
      </c>
      <c r="D129" s="39" t="s">
        <v>1216</v>
      </c>
      <c r="E129" s="39" t="s">
        <v>2784</v>
      </c>
      <c r="F129" s="39" t="s">
        <v>1829</v>
      </c>
      <c r="G129" s="39">
        <v>7156619484</v>
      </c>
      <c r="H129" s="39" t="s">
        <v>1830</v>
      </c>
      <c r="I129" s="39" t="s">
        <v>1831</v>
      </c>
      <c r="J129" s="39" t="s">
        <v>68</v>
      </c>
      <c r="K129" s="39" t="s">
        <v>32</v>
      </c>
      <c r="L129" s="44">
        <v>6289602778006</v>
      </c>
      <c r="O129" s="39" t="s">
        <v>1832</v>
      </c>
      <c r="P129" s="39" t="s">
        <v>1828</v>
      </c>
      <c r="Q129" s="39" t="s">
        <v>1827</v>
      </c>
      <c r="R129" s="39" t="s">
        <v>2482</v>
      </c>
      <c r="S129" s="39" t="s">
        <v>2483</v>
      </c>
      <c r="T129" s="39">
        <v>7156619484</v>
      </c>
    </row>
    <row r="130" spans="1:20">
      <c r="A130" s="39" t="s">
        <v>21</v>
      </c>
      <c r="B130" s="39" t="s">
        <v>58</v>
      </c>
      <c r="C130" s="39" t="s">
        <v>2807</v>
      </c>
      <c r="D130" s="39" t="s">
        <v>1216</v>
      </c>
      <c r="E130" s="39" t="s">
        <v>2784</v>
      </c>
      <c r="F130" s="39" t="s">
        <v>1841</v>
      </c>
      <c r="G130" s="39">
        <v>5024552023</v>
      </c>
      <c r="H130" s="39" t="s">
        <v>1842</v>
      </c>
      <c r="I130" s="39" t="s">
        <v>1843</v>
      </c>
      <c r="J130" s="39" t="s">
        <v>68</v>
      </c>
      <c r="K130" s="39" t="s">
        <v>32</v>
      </c>
      <c r="L130" s="44">
        <v>6289602778008</v>
      </c>
      <c r="O130" s="39" t="s">
        <v>1844</v>
      </c>
      <c r="P130" s="39" t="s">
        <v>1840</v>
      </c>
      <c r="Q130" s="39" t="s">
        <v>1839</v>
      </c>
      <c r="R130" s="39" t="s">
        <v>2486</v>
      </c>
      <c r="S130" s="39" t="s">
        <v>2487</v>
      </c>
      <c r="T130" s="39">
        <v>5024552023</v>
      </c>
    </row>
    <row r="131" spans="1:20">
      <c r="A131" s="39" t="s">
        <v>21</v>
      </c>
      <c r="B131" s="39" t="s">
        <v>58</v>
      </c>
      <c r="C131" s="39" t="s">
        <v>2807</v>
      </c>
      <c r="D131" s="39" t="s">
        <v>1216</v>
      </c>
      <c r="E131" s="39" t="s">
        <v>2784</v>
      </c>
      <c r="F131" s="39" t="s">
        <v>1847</v>
      </c>
      <c r="G131" s="39">
        <v>8855551259</v>
      </c>
      <c r="H131" s="39" t="s">
        <v>1848</v>
      </c>
      <c r="I131" s="39" t="s">
        <v>1849</v>
      </c>
      <c r="J131" s="39" t="s">
        <v>68</v>
      </c>
      <c r="K131" s="39" t="s">
        <v>32</v>
      </c>
      <c r="L131" s="44">
        <v>6289602778009</v>
      </c>
      <c r="O131" s="39" t="s">
        <v>1850</v>
      </c>
      <c r="P131" s="39" t="s">
        <v>1846</v>
      </c>
      <c r="Q131" s="39" t="s">
        <v>1845</v>
      </c>
      <c r="R131" s="39" t="s">
        <v>2488</v>
      </c>
      <c r="S131" s="39" t="s">
        <v>2489</v>
      </c>
      <c r="T131" s="39">
        <v>8855551259</v>
      </c>
    </row>
    <row r="132" spans="1:20">
      <c r="A132" s="39" t="s">
        <v>21</v>
      </c>
      <c r="B132" s="39" t="s">
        <v>58</v>
      </c>
      <c r="C132" s="39" t="s">
        <v>2807</v>
      </c>
      <c r="D132" s="39" t="s">
        <v>1216</v>
      </c>
      <c r="E132" s="39" t="s">
        <v>2784</v>
      </c>
      <c r="F132" s="39" t="s">
        <v>1436</v>
      </c>
      <c r="G132" s="39">
        <v>6455076845</v>
      </c>
      <c r="H132" s="39" t="s">
        <v>1853</v>
      </c>
      <c r="I132" s="39" t="s">
        <v>1854</v>
      </c>
      <c r="J132" s="39" t="s">
        <v>68</v>
      </c>
      <c r="K132" s="39" t="s">
        <v>32</v>
      </c>
      <c r="L132" s="44">
        <v>6289602778011</v>
      </c>
      <c r="O132" s="39" t="s">
        <v>1855</v>
      </c>
      <c r="P132" s="39" t="s">
        <v>1852</v>
      </c>
      <c r="Q132" s="39" t="s">
        <v>1851</v>
      </c>
      <c r="R132" s="39" t="s">
        <v>2490</v>
      </c>
      <c r="S132" s="39" t="s">
        <v>2491</v>
      </c>
      <c r="T132" s="39">
        <v>6455076845</v>
      </c>
    </row>
    <row r="133" spans="1:20">
      <c r="A133" s="39" t="s">
        <v>21</v>
      </c>
      <c r="B133" s="39" t="s">
        <v>58</v>
      </c>
      <c r="C133" s="39" t="s">
        <v>2807</v>
      </c>
      <c r="D133" s="39" t="s">
        <v>1216</v>
      </c>
      <c r="E133" s="39" t="s">
        <v>2784</v>
      </c>
      <c r="F133" s="39" t="s">
        <v>1222</v>
      </c>
      <c r="H133" s="39" t="s">
        <v>1223</v>
      </c>
      <c r="I133" s="39" t="s">
        <v>1224</v>
      </c>
      <c r="J133" s="39" t="s">
        <v>68</v>
      </c>
      <c r="K133" s="39" t="s">
        <v>32</v>
      </c>
      <c r="L133" s="44">
        <v>6285697352740</v>
      </c>
      <c r="O133" s="39" t="s">
        <v>1225</v>
      </c>
      <c r="P133" s="39" t="s">
        <v>1220</v>
      </c>
      <c r="Q133" s="39" t="s">
        <v>1221</v>
      </c>
      <c r="R133" s="39" t="s">
        <v>2318</v>
      </c>
      <c r="S133" s="39" t="s">
        <v>2319</v>
      </c>
    </row>
    <row r="134" spans="1:20">
      <c r="A134" s="39" t="s">
        <v>21</v>
      </c>
      <c r="B134" s="39" t="s">
        <v>58</v>
      </c>
      <c r="C134" s="39" t="s">
        <v>2807</v>
      </c>
      <c r="D134" s="39" t="s">
        <v>1216</v>
      </c>
      <c r="E134" s="39" t="s">
        <v>2784</v>
      </c>
      <c r="F134" s="39" t="s">
        <v>1228</v>
      </c>
      <c r="H134" s="39" t="s">
        <v>1229</v>
      </c>
      <c r="I134" s="39" t="s">
        <v>1230</v>
      </c>
      <c r="J134" s="39" t="s">
        <v>68</v>
      </c>
      <c r="K134" s="39" t="s">
        <v>32</v>
      </c>
      <c r="L134" s="44">
        <v>6285881745555</v>
      </c>
      <c r="O134" s="39" t="s">
        <v>1231</v>
      </c>
      <c r="P134" s="39" t="s">
        <v>1226</v>
      </c>
      <c r="Q134" s="39" t="s">
        <v>1227</v>
      </c>
      <c r="R134" s="39" t="s">
        <v>2320</v>
      </c>
      <c r="S134" s="39" t="s">
        <v>2321</v>
      </c>
    </row>
    <row r="135" spans="1:20">
      <c r="A135" s="39" t="s">
        <v>21</v>
      </c>
      <c r="B135" s="39" t="s">
        <v>58</v>
      </c>
      <c r="C135" s="39" t="s">
        <v>2807</v>
      </c>
      <c r="D135" s="39" t="s">
        <v>1216</v>
      </c>
      <c r="E135" s="39" t="s">
        <v>2784</v>
      </c>
      <c r="F135" s="39" t="s">
        <v>1246</v>
      </c>
      <c r="H135" s="39" t="s">
        <v>1247</v>
      </c>
      <c r="I135" s="39" t="s">
        <v>1248</v>
      </c>
      <c r="J135" s="39" t="s">
        <v>68</v>
      </c>
      <c r="K135" s="39" t="s">
        <v>32</v>
      </c>
      <c r="L135" s="44">
        <v>6285715666615</v>
      </c>
      <c r="O135" s="39" t="s">
        <v>1249</v>
      </c>
      <c r="P135" s="39" t="s">
        <v>1244</v>
      </c>
      <c r="Q135" s="39" t="s">
        <v>1245</v>
      </c>
      <c r="R135" s="39" t="s">
        <v>2326</v>
      </c>
      <c r="S135" s="39" t="s">
        <v>2327</v>
      </c>
    </row>
    <row r="136" spans="1:20">
      <c r="A136" s="39" t="s">
        <v>21</v>
      </c>
      <c r="B136" s="39" t="s">
        <v>58</v>
      </c>
      <c r="C136" s="39" t="s">
        <v>2807</v>
      </c>
      <c r="D136" s="39" t="s">
        <v>1216</v>
      </c>
      <c r="E136" s="39" t="s">
        <v>2784</v>
      </c>
      <c r="F136" s="39" t="s">
        <v>1252</v>
      </c>
      <c r="H136" s="39" t="s">
        <v>1253</v>
      </c>
      <c r="I136" s="39" t="s">
        <v>1254</v>
      </c>
      <c r="J136" s="39" t="s">
        <v>68</v>
      </c>
      <c r="K136" s="39" t="s">
        <v>32</v>
      </c>
      <c r="L136" s="44">
        <v>6285777000325</v>
      </c>
      <c r="O136" s="39" t="s">
        <v>1255</v>
      </c>
      <c r="P136" s="39" t="s">
        <v>1250</v>
      </c>
      <c r="Q136" s="39" t="s">
        <v>1251</v>
      </c>
      <c r="R136" s="39" t="s">
        <v>2328</v>
      </c>
      <c r="S136" s="39" t="s">
        <v>2329</v>
      </c>
    </row>
    <row r="137" spans="1:20">
      <c r="A137" s="39" t="s">
        <v>21</v>
      </c>
      <c r="B137" s="39" t="s">
        <v>805</v>
      </c>
      <c r="C137" s="39" t="s">
        <v>2808</v>
      </c>
      <c r="D137" s="39" t="s">
        <v>1414</v>
      </c>
      <c r="E137" s="39" t="s">
        <v>2785</v>
      </c>
      <c r="F137" s="39" t="s">
        <v>1486</v>
      </c>
      <c r="G137" s="39">
        <v>7869375876</v>
      </c>
      <c r="H137" s="39" t="s">
        <v>1487</v>
      </c>
      <c r="I137" s="39" t="s">
        <v>1488</v>
      </c>
      <c r="J137" s="39" t="s">
        <v>68</v>
      </c>
      <c r="L137" s="44">
        <v>628985561827</v>
      </c>
      <c r="O137" s="39" t="s">
        <v>1489</v>
      </c>
      <c r="P137" s="39" t="s">
        <v>1485</v>
      </c>
      <c r="Q137" s="39" t="s">
        <v>1484</v>
      </c>
      <c r="R137" s="39" t="s">
        <v>2386</v>
      </c>
      <c r="S137" s="39" t="s">
        <v>2387</v>
      </c>
      <c r="T137" s="39">
        <v>7869375876</v>
      </c>
    </row>
    <row r="138" spans="1:20">
      <c r="A138" s="39" t="s">
        <v>21</v>
      </c>
      <c r="B138" s="39" t="s">
        <v>805</v>
      </c>
      <c r="C138" s="39" t="s">
        <v>2808</v>
      </c>
      <c r="D138" s="39" t="s">
        <v>1414</v>
      </c>
      <c r="E138" s="39" t="s">
        <v>2785</v>
      </c>
      <c r="F138" s="39" t="s">
        <v>1492</v>
      </c>
      <c r="G138" s="39">
        <v>5603384307</v>
      </c>
      <c r="H138" s="39" t="s">
        <v>1493</v>
      </c>
      <c r="I138" s="39" t="s">
        <v>1494</v>
      </c>
      <c r="J138" s="39" t="s">
        <v>68</v>
      </c>
      <c r="L138" s="44">
        <v>628985561829</v>
      </c>
      <c r="O138" s="39" t="s">
        <v>1495</v>
      </c>
      <c r="P138" s="39" t="s">
        <v>1491</v>
      </c>
      <c r="Q138" s="39" t="s">
        <v>1490</v>
      </c>
      <c r="R138" s="39" t="s">
        <v>2388</v>
      </c>
      <c r="S138" s="39" t="s">
        <v>2389</v>
      </c>
      <c r="T138" s="39">
        <v>5603384307</v>
      </c>
    </row>
    <row r="139" spans="1:20">
      <c r="A139" s="39" t="s">
        <v>21</v>
      </c>
      <c r="B139" s="39" t="s">
        <v>805</v>
      </c>
      <c r="C139" s="39" t="s">
        <v>2808</v>
      </c>
      <c r="D139" s="39" t="s">
        <v>1414</v>
      </c>
      <c r="E139" s="39" t="s">
        <v>2785</v>
      </c>
      <c r="F139" s="39" t="s">
        <v>1684</v>
      </c>
      <c r="G139" s="39">
        <v>7880950098</v>
      </c>
      <c r="H139" s="39" t="s">
        <v>1685</v>
      </c>
      <c r="I139" s="39" t="s">
        <v>1686</v>
      </c>
      <c r="J139" s="39" t="s">
        <v>68</v>
      </c>
      <c r="K139" s="39" t="s">
        <v>32</v>
      </c>
      <c r="L139" s="44">
        <v>6289673403339</v>
      </c>
      <c r="M139" s="39" t="s">
        <v>1687</v>
      </c>
      <c r="N139" s="39" t="s">
        <v>35</v>
      </c>
      <c r="O139" s="39" t="s">
        <v>1688</v>
      </c>
      <c r="P139" s="39" t="s">
        <v>1683</v>
      </c>
      <c r="Q139" s="39" t="s">
        <v>1682</v>
      </c>
      <c r="R139" s="39" t="s">
        <v>2438</v>
      </c>
      <c r="S139" s="39" t="s">
        <v>2439</v>
      </c>
      <c r="T139" s="39">
        <v>7880950098</v>
      </c>
    </row>
    <row r="140" spans="1:20">
      <c r="A140" s="39" t="s">
        <v>21</v>
      </c>
      <c r="B140" s="39" t="s">
        <v>805</v>
      </c>
      <c r="C140" s="39" t="s">
        <v>2808</v>
      </c>
      <c r="D140" s="39" t="s">
        <v>1414</v>
      </c>
      <c r="E140" s="39" t="s">
        <v>2785</v>
      </c>
      <c r="F140" s="39" t="s">
        <v>1420</v>
      </c>
      <c r="G140" s="39">
        <v>6538999701</v>
      </c>
      <c r="H140" s="39" t="s">
        <v>1421</v>
      </c>
      <c r="I140" s="39" t="s">
        <v>1422</v>
      </c>
      <c r="J140" s="39" t="s">
        <v>68</v>
      </c>
      <c r="L140" s="44">
        <v>62085697241191</v>
      </c>
      <c r="O140" s="39" t="s">
        <v>1423</v>
      </c>
      <c r="P140" s="39" t="s">
        <v>1418</v>
      </c>
      <c r="Q140" s="39" t="s">
        <v>1419</v>
      </c>
      <c r="R140" s="39" t="s">
        <v>2366</v>
      </c>
      <c r="S140" s="39" t="s">
        <v>2367</v>
      </c>
      <c r="T140" s="39">
        <v>6538999701</v>
      </c>
    </row>
    <row r="141" spans="1:20">
      <c r="A141" s="39" t="s">
        <v>21</v>
      </c>
      <c r="B141" s="39" t="s">
        <v>805</v>
      </c>
      <c r="C141" s="39" t="s">
        <v>2808</v>
      </c>
      <c r="D141" s="39" t="s">
        <v>1414</v>
      </c>
      <c r="E141" s="39" t="s">
        <v>2785</v>
      </c>
      <c r="F141" s="39" t="s">
        <v>1426</v>
      </c>
      <c r="G141" s="39">
        <v>7128414274</v>
      </c>
      <c r="H141" s="39" t="s">
        <v>1427</v>
      </c>
      <c r="I141" s="39" t="s">
        <v>1428</v>
      </c>
      <c r="J141" s="39" t="s">
        <v>68</v>
      </c>
      <c r="L141" s="44">
        <v>6285770154721</v>
      </c>
      <c r="O141" s="39" t="s">
        <v>1429</v>
      </c>
      <c r="P141" s="39" t="s">
        <v>1424</v>
      </c>
      <c r="Q141" s="39" t="s">
        <v>1425</v>
      </c>
      <c r="R141" s="39" t="s">
        <v>2368</v>
      </c>
      <c r="S141" s="39" t="s">
        <v>2369</v>
      </c>
      <c r="T141" s="39">
        <v>7128414274</v>
      </c>
    </row>
    <row r="142" spans="1:20">
      <c r="A142" s="39" t="s">
        <v>21</v>
      </c>
      <c r="B142" s="39" t="s">
        <v>805</v>
      </c>
      <c r="C142" s="39" t="s">
        <v>2808</v>
      </c>
      <c r="D142" s="39" t="s">
        <v>1414</v>
      </c>
      <c r="E142" s="39" t="s">
        <v>2785</v>
      </c>
      <c r="F142" s="39" t="s">
        <v>1432</v>
      </c>
      <c r="G142" s="39">
        <v>2083367828</v>
      </c>
      <c r="H142" s="39" t="s">
        <v>1433</v>
      </c>
      <c r="I142" s="39" t="s">
        <v>1434</v>
      </c>
      <c r="J142" s="39" t="s">
        <v>68</v>
      </c>
      <c r="L142" s="44">
        <v>6208567160016</v>
      </c>
      <c r="O142" s="39" t="s">
        <v>1435</v>
      </c>
      <c r="P142" s="39" t="s">
        <v>1430</v>
      </c>
      <c r="Q142" s="39" t="s">
        <v>1431</v>
      </c>
      <c r="R142" s="39" t="s">
        <v>2370</v>
      </c>
      <c r="S142" s="39" t="s">
        <v>2371</v>
      </c>
      <c r="T142" s="39">
        <v>2083367828</v>
      </c>
    </row>
    <row r="143" spans="1:20">
      <c r="A143" s="39" t="s">
        <v>21</v>
      </c>
      <c r="B143" s="39" t="s">
        <v>805</v>
      </c>
      <c r="C143" s="39" t="s">
        <v>2808</v>
      </c>
      <c r="D143" s="39" t="s">
        <v>838</v>
      </c>
      <c r="E143" s="39" t="s">
        <v>2786</v>
      </c>
      <c r="F143" s="39" t="s">
        <v>844</v>
      </c>
      <c r="H143" s="39" t="s">
        <v>846</v>
      </c>
      <c r="I143" s="39" t="s">
        <v>847</v>
      </c>
      <c r="J143" s="39" t="s">
        <v>68</v>
      </c>
      <c r="K143" s="39" t="s">
        <v>816</v>
      </c>
      <c r="L143" s="44">
        <v>6285882632792</v>
      </c>
      <c r="M143" s="39" t="s">
        <v>849</v>
      </c>
      <c r="O143" s="39" t="s">
        <v>850</v>
      </c>
      <c r="P143" s="39" t="s">
        <v>842</v>
      </c>
      <c r="Q143" s="39" t="s">
        <v>843</v>
      </c>
      <c r="R143" s="39" t="s">
        <v>2206</v>
      </c>
      <c r="S143" s="39" t="s">
        <v>2207</v>
      </c>
      <c r="T143" s="39">
        <v>1157965504</v>
      </c>
    </row>
    <row r="144" spans="1:20">
      <c r="A144" s="39" t="s">
        <v>21</v>
      </c>
      <c r="B144" s="39" t="s">
        <v>805</v>
      </c>
      <c r="C144" s="39" t="s">
        <v>2808</v>
      </c>
      <c r="D144" s="39" t="s">
        <v>838</v>
      </c>
      <c r="E144" s="39" t="s">
        <v>2786</v>
      </c>
      <c r="F144" s="39" t="s">
        <v>1084</v>
      </c>
      <c r="G144" s="39">
        <v>6754247661</v>
      </c>
      <c r="H144" s="39">
        <v>0</v>
      </c>
      <c r="I144" s="39" t="s">
        <v>1085</v>
      </c>
      <c r="J144" s="39" t="s">
        <v>68</v>
      </c>
      <c r="L144" s="44">
        <v>6285813087817</v>
      </c>
      <c r="O144" s="39" t="s">
        <v>1086</v>
      </c>
      <c r="P144" s="39" t="s">
        <v>1082</v>
      </c>
      <c r="Q144" s="39" t="s">
        <v>1083</v>
      </c>
      <c r="R144" s="39" t="s">
        <v>2274</v>
      </c>
      <c r="S144" s="39" t="s">
        <v>2275</v>
      </c>
      <c r="T144" s="39">
        <v>6754247661</v>
      </c>
    </row>
    <row r="145" spans="1:20">
      <c r="A145" s="39" t="s">
        <v>21</v>
      </c>
      <c r="B145" s="39" t="s">
        <v>805</v>
      </c>
      <c r="C145" s="39" t="s">
        <v>2808</v>
      </c>
      <c r="D145" s="39" t="s">
        <v>838</v>
      </c>
      <c r="E145" s="39" t="s">
        <v>2786</v>
      </c>
      <c r="F145" s="39" t="s">
        <v>1094</v>
      </c>
      <c r="G145" s="39">
        <v>6786140991</v>
      </c>
      <c r="H145" s="39">
        <v>0</v>
      </c>
      <c r="I145" s="39" t="s">
        <v>1095</v>
      </c>
      <c r="J145" s="39" t="s">
        <v>68</v>
      </c>
      <c r="L145" s="44">
        <v>6285695001961</v>
      </c>
      <c r="O145" s="39" t="s">
        <v>1096</v>
      </c>
      <c r="P145" s="39" t="s">
        <v>1092</v>
      </c>
      <c r="Q145" s="39" t="s">
        <v>1093</v>
      </c>
      <c r="R145" s="39" t="s">
        <v>2278</v>
      </c>
      <c r="S145" s="39" t="s">
        <v>2279</v>
      </c>
      <c r="T145" s="39">
        <v>6786140991</v>
      </c>
    </row>
    <row r="146" spans="1:20">
      <c r="A146" s="39" t="s">
        <v>21</v>
      </c>
      <c r="B146" s="39" t="s">
        <v>805</v>
      </c>
      <c r="C146" s="39" t="s">
        <v>2808</v>
      </c>
      <c r="D146" s="39" t="s">
        <v>838</v>
      </c>
      <c r="E146" s="39" t="s">
        <v>2786</v>
      </c>
      <c r="F146" s="39" t="s">
        <v>1594</v>
      </c>
      <c r="G146" s="39">
        <v>8542957975</v>
      </c>
      <c r="H146" s="39" t="s">
        <v>1595</v>
      </c>
      <c r="I146" s="39" t="s">
        <v>1596</v>
      </c>
      <c r="J146" s="39" t="s">
        <v>68</v>
      </c>
      <c r="L146" s="44">
        <v>6289602777922</v>
      </c>
      <c r="O146" s="39" t="s">
        <v>1597</v>
      </c>
      <c r="P146" s="39" t="s">
        <v>1593</v>
      </c>
      <c r="Q146" s="39" t="s">
        <v>1592</v>
      </c>
      <c r="R146" s="39" t="s">
        <v>2412</v>
      </c>
      <c r="S146" s="39" t="s">
        <v>2413</v>
      </c>
      <c r="T146" s="39">
        <v>8542957975</v>
      </c>
    </row>
    <row r="147" spans="1:20">
      <c r="A147" s="39" t="s">
        <v>21</v>
      </c>
      <c r="B147" s="39" t="s">
        <v>805</v>
      </c>
      <c r="C147" s="39" t="s">
        <v>2808</v>
      </c>
      <c r="D147" s="39" t="s">
        <v>838</v>
      </c>
      <c r="E147" s="39" t="s">
        <v>2786</v>
      </c>
      <c r="F147" s="39" t="s">
        <v>1649</v>
      </c>
      <c r="G147" s="39">
        <v>8073946838</v>
      </c>
      <c r="H147" s="39" t="s">
        <v>1650</v>
      </c>
      <c r="I147" s="39" t="s">
        <v>1651</v>
      </c>
      <c r="J147" s="39" t="s">
        <v>68</v>
      </c>
      <c r="L147" s="44">
        <v>6289602777921</v>
      </c>
      <c r="O147" s="39" t="s">
        <v>1652</v>
      </c>
      <c r="P147" s="39" t="s">
        <v>1648</v>
      </c>
      <c r="Q147" s="39" t="s">
        <v>1647</v>
      </c>
      <c r="R147" s="39" t="s">
        <v>2426</v>
      </c>
      <c r="S147" s="39" t="s">
        <v>2427</v>
      </c>
      <c r="T147" s="39">
        <v>8073946838</v>
      </c>
    </row>
    <row r="148" spans="1:20">
      <c r="A148" s="39" t="s">
        <v>21</v>
      </c>
      <c r="B148" s="39" t="s">
        <v>805</v>
      </c>
      <c r="C148" s="39" t="s">
        <v>2808</v>
      </c>
      <c r="D148" s="39" t="s">
        <v>878</v>
      </c>
      <c r="E148" s="39" t="s">
        <v>2787</v>
      </c>
      <c r="F148" s="39" t="s">
        <v>884</v>
      </c>
      <c r="G148" s="39">
        <v>8987357736</v>
      </c>
      <c r="H148" s="39" t="s">
        <v>885</v>
      </c>
      <c r="I148" s="39" t="s">
        <v>886</v>
      </c>
      <c r="J148" s="39" t="s">
        <v>68</v>
      </c>
      <c r="L148" s="44">
        <v>6280086422475</v>
      </c>
      <c r="O148" s="39" t="s">
        <v>887</v>
      </c>
      <c r="P148" s="39" t="s">
        <v>882</v>
      </c>
      <c r="Q148" s="39" t="s">
        <v>883</v>
      </c>
      <c r="R148" s="39" t="s">
        <v>2214</v>
      </c>
      <c r="S148" s="39" t="s">
        <v>2215</v>
      </c>
      <c r="T148" s="39">
        <v>8987357736</v>
      </c>
    </row>
    <row r="149" spans="1:20">
      <c r="A149" s="39" t="s">
        <v>21</v>
      </c>
      <c r="B149" s="39" t="s">
        <v>805</v>
      </c>
      <c r="C149" s="39" t="s">
        <v>2808</v>
      </c>
      <c r="D149" s="39" t="s">
        <v>878</v>
      </c>
      <c r="E149" s="39" t="s">
        <v>2787</v>
      </c>
      <c r="F149" s="39" t="s">
        <v>902</v>
      </c>
      <c r="H149" s="39" t="s">
        <v>903</v>
      </c>
      <c r="I149" s="39" t="s">
        <v>904</v>
      </c>
      <c r="J149" s="39" t="s">
        <v>68</v>
      </c>
      <c r="K149" s="39" t="s">
        <v>32</v>
      </c>
      <c r="L149" s="44">
        <v>6285664975358</v>
      </c>
      <c r="M149" s="39" t="s">
        <v>906</v>
      </c>
      <c r="O149" s="39" t="s">
        <v>907</v>
      </c>
      <c r="P149" s="39" t="s">
        <v>900</v>
      </c>
      <c r="Q149" s="39" t="s">
        <v>901</v>
      </c>
      <c r="R149" s="39" t="s">
        <v>2220</v>
      </c>
      <c r="S149" s="39" t="s">
        <v>2221</v>
      </c>
      <c r="T149" s="39">
        <v>7871774207</v>
      </c>
    </row>
    <row r="150" spans="1:20">
      <c r="A150" s="39" t="s">
        <v>21</v>
      </c>
      <c r="B150" s="39" t="s">
        <v>805</v>
      </c>
      <c r="C150" s="39" t="s">
        <v>2808</v>
      </c>
      <c r="D150" s="39" t="s">
        <v>878</v>
      </c>
      <c r="E150" s="39" t="s">
        <v>2787</v>
      </c>
      <c r="F150" s="39" t="s">
        <v>910</v>
      </c>
      <c r="G150" s="39">
        <v>5961295067</v>
      </c>
      <c r="H150" s="39" t="s">
        <v>911</v>
      </c>
      <c r="I150" s="39" t="s">
        <v>912</v>
      </c>
      <c r="J150" s="39" t="s">
        <v>68</v>
      </c>
      <c r="L150" s="44">
        <v>6285774654948</v>
      </c>
      <c r="O150" s="39" t="s">
        <v>913</v>
      </c>
      <c r="P150" s="39" t="s">
        <v>908</v>
      </c>
      <c r="Q150" s="39" t="s">
        <v>909</v>
      </c>
      <c r="R150" s="39" t="s">
        <v>2222</v>
      </c>
      <c r="S150" s="39" t="s">
        <v>2223</v>
      </c>
      <c r="T150" s="39">
        <v>5961295067</v>
      </c>
    </row>
    <row r="151" spans="1:20">
      <c r="A151" s="39" t="s">
        <v>21</v>
      </c>
      <c r="B151" s="39" t="s">
        <v>805</v>
      </c>
      <c r="C151" s="39" t="s">
        <v>2808</v>
      </c>
      <c r="D151" s="39" t="s">
        <v>878</v>
      </c>
      <c r="E151" s="39" t="s">
        <v>2787</v>
      </c>
      <c r="F151" s="39" t="s">
        <v>1498</v>
      </c>
      <c r="G151" s="39">
        <v>8926704467</v>
      </c>
      <c r="H151" s="39" t="s">
        <v>1499</v>
      </c>
      <c r="I151" s="39" t="s">
        <v>1500</v>
      </c>
      <c r="J151" s="39" t="s">
        <v>68</v>
      </c>
      <c r="L151" s="44">
        <v>6289602777916</v>
      </c>
      <c r="O151" s="39" t="s">
        <v>1501</v>
      </c>
      <c r="P151" s="39" t="s">
        <v>1497</v>
      </c>
      <c r="Q151" s="39" t="s">
        <v>1496</v>
      </c>
      <c r="R151" s="39" t="s">
        <v>2390</v>
      </c>
      <c r="S151" s="39" t="s">
        <v>2391</v>
      </c>
      <c r="T151" s="39">
        <v>8926704467</v>
      </c>
    </row>
    <row r="152" spans="1:20">
      <c r="A152" s="39" t="s">
        <v>21</v>
      </c>
      <c r="B152" s="39" t="s">
        <v>805</v>
      </c>
      <c r="C152" s="39" t="s">
        <v>2808</v>
      </c>
      <c r="D152" s="39" t="s">
        <v>878</v>
      </c>
      <c r="E152" s="39" t="s">
        <v>2787</v>
      </c>
      <c r="F152" s="39" t="s">
        <v>1504</v>
      </c>
      <c r="G152" s="39">
        <v>8888244250</v>
      </c>
      <c r="H152" s="39" t="s">
        <v>1505</v>
      </c>
      <c r="I152" s="39" t="s">
        <v>1506</v>
      </c>
      <c r="J152" s="39" t="s">
        <v>68</v>
      </c>
      <c r="L152" s="44">
        <v>6289602777912</v>
      </c>
      <c r="O152" s="39" t="s">
        <v>1507</v>
      </c>
      <c r="P152" s="39" t="s">
        <v>1503</v>
      </c>
      <c r="Q152" s="39" t="s">
        <v>1502</v>
      </c>
      <c r="R152" s="39" t="s">
        <v>2392</v>
      </c>
      <c r="S152" s="39" t="s">
        <v>2393</v>
      </c>
      <c r="T152" s="39">
        <v>8888244250</v>
      </c>
    </row>
    <row r="153" spans="1:20">
      <c r="A153" s="39" t="s">
        <v>21</v>
      </c>
      <c r="B153" s="39" t="s">
        <v>805</v>
      </c>
      <c r="C153" s="39" t="s">
        <v>2808</v>
      </c>
      <c r="D153" s="39" t="s">
        <v>878</v>
      </c>
      <c r="E153" s="39" t="s">
        <v>2787</v>
      </c>
      <c r="F153" s="39" t="s">
        <v>1572</v>
      </c>
      <c r="G153" s="39">
        <v>8040973361</v>
      </c>
      <c r="H153" s="39" t="s">
        <v>1573</v>
      </c>
      <c r="I153" s="39" t="s">
        <v>1574</v>
      </c>
      <c r="J153" s="39" t="s">
        <v>68</v>
      </c>
      <c r="L153" s="44">
        <v>628998368366</v>
      </c>
      <c r="O153" s="39" t="s">
        <v>1575</v>
      </c>
      <c r="P153" s="39" t="s">
        <v>1571</v>
      </c>
      <c r="Q153" s="39" t="s">
        <v>1570</v>
      </c>
      <c r="R153" s="39" t="s">
        <v>2408</v>
      </c>
      <c r="S153" s="39" t="s">
        <v>2409</v>
      </c>
      <c r="T153" s="39">
        <v>8040973361</v>
      </c>
    </row>
    <row r="154" spans="1:20">
      <c r="A154" s="39" t="s">
        <v>21</v>
      </c>
      <c r="B154" s="39" t="s">
        <v>805</v>
      </c>
      <c r="C154" s="39" t="s">
        <v>2808</v>
      </c>
      <c r="D154" s="39" t="s">
        <v>806</v>
      </c>
      <c r="E154" s="39" t="s">
        <v>2788</v>
      </c>
      <c r="F154" s="39" t="s">
        <v>812</v>
      </c>
      <c r="H154" s="39" t="s">
        <v>814</v>
      </c>
      <c r="I154" s="39" t="s">
        <v>815</v>
      </c>
      <c r="J154" s="39" t="s">
        <v>68</v>
      </c>
      <c r="K154" s="39" t="s">
        <v>816</v>
      </c>
      <c r="L154" s="44">
        <v>6285857123456</v>
      </c>
      <c r="M154" s="39" t="s">
        <v>818</v>
      </c>
      <c r="O154" s="39" t="s">
        <v>819</v>
      </c>
      <c r="P154" s="39" t="s">
        <v>810</v>
      </c>
      <c r="Q154" s="39" t="s">
        <v>811</v>
      </c>
      <c r="R154" s="39" t="s">
        <v>2200</v>
      </c>
      <c r="S154" s="39" t="s">
        <v>2201</v>
      </c>
      <c r="T154" s="39">
        <v>8757758019</v>
      </c>
    </row>
    <row r="155" spans="1:20">
      <c r="A155" s="39" t="s">
        <v>21</v>
      </c>
      <c r="B155" s="39" t="s">
        <v>805</v>
      </c>
      <c r="C155" s="39" t="s">
        <v>2808</v>
      </c>
      <c r="D155" s="39" t="s">
        <v>806</v>
      </c>
      <c r="E155" s="39" t="s">
        <v>2788</v>
      </c>
      <c r="F155" s="39" t="s">
        <v>834</v>
      </c>
      <c r="G155" s="39">
        <v>8055011440</v>
      </c>
      <c r="H155" s="39" t="s">
        <v>835</v>
      </c>
      <c r="I155" s="39" t="s">
        <v>836</v>
      </c>
      <c r="J155" s="39" t="s">
        <v>68</v>
      </c>
      <c r="L155" s="44">
        <v>6281400762344</v>
      </c>
      <c r="O155" s="39" t="s">
        <v>837</v>
      </c>
      <c r="P155" s="39" t="s">
        <v>832</v>
      </c>
      <c r="Q155" s="39" t="s">
        <v>833</v>
      </c>
      <c r="R155" s="39" t="s">
        <v>2204</v>
      </c>
      <c r="S155" s="39" t="s">
        <v>2205</v>
      </c>
      <c r="T155" s="39">
        <v>8055011440</v>
      </c>
    </row>
    <row r="156" spans="1:20">
      <c r="A156" s="39" t="s">
        <v>21</v>
      </c>
      <c r="B156" s="39" t="s">
        <v>805</v>
      </c>
      <c r="C156" s="39" t="s">
        <v>2808</v>
      </c>
      <c r="D156" s="39" t="s">
        <v>806</v>
      </c>
      <c r="E156" s="39" t="s">
        <v>2788</v>
      </c>
      <c r="F156" s="39" t="s">
        <v>853</v>
      </c>
      <c r="H156" s="39" t="s">
        <v>855</v>
      </c>
      <c r="I156" s="39" t="s">
        <v>856</v>
      </c>
      <c r="J156" s="39" t="s">
        <v>68</v>
      </c>
      <c r="K156" s="39" t="s">
        <v>816</v>
      </c>
      <c r="L156" s="44">
        <v>6285813033710</v>
      </c>
      <c r="M156" s="39" t="s">
        <v>858</v>
      </c>
      <c r="O156" s="39" t="s">
        <v>859</v>
      </c>
      <c r="P156" s="39" t="s">
        <v>851</v>
      </c>
      <c r="Q156" s="39" t="s">
        <v>852</v>
      </c>
      <c r="R156" s="39" t="s">
        <v>2208</v>
      </c>
      <c r="S156" s="39" t="s">
        <v>2209</v>
      </c>
      <c r="T156" s="39">
        <v>8492045610</v>
      </c>
    </row>
    <row r="157" spans="1:20">
      <c r="A157" s="39" t="s">
        <v>21</v>
      </c>
      <c r="B157" s="39" t="s">
        <v>805</v>
      </c>
      <c r="C157" s="39" t="s">
        <v>2808</v>
      </c>
      <c r="D157" s="39" t="s">
        <v>806</v>
      </c>
      <c r="E157" s="39" t="s">
        <v>2788</v>
      </c>
      <c r="F157" s="39" t="s">
        <v>1643</v>
      </c>
      <c r="G157" s="39">
        <v>5058273568</v>
      </c>
      <c r="H157" s="39" t="s">
        <v>1644</v>
      </c>
      <c r="I157" s="39" t="s">
        <v>1645</v>
      </c>
      <c r="J157" s="39" t="s">
        <v>68</v>
      </c>
      <c r="L157" s="44">
        <v>6289602777915</v>
      </c>
      <c r="O157" s="39" t="s">
        <v>1646</v>
      </c>
      <c r="P157" s="39" t="s">
        <v>1642</v>
      </c>
      <c r="Q157" s="39" t="s">
        <v>1641</v>
      </c>
      <c r="R157" s="39" t="s">
        <v>2424</v>
      </c>
      <c r="S157" s="39" t="s">
        <v>2425</v>
      </c>
      <c r="T157" s="39">
        <v>5058273568</v>
      </c>
    </row>
    <row r="158" spans="1:20">
      <c r="A158" s="39" t="s">
        <v>21</v>
      </c>
      <c r="B158" s="39" t="s">
        <v>805</v>
      </c>
      <c r="C158" s="39" t="s">
        <v>2808</v>
      </c>
      <c r="D158" s="39" t="s">
        <v>806</v>
      </c>
      <c r="E158" s="39" t="s">
        <v>2788</v>
      </c>
      <c r="F158" s="39" t="s">
        <v>1655</v>
      </c>
      <c r="G158" s="39">
        <v>7776311527</v>
      </c>
      <c r="H158" s="39" t="s">
        <v>1656</v>
      </c>
      <c r="I158" s="39" t="s">
        <v>1657</v>
      </c>
      <c r="J158" s="39" t="s">
        <v>119</v>
      </c>
      <c r="L158" s="44">
        <v>6289602777919</v>
      </c>
      <c r="O158" s="39" t="s">
        <v>1658</v>
      </c>
      <c r="P158" s="39" t="s">
        <v>1654</v>
      </c>
      <c r="Q158" s="39" t="s">
        <v>1653</v>
      </c>
      <c r="R158" s="39" t="s">
        <v>2428</v>
      </c>
      <c r="S158" s="39" t="s">
        <v>2429</v>
      </c>
      <c r="T158" s="39">
        <v>7776311527</v>
      </c>
    </row>
    <row r="159" spans="1:20">
      <c r="A159" s="39" t="s">
        <v>21</v>
      </c>
      <c r="B159" s="39" t="s">
        <v>805</v>
      </c>
      <c r="C159" s="39" t="s">
        <v>2808</v>
      </c>
      <c r="D159" s="39" t="s">
        <v>806</v>
      </c>
      <c r="E159" s="39" t="s">
        <v>2788</v>
      </c>
      <c r="F159" s="39" t="s">
        <v>1661</v>
      </c>
      <c r="G159" s="39">
        <v>8414492172</v>
      </c>
      <c r="H159" s="39" t="s">
        <v>1662</v>
      </c>
      <c r="I159" s="39" t="s">
        <v>1663</v>
      </c>
      <c r="J159" s="39" t="s">
        <v>68</v>
      </c>
      <c r="L159" s="44">
        <v>6289602777920</v>
      </c>
      <c r="O159" s="39" t="s">
        <v>1664</v>
      </c>
      <c r="P159" s="39" t="s">
        <v>1660</v>
      </c>
      <c r="Q159" s="39" t="s">
        <v>1659</v>
      </c>
      <c r="R159" s="39" t="s">
        <v>2430</v>
      </c>
      <c r="S159" s="39" t="s">
        <v>2431</v>
      </c>
      <c r="T159" s="39">
        <v>8414492172</v>
      </c>
    </row>
    <row r="160" spans="1:20">
      <c r="A160" s="39" t="s">
        <v>21</v>
      </c>
      <c r="B160" s="39" t="s">
        <v>805</v>
      </c>
      <c r="C160" s="39" t="s">
        <v>2808</v>
      </c>
      <c r="D160" s="39" t="s">
        <v>820</v>
      </c>
      <c r="E160" s="39" t="s">
        <v>2789</v>
      </c>
      <c r="F160" s="39" t="s">
        <v>826</v>
      </c>
      <c r="H160" s="39" t="s">
        <v>827</v>
      </c>
      <c r="I160" s="39" t="s">
        <v>828</v>
      </c>
      <c r="J160" s="39" t="s">
        <v>68</v>
      </c>
      <c r="K160" s="39" t="s">
        <v>816</v>
      </c>
      <c r="L160" s="44">
        <v>6285880078885</v>
      </c>
      <c r="M160" s="39" t="s">
        <v>830</v>
      </c>
      <c r="O160" s="39" t="s">
        <v>831</v>
      </c>
      <c r="P160" s="39" t="s">
        <v>824</v>
      </c>
      <c r="Q160" s="39" t="s">
        <v>825</v>
      </c>
      <c r="R160" s="39" t="s">
        <v>2202</v>
      </c>
      <c r="S160" s="39" t="s">
        <v>2203</v>
      </c>
      <c r="T160" s="39">
        <v>5528692993</v>
      </c>
    </row>
    <row r="161" spans="1:20">
      <c r="A161" s="39" t="s">
        <v>21</v>
      </c>
      <c r="B161" s="39" t="s">
        <v>805</v>
      </c>
      <c r="C161" s="39" t="s">
        <v>2808</v>
      </c>
      <c r="D161" s="39" t="s">
        <v>820</v>
      </c>
      <c r="E161" s="39" t="s">
        <v>2789</v>
      </c>
      <c r="F161" s="39" t="s">
        <v>862</v>
      </c>
      <c r="G161" s="39">
        <v>7306676782</v>
      </c>
      <c r="H161" s="39" t="s">
        <v>863</v>
      </c>
      <c r="I161" s="39" t="s">
        <v>864</v>
      </c>
      <c r="J161" s="39" t="s">
        <v>68</v>
      </c>
      <c r="L161" s="44">
        <v>6285811023192</v>
      </c>
      <c r="O161" s="39" t="s">
        <v>865</v>
      </c>
      <c r="P161" s="39" t="s">
        <v>860</v>
      </c>
      <c r="Q161" s="39" t="s">
        <v>861</v>
      </c>
      <c r="R161" s="39" t="s">
        <v>2210</v>
      </c>
      <c r="S161" s="39" t="s">
        <v>2211</v>
      </c>
      <c r="T161" s="39">
        <v>7306676782</v>
      </c>
    </row>
    <row r="162" spans="1:20">
      <c r="A162" s="39" t="s">
        <v>21</v>
      </c>
      <c r="B162" s="39" t="s">
        <v>805</v>
      </c>
      <c r="C162" s="39" t="s">
        <v>2808</v>
      </c>
      <c r="D162" s="39" t="s">
        <v>820</v>
      </c>
      <c r="E162" s="39" t="s">
        <v>2789</v>
      </c>
      <c r="F162" s="39" t="s">
        <v>1089</v>
      </c>
      <c r="G162" s="39">
        <v>7353672566</v>
      </c>
      <c r="H162" s="39">
        <v>0</v>
      </c>
      <c r="I162" s="39" t="s">
        <v>1090</v>
      </c>
      <c r="J162" s="39" t="s">
        <v>68</v>
      </c>
      <c r="L162" s="44">
        <v>6285781288549</v>
      </c>
      <c r="O162" s="39" t="s">
        <v>1091</v>
      </c>
      <c r="P162" s="39" t="s">
        <v>1087</v>
      </c>
      <c r="Q162" s="39" t="s">
        <v>1088</v>
      </c>
      <c r="R162" s="39" t="s">
        <v>2276</v>
      </c>
      <c r="S162" s="39" t="s">
        <v>2277</v>
      </c>
      <c r="T162" s="39">
        <v>7353672566</v>
      </c>
    </row>
    <row r="163" spans="1:20">
      <c r="A163" s="39" t="s">
        <v>21</v>
      </c>
      <c r="B163" s="39" t="s">
        <v>805</v>
      </c>
      <c r="C163" s="39" t="s">
        <v>2808</v>
      </c>
      <c r="D163" s="39" t="s">
        <v>820</v>
      </c>
      <c r="E163" s="39" t="s">
        <v>2789</v>
      </c>
      <c r="F163" s="39" t="s">
        <v>1465</v>
      </c>
      <c r="G163" s="39">
        <v>7551562093</v>
      </c>
      <c r="H163" s="39" t="s">
        <v>1466</v>
      </c>
      <c r="I163" s="39" t="s">
        <v>1467</v>
      </c>
      <c r="J163" s="39" t="s">
        <v>68</v>
      </c>
      <c r="L163" s="44">
        <v>6289602777917</v>
      </c>
      <c r="O163" s="39" t="s">
        <v>1468</v>
      </c>
      <c r="P163" s="39" t="s">
        <v>1464</v>
      </c>
      <c r="Q163" s="39" t="s">
        <v>1463</v>
      </c>
      <c r="R163" s="39" t="s">
        <v>2380</v>
      </c>
      <c r="S163" s="39" t="s">
        <v>2381</v>
      </c>
      <c r="T163" s="39">
        <v>7551562093</v>
      </c>
    </row>
    <row r="164" spans="1:20">
      <c r="A164" s="39" t="s">
        <v>21</v>
      </c>
      <c r="B164" s="39" t="s">
        <v>805</v>
      </c>
      <c r="C164" s="39" t="s">
        <v>2808</v>
      </c>
      <c r="D164" s="39" t="s">
        <v>820</v>
      </c>
      <c r="E164" s="39" t="s">
        <v>2789</v>
      </c>
      <c r="F164" s="39" t="s">
        <v>1667</v>
      </c>
      <c r="G164" s="39">
        <v>8889341394</v>
      </c>
      <c r="H164" s="39">
        <v>0</v>
      </c>
      <c r="I164" s="39" t="s">
        <v>1668</v>
      </c>
      <c r="J164" s="39" t="s">
        <v>68</v>
      </c>
      <c r="K164" s="39" t="s">
        <v>32</v>
      </c>
      <c r="L164" s="44">
        <v>628985558965</v>
      </c>
      <c r="O164" s="39" t="s">
        <v>1669</v>
      </c>
      <c r="P164" s="39" t="s">
        <v>1666</v>
      </c>
      <c r="Q164" s="39" t="s">
        <v>1665</v>
      </c>
      <c r="R164" s="39" t="s">
        <v>2432</v>
      </c>
      <c r="S164" s="39" t="s">
        <v>2433</v>
      </c>
      <c r="T164" s="39">
        <v>8889341394</v>
      </c>
    </row>
    <row r="165" spans="1:20">
      <c r="A165" s="39" t="s">
        <v>21</v>
      </c>
      <c r="B165" s="39" t="s">
        <v>805</v>
      </c>
      <c r="C165" s="39" t="s">
        <v>2808</v>
      </c>
      <c r="D165" s="39" t="s">
        <v>866</v>
      </c>
      <c r="E165" s="39" t="s">
        <v>2790</v>
      </c>
      <c r="F165" s="39" t="s">
        <v>926</v>
      </c>
      <c r="H165" s="39" t="s">
        <v>927</v>
      </c>
      <c r="I165" s="39" t="s">
        <v>928</v>
      </c>
      <c r="J165" s="39" t="s">
        <v>68</v>
      </c>
      <c r="K165" s="39" t="s">
        <v>32</v>
      </c>
      <c r="L165" s="44">
        <v>6285813655932</v>
      </c>
      <c r="M165" s="39" t="s">
        <v>930</v>
      </c>
      <c r="O165" s="39" t="s">
        <v>931</v>
      </c>
      <c r="P165" s="39" t="s">
        <v>924</v>
      </c>
      <c r="Q165" s="39" t="s">
        <v>925</v>
      </c>
      <c r="R165" s="39" t="s">
        <v>2224</v>
      </c>
      <c r="S165" s="39" t="s">
        <v>2225</v>
      </c>
    </row>
    <row r="166" spans="1:20">
      <c r="A166" s="39" t="s">
        <v>21</v>
      </c>
      <c r="B166" s="39" t="s">
        <v>805</v>
      </c>
      <c r="C166" s="39" t="s">
        <v>2808</v>
      </c>
      <c r="D166" s="39" t="s">
        <v>866</v>
      </c>
      <c r="E166" s="39" t="s">
        <v>2790</v>
      </c>
      <c r="F166" s="39" t="s">
        <v>872</v>
      </c>
      <c r="G166" s="39">
        <v>8509332979</v>
      </c>
      <c r="H166" s="39" t="s">
        <v>873</v>
      </c>
      <c r="I166" s="39" t="s">
        <v>874</v>
      </c>
      <c r="J166" s="39" t="s">
        <v>68</v>
      </c>
      <c r="K166" s="39" t="s">
        <v>32</v>
      </c>
      <c r="L166" s="44">
        <v>6285777813959</v>
      </c>
      <c r="M166" s="39" t="s">
        <v>876</v>
      </c>
      <c r="O166" s="39" t="s">
        <v>877</v>
      </c>
      <c r="P166" s="39" t="s">
        <v>870</v>
      </c>
      <c r="Q166" s="39" t="s">
        <v>871</v>
      </c>
      <c r="R166" s="39" t="s">
        <v>2212</v>
      </c>
      <c r="S166" s="39" t="s">
        <v>2213</v>
      </c>
      <c r="T166" s="39">
        <v>8509332979</v>
      </c>
    </row>
    <row r="167" spans="1:20">
      <c r="A167" s="39" t="s">
        <v>21</v>
      </c>
      <c r="B167" s="39" t="s">
        <v>805</v>
      </c>
      <c r="C167" s="39" t="s">
        <v>2808</v>
      </c>
      <c r="D167" s="39" t="s">
        <v>866</v>
      </c>
      <c r="E167" s="39" t="s">
        <v>2790</v>
      </c>
      <c r="F167" s="39" t="s">
        <v>890</v>
      </c>
      <c r="G167" s="39">
        <v>5330789212</v>
      </c>
      <c r="H167" s="39" t="s">
        <v>891</v>
      </c>
      <c r="I167" s="39" t="s">
        <v>892</v>
      </c>
      <c r="J167" s="39" t="s">
        <v>68</v>
      </c>
      <c r="L167" s="44">
        <v>6280086422476</v>
      </c>
      <c r="O167" s="39" t="s">
        <v>893</v>
      </c>
      <c r="P167" s="39" t="s">
        <v>888</v>
      </c>
      <c r="Q167" s="39" t="s">
        <v>889</v>
      </c>
      <c r="R167" s="39" t="s">
        <v>2216</v>
      </c>
      <c r="S167" s="39" t="s">
        <v>2217</v>
      </c>
      <c r="T167" s="39">
        <v>5330789212</v>
      </c>
    </row>
    <row r="168" spans="1:20">
      <c r="A168" s="39" t="s">
        <v>21</v>
      </c>
      <c r="B168" s="39" t="s">
        <v>805</v>
      </c>
      <c r="C168" s="39" t="s">
        <v>2808</v>
      </c>
      <c r="D168" s="39" t="s">
        <v>866</v>
      </c>
      <c r="E168" s="39" t="s">
        <v>2790</v>
      </c>
      <c r="F168" s="39" t="s">
        <v>896</v>
      </c>
      <c r="G168" s="39">
        <v>8559882046</v>
      </c>
      <c r="H168" s="39" t="s">
        <v>897</v>
      </c>
      <c r="I168" s="39" t="s">
        <v>898</v>
      </c>
      <c r="J168" s="39" t="s">
        <v>68</v>
      </c>
      <c r="L168" s="44">
        <v>6280086422481</v>
      </c>
      <c r="O168" s="39" t="s">
        <v>899</v>
      </c>
      <c r="P168" s="39" t="s">
        <v>894</v>
      </c>
      <c r="Q168" s="39" t="s">
        <v>895</v>
      </c>
      <c r="R168" s="39" t="s">
        <v>2218</v>
      </c>
      <c r="S168" s="39" t="s">
        <v>2219</v>
      </c>
      <c r="T168" s="39">
        <v>8559882046</v>
      </c>
    </row>
    <row r="169" spans="1:20">
      <c r="A169" s="39" t="s">
        <v>21</v>
      </c>
      <c r="B169" s="39" t="s">
        <v>805</v>
      </c>
      <c r="C169" s="39" t="s">
        <v>2808</v>
      </c>
      <c r="D169" s="39" t="s">
        <v>866</v>
      </c>
      <c r="E169" s="39" t="s">
        <v>2790</v>
      </c>
      <c r="F169" s="39" t="s">
        <v>1531</v>
      </c>
      <c r="G169" s="39">
        <v>2092690800</v>
      </c>
      <c r="H169" s="39" t="s">
        <v>1532</v>
      </c>
      <c r="I169" s="39" t="s">
        <v>1533</v>
      </c>
      <c r="J169" s="39" t="s">
        <v>68</v>
      </c>
      <c r="L169" s="44">
        <v>6289602778083</v>
      </c>
      <c r="O169" s="39" t="s">
        <v>1534</v>
      </c>
      <c r="P169" s="39" t="s">
        <v>1530</v>
      </c>
      <c r="Q169" s="39" t="s">
        <v>1529</v>
      </c>
      <c r="R169" s="39" t="s">
        <v>2398</v>
      </c>
      <c r="S169" s="39" t="s">
        <v>2399</v>
      </c>
      <c r="T169" s="39">
        <v>2092690800</v>
      </c>
    </row>
    <row r="170" spans="1:20">
      <c r="A170" s="39" t="s">
        <v>21</v>
      </c>
      <c r="B170" s="39" t="s">
        <v>805</v>
      </c>
      <c r="C170" s="39" t="s">
        <v>2808</v>
      </c>
      <c r="D170" s="39" t="s">
        <v>866</v>
      </c>
      <c r="E170" s="39" t="s">
        <v>2790</v>
      </c>
      <c r="F170" s="39" t="s">
        <v>1600</v>
      </c>
      <c r="G170" s="39">
        <v>8636010531</v>
      </c>
      <c r="H170" s="39" t="s">
        <v>1601</v>
      </c>
      <c r="I170" s="39" t="s">
        <v>1602</v>
      </c>
      <c r="J170" s="39" t="s">
        <v>68</v>
      </c>
      <c r="L170" s="44">
        <v>628985561838</v>
      </c>
      <c r="O170" s="39" t="s">
        <v>1603</v>
      </c>
      <c r="P170" s="39" t="s">
        <v>1599</v>
      </c>
      <c r="Q170" s="39" t="s">
        <v>1598</v>
      </c>
      <c r="R170" s="39" t="s">
        <v>2414</v>
      </c>
      <c r="S170" s="39" t="s">
        <v>2415</v>
      </c>
      <c r="T170" s="39">
        <v>8636010531</v>
      </c>
    </row>
    <row r="171" spans="1:20">
      <c r="A171" s="39" t="s">
        <v>21</v>
      </c>
      <c r="B171" s="39" t="s">
        <v>805</v>
      </c>
      <c r="C171" s="39" t="s">
        <v>2808</v>
      </c>
      <c r="D171" s="39" t="s">
        <v>1386</v>
      </c>
      <c r="E171" s="39" t="s">
        <v>2791</v>
      </c>
      <c r="F171" s="39" t="s">
        <v>1510</v>
      </c>
      <c r="G171" s="39">
        <v>8221022565</v>
      </c>
      <c r="H171" s="39" t="s">
        <v>1511</v>
      </c>
      <c r="I171" s="39" t="s">
        <v>1512</v>
      </c>
      <c r="J171" s="39" t="s">
        <v>68</v>
      </c>
      <c r="K171" s="39" t="s">
        <v>32</v>
      </c>
      <c r="L171" s="44">
        <v>6289602777914</v>
      </c>
      <c r="M171" s="39" t="s">
        <v>1513</v>
      </c>
      <c r="N171" s="39" t="s">
        <v>35</v>
      </c>
      <c r="O171" s="39" t="s">
        <v>1514</v>
      </c>
      <c r="P171" s="39" t="s">
        <v>1509</v>
      </c>
      <c r="Q171" s="39" t="s">
        <v>1508</v>
      </c>
      <c r="R171" s="39" t="s">
        <v>2394</v>
      </c>
      <c r="S171" s="39" t="s">
        <v>2395</v>
      </c>
      <c r="T171" s="39">
        <v>8221022565</v>
      </c>
    </row>
    <row r="172" spans="1:20">
      <c r="A172" s="39" t="s">
        <v>21</v>
      </c>
      <c r="B172" s="39" t="s">
        <v>805</v>
      </c>
      <c r="C172" s="39" t="s">
        <v>2808</v>
      </c>
      <c r="D172" s="39" t="s">
        <v>1386</v>
      </c>
      <c r="E172" s="39" t="s">
        <v>2791</v>
      </c>
      <c r="F172" s="39" t="s">
        <v>1543</v>
      </c>
      <c r="G172" s="39">
        <v>1303026903</v>
      </c>
      <c r="H172" s="39" t="s">
        <v>1544</v>
      </c>
      <c r="I172" s="39" t="s">
        <v>1545</v>
      </c>
      <c r="J172" s="39" t="s">
        <v>68</v>
      </c>
      <c r="K172" s="39" t="s">
        <v>32</v>
      </c>
      <c r="L172" s="44">
        <v>6289602777908</v>
      </c>
      <c r="O172" s="39" t="s">
        <v>1546</v>
      </c>
      <c r="P172" s="39" t="s">
        <v>1542</v>
      </c>
      <c r="Q172" s="39" t="s">
        <v>1541</v>
      </c>
      <c r="R172" s="39" t="s">
        <v>2400</v>
      </c>
      <c r="S172" s="39" t="s">
        <v>2401</v>
      </c>
      <c r="T172" s="39">
        <v>1303026903</v>
      </c>
    </row>
    <row r="173" spans="1:20">
      <c r="A173" s="39" t="s">
        <v>21</v>
      </c>
      <c r="B173" s="39" t="s">
        <v>805</v>
      </c>
      <c r="C173" s="39" t="s">
        <v>2808</v>
      </c>
      <c r="D173" s="39" t="s">
        <v>1386</v>
      </c>
      <c r="E173" s="39" t="s">
        <v>2791</v>
      </c>
      <c r="F173" s="39" t="s">
        <v>1625</v>
      </c>
      <c r="G173" s="39">
        <v>8178488150</v>
      </c>
      <c r="H173" s="39" t="s">
        <v>1626</v>
      </c>
      <c r="I173" s="39" t="s">
        <v>1627</v>
      </c>
      <c r="J173" s="39" t="s">
        <v>68</v>
      </c>
      <c r="L173" s="44">
        <v>628985560072</v>
      </c>
      <c r="O173" s="39" t="s">
        <v>1628</v>
      </c>
      <c r="P173" s="39" t="s">
        <v>1624</v>
      </c>
      <c r="Q173" s="39" t="s">
        <v>1623</v>
      </c>
      <c r="R173" s="39" t="s">
        <v>2420</v>
      </c>
      <c r="S173" s="39" t="s">
        <v>2421</v>
      </c>
      <c r="T173" s="39">
        <v>8178488150</v>
      </c>
    </row>
    <row r="174" spans="1:20">
      <c r="A174" s="39" t="s">
        <v>21</v>
      </c>
      <c r="B174" s="39" t="s">
        <v>805</v>
      </c>
      <c r="C174" s="39" t="s">
        <v>2808</v>
      </c>
      <c r="D174" s="39" t="s">
        <v>1386</v>
      </c>
      <c r="E174" s="39" t="s">
        <v>2791</v>
      </c>
      <c r="F174" s="39" t="s">
        <v>1392</v>
      </c>
      <c r="G174" s="39">
        <v>7585988162</v>
      </c>
      <c r="H174" s="39" t="s">
        <v>1393</v>
      </c>
      <c r="I174" s="39" t="s">
        <v>1394</v>
      </c>
      <c r="J174" s="39" t="s">
        <v>68</v>
      </c>
      <c r="L174" s="44">
        <v>6281514444101</v>
      </c>
      <c r="O174" s="39" t="s">
        <v>1395</v>
      </c>
      <c r="P174" s="39" t="s">
        <v>1390</v>
      </c>
      <c r="Q174" s="39" t="s">
        <v>1391</v>
      </c>
      <c r="R174" s="39" t="s">
        <v>2358</v>
      </c>
      <c r="S174" s="39" t="s">
        <v>2359</v>
      </c>
      <c r="T174" s="39">
        <v>7585988162</v>
      </c>
    </row>
    <row r="175" spans="1:20">
      <c r="A175" s="39" t="s">
        <v>21</v>
      </c>
      <c r="B175" s="39" t="s">
        <v>805</v>
      </c>
      <c r="C175" s="39" t="s">
        <v>2808</v>
      </c>
      <c r="D175" s="39" t="s">
        <v>1386</v>
      </c>
      <c r="E175" s="39" t="s">
        <v>2791</v>
      </c>
      <c r="F175" s="39" t="s">
        <v>1398</v>
      </c>
      <c r="G175" s="39">
        <v>8954104565</v>
      </c>
      <c r="H175" s="39" t="s">
        <v>1399</v>
      </c>
      <c r="I175" s="39" t="s">
        <v>1400</v>
      </c>
      <c r="J175" s="39" t="s">
        <v>68</v>
      </c>
      <c r="L175" s="44">
        <v>628567330339</v>
      </c>
      <c r="O175" s="39" t="s">
        <v>1401</v>
      </c>
      <c r="P175" s="39" t="s">
        <v>1396</v>
      </c>
      <c r="Q175" s="39" t="s">
        <v>1397</v>
      </c>
      <c r="R175" s="39" t="s">
        <v>2360</v>
      </c>
      <c r="S175" s="39" t="s">
        <v>2361</v>
      </c>
      <c r="T175" s="39">
        <v>8954104565</v>
      </c>
    </row>
    <row r="176" spans="1:20">
      <c r="A176" s="39" t="s">
        <v>21</v>
      </c>
      <c r="B176" s="39" t="s">
        <v>805</v>
      </c>
      <c r="C176" s="39" t="s">
        <v>2808</v>
      </c>
      <c r="D176" s="39" t="s">
        <v>1386</v>
      </c>
      <c r="E176" s="39" t="s">
        <v>2791</v>
      </c>
      <c r="F176" s="39" t="s">
        <v>1404</v>
      </c>
      <c r="G176" s="39">
        <v>6607662509</v>
      </c>
      <c r="H176" s="39" t="s">
        <v>1405</v>
      </c>
      <c r="I176" s="39" t="s">
        <v>1406</v>
      </c>
      <c r="J176" s="39" t="s">
        <v>68</v>
      </c>
      <c r="L176" s="44">
        <v>628561601601</v>
      </c>
      <c r="O176" s="39" t="s">
        <v>1407</v>
      </c>
      <c r="P176" s="39" t="s">
        <v>1402</v>
      </c>
      <c r="Q176" s="39" t="s">
        <v>1403</v>
      </c>
      <c r="R176" s="39" t="s">
        <v>2362</v>
      </c>
      <c r="S176" s="39" t="s">
        <v>2363</v>
      </c>
      <c r="T176" s="39">
        <v>6607662509</v>
      </c>
    </row>
    <row r="177" spans="1:20">
      <c r="A177" s="39" t="s">
        <v>21</v>
      </c>
      <c r="B177" s="39" t="s">
        <v>805</v>
      </c>
      <c r="C177" s="39" t="s">
        <v>2808</v>
      </c>
      <c r="D177" s="39" t="s">
        <v>1386</v>
      </c>
      <c r="E177" s="39" t="s">
        <v>2791</v>
      </c>
      <c r="F177" s="39" t="s">
        <v>1410</v>
      </c>
      <c r="G177" s="39">
        <v>5902362810</v>
      </c>
      <c r="H177" s="39" t="s">
        <v>1411</v>
      </c>
      <c r="I177" s="39" t="s">
        <v>1412</v>
      </c>
      <c r="J177" s="39" t="s">
        <v>68</v>
      </c>
      <c r="L177" s="44">
        <v>6285772096969</v>
      </c>
      <c r="O177" s="39" t="s">
        <v>1413</v>
      </c>
      <c r="P177" s="39" t="s">
        <v>1408</v>
      </c>
      <c r="Q177" s="39" t="s">
        <v>1409</v>
      </c>
      <c r="R177" s="39" t="s">
        <v>2364</v>
      </c>
      <c r="S177" s="39" t="s">
        <v>2365</v>
      </c>
      <c r="T177" s="39">
        <v>5902362810</v>
      </c>
    </row>
    <row r="178" spans="1:20">
      <c r="A178" s="39" t="s">
        <v>21</v>
      </c>
      <c r="B178" s="39" t="s">
        <v>2751</v>
      </c>
      <c r="C178" s="39" t="s">
        <v>2809</v>
      </c>
      <c r="D178" s="39" t="s">
        <v>641</v>
      </c>
      <c r="E178" s="39" t="s">
        <v>2792</v>
      </c>
      <c r="F178" s="39" t="s">
        <v>647</v>
      </c>
      <c r="H178" s="39" t="s">
        <v>649</v>
      </c>
      <c r="I178" s="39" t="s">
        <v>650</v>
      </c>
      <c r="J178" s="39" t="s">
        <v>310</v>
      </c>
      <c r="K178" s="39" t="s">
        <v>32</v>
      </c>
      <c r="L178" s="44">
        <v>62857744182397</v>
      </c>
      <c r="M178" s="39" t="s">
        <v>651</v>
      </c>
      <c r="N178" s="39" t="s">
        <v>312</v>
      </c>
      <c r="O178" s="39" t="s">
        <v>652</v>
      </c>
      <c r="P178" s="39" t="s">
        <v>645</v>
      </c>
      <c r="Q178" s="39" t="s">
        <v>646</v>
      </c>
      <c r="R178" s="39" t="s">
        <v>1964</v>
      </c>
      <c r="S178" s="39" t="s">
        <v>1965</v>
      </c>
      <c r="T178" s="39">
        <v>8219154669</v>
      </c>
    </row>
    <row r="179" spans="1:20">
      <c r="A179" s="39" t="s">
        <v>21</v>
      </c>
      <c r="B179" s="39" t="s">
        <v>2751</v>
      </c>
      <c r="C179" s="39" t="s">
        <v>2809</v>
      </c>
      <c r="D179" s="39" t="s">
        <v>641</v>
      </c>
      <c r="E179" s="39" t="s">
        <v>2792</v>
      </c>
      <c r="F179" s="39" t="s">
        <v>655</v>
      </c>
      <c r="H179" s="39" t="s">
        <v>657</v>
      </c>
      <c r="I179" s="39" t="s">
        <v>658</v>
      </c>
      <c r="J179" s="39" t="s">
        <v>310</v>
      </c>
      <c r="K179" s="39" t="s">
        <v>32</v>
      </c>
      <c r="L179" s="44">
        <v>6285694188616</v>
      </c>
      <c r="M179" s="39" t="s">
        <v>659</v>
      </c>
      <c r="N179" s="39" t="s">
        <v>312</v>
      </c>
      <c r="O179" s="39" t="s">
        <v>660</v>
      </c>
      <c r="P179" s="39" t="s">
        <v>653</v>
      </c>
      <c r="Q179" s="39" t="s">
        <v>654</v>
      </c>
      <c r="R179" s="39" t="s">
        <v>1966</v>
      </c>
      <c r="S179" s="39" t="s">
        <v>1967</v>
      </c>
      <c r="T179" s="39">
        <v>5252466341</v>
      </c>
    </row>
    <row r="180" spans="1:20">
      <c r="A180" s="39" t="s">
        <v>21</v>
      </c>
      <c r="B180" s="39" t="s">
        <v>2751</v>
      </c>
      <c r="C180" s="39" t="s">
        <v>2809</v>
      </c>
      <c r="D180" s="39" t="s">
        <v>641</v>
      </c>
      <c r="E180" s="39" t="s">
        <v>2792</v>
      </c>
      <c r="F180" s="39" t="s">
        <v>663</v>
      </c>
      <c r="G180" s="39">
        <v>6098691652</v>
      </c>
      <c r="H180" s="39" t="s">
        <v>665</v>
      </c>
      <c r="I180" s="39" t="s">
        <v>666</v>
      </c>
      <c r="J180" s="39" t="s">
        <v>310</v>
      </c>
      <c r="K180" s="39" t="s">
        <v>32</v>
      </c>
      <c r="L180" s="44">
        <v>62856926204967</v>
      </c>
      <c r="M180" s="39" t="s">
        <v>667</v>
      </c>
      <c r="N180" s="39" t="s">
        <v>312</v>
      </c>
      <c r="O180" s="39" t="s">
        <v>668</v>
      </c>
      <c r="P180" s="39" t="s">
        <v>661</v>
      </c>
      <c r="Q180" s="39" t="s">
        <v>662</v>
      </c>
      <c r="R180" s="39" t="s">
        <v>1968</v>
      </c>
      <c r="S180" s="39" t="s">
        <v>1969</v>
      </c>
      <c r="T180" s="39">
        <v>6098691652</v>
      </c>
    </row>
    <row r="181" spans="1:20">
      <c r="A181" s="39" t="s">
        <v>21</v>
      </c>
      <c r="B181" s="39" t="s">
        <v>2751</v>
      </c>
      <c r="C181" s="39" t="s">
        <v>2809</v>
      </c>
      <c r="D181" s="39" t="s">
        <v>641</v>
      </c>
      <c r="E181" s="39" t="s">
        <v>2792</v>
      </c>
      <c r="F181" s="39" t="s">
        <v>1606</v>
      </c>
      <c r="G181" s="39">
        <v>8972506795</v>
      </c>
      <c r="H181" s="39" t="s">
        <v>1607</v>
      </c>
      <c r="I181" s="39" t="s">
        <v>1608</v>
      </c>
      <c r="J181" s="39" t="s">
        <v>68</v>
      </c>
      <c r="L181" s="44">
        <v>62895425330105</v>
      </c>
      <c r="O181" s="39" t="s">
        <v>1609</v>
      </c>
      <c r="P181" s="39" t="s">
        <v>1605</v>
      </c>
      <c r="Q181" s="39" t="s">
        <v>1604</v>
      </c>
      <c r="R181" s="39" t="s">
        <v>1978</v>
      </c>
      <c r="S181" s="39" t="s">
        <v>1979</v>
      </c>
      <c r="T181" s="39">
        <v>8972506795</v>
      </c>
    </row>
    <row r="182" spans="1:20">
      <c r="A182" s="39" t="s">
        <v>21</v>
      </c>
      <c r="B182" s="39" t="s">
        <v>2751</v>
      </c>
      <c r="C182" s="39" t="s">
        <v>2809</v>
      </c>
      <c r="D182" s="39" t="s">
        <v>641</v>
      </c>
      <c r="E182" s="39" t="s">
        <v>2792</v>
      </c>
      <c r="F182" s="39" t="s">
        <v>1334</v>
      </c>
      <c r="G182" s="39">
        <v>8274530468</v>
      </c>
      <c r="H182" s="39" t="s">
        <v>1336</v>
      </c>
      <c r="I182" s="39" t="s">
        <v>1337</v>
      </c>
      <c r="J182" s="39" t="s">
        <v>310</v>
      </c>
      <c r="K182" s="39" t="s">
        <v>32</v>
      </c>
      <c r="L182" s="44">
        <v>6285810446668</v>
      </c>
      <c r="M182" s="39" t="s">
        <v>1338</v>
      </c>
      <c r="O182" s="39" t="s">
        <v>1339</v>
      </c>
      <c r="P182" s="39" t="s">
        <v>1332</v>
      </c>
      <c r="Q182" s="39" t="s">
        <v>1333</v>
      </c>
      <c r="R182" s="39" t="s">
        <v>1970</v>
      </c>
      <c r="S182" s="39" t="s">
        <v>1971</v>
      </c>
      <c r="T182" s="39">
        <v>8274530468</v>
      </c>
    </row>
    <row r="183" spans="1:20">
      <c r="A183" s="39" t="s">
        <v>21</v>
      </c>
      <c r="B183" s="39" t="s">
        <v>2751</v>
      </c>
      <c r="C183" s="39" t="s">
        <v>2809</v>
      </c>
      <c r="D183" s="39" t="s">
        <v>641</v>
      </c>
      <c r="E183" s="39" t="s">
        <v>2792</v>
      </c>
      <c r="F183" s="39" t="s">
        <v>1342</v>
      </c>
      <c r="G183" s="39">
        <v>7758849785</v>
      </c>
      <c r="H183" s="39" t="s">
        <v>1344</v>
      </c>
      <c r="I183" s="39" t="s">
        <v>1345</v>
      </c>
      <c r="J183" s="39" t="s">
        <v>310</v>
      </c>
      <c r="K183" s="39" t="s">
        <v>32</v>
      </c>
      <c r="L183" s="44">
        <v>6285894090411</v>
      </c>
      <c r="M183" s="39" t="s">
        <v>1346</v>
      </c>
      <c r="O183" s="39" t="s">
        <v>1347</v>
      </c>
      <c r="P183" s="39" t="s">
        <v>1340</v>
      </c>
      <c r="Q183" s="39" t="s">
        <v>1341</v>
      </c>
      <c r="R183" s="39" t="s">
        <v>1972</v>
      </c>
      <c r="S183" s="39" t="s">
        <v>1973</v>
      </c>
      <c r="T183" s="39">
        <v>7758849785</v>
      </c>
    </row>
    <row r="184" spans="1:20">
      <c r="A184" s="39" t="s">
        <v>21</v>
      </c>
      <c r="B184" s="39" t="s">
        <v>2751</v>
      </c>
      <c r="C184" s="39" t="s">
        <v>2809</v>
      </c>
      <c r="D184" s="39" t="s">
        <v>641</v>
      </c>
      <c r="E184" s="39" t="s">
        <v>2792</v>
      </c>
      <c r="F184" s="39" t="s">
        <v>1350</v>
      </c>
      <c r="G184" s="39">
        <v>8566702772</v>
      </c>
      <c r="H184" s="39" t="s">
        <v>1351</v>
      </c>
      <c r="I184" s="39" t="s">
        <v>1352</v>
      </c>
      <c r="J184" s="39" t="s">
        <v>68</v>
      </c>
      <c r="L184" s="44">
        <v>6285813307836</v>
      </c>
      <c r="O184" s="39" t="s">
        <v>1353</v>
      </c>
      <c r="P184" s="39" t="s">
        <v>1348</v>
      </c>
      <c r="Q184" s="39" t="s">
        <v>1349</v>
      </c>
      <c r="R184" s="39" t="s">
        <v>1974</v>
      </c>
      <c r="S184" s="39" t="s">
        <v>1975</v>
      </c>
      <c r="T184" s="39">
        <v>8566702772</v>
      </c>
    </row>
    <row r="185" spans="1:20">
      <c r="A185" s="39" t="s">
        <v>21</v>
      </c>
      <c r="B185" s="39" t="s">
        <v>2751</v>
      </c>
      <c r="C185" s="39" t="s">
        <v>2809</v>
      </c>
      <c r="D185" s="39" t="s">
        <v>641</v>
      </c>
      <c r="E185" s="39" t="s">
        <v>2792</v>
      </c>
      <c r="F185" s="39" t="s">
        <v>1356</v>
      </c>
      <c r="H185" s="39" t="s">
        <v>1358</v>
      </c>
      <c r="I185" s="39" t="s">
        <v>1359</v>
      </c>
      <c r="J185" s="39" t="s">
        <v>310</v>
      </c>
      <c r="K185" s="39" t="s">
        <v>32</v>
      </c>
      <c r="L185" s="44">
        <v>6285813310570</v>
      </c>
      <c r="M185" s="39" t="s">
        <v>1360</v>
      </c>
      <c r="N185" s="39" t="s">
        <v>312</v>
      </c>
      <c r="O185" s="39" t="s">
        <v>1361</v>
      </c>
      <c r="P185" s="39" t="s">
        <v>1354</v>
      </c>
      <c r="Q185" s="39" t="s">
        <v>1355</v>
      </c>
      <c r="R185" s="39" t="s">
        <v>1976</v>
      </c>
      <c r="S185" s="39" t="s">
        <v>1977</v>
      </c>
      <c r="T185" s="39">
        <v>8567608861</v>
      </c>
    </row>
    <row r="186" spans="1:20">
      <c r="A186" s="39" t="s">
        <v>21</v>
      </c>
      <c r="B186" s="39" t="s">
        <v>2751</v>
      </c>
      <c r="C186" s="39" t="s">
        <v>2809</v>
      </c>
      <c r="D186" s="39" t="s">
        <v>641</v>
      </c>
      <c r="E186" s="39" t="s">
        <v>2792</v>
      </c>
      <c r="F186" s="39" t="s">
        <v>915</v>
      </c>
      <c r="G186" s="39">
        <v>1521678273</v>
      </c>
      <c r="H186" s="39" t="s">
        <v>916</v>
      </c>
      <c r="I186" s="39" t="s">
        <v>917</v>
      </c>
      <c r="J186" s="39" t="s">
        <v>310</v>
      </c>
      <c r="K186" s="39" t="s">
        <v>32</v>
      </c>
      <c r="L186" s="44">
        <v>0</v>
      </c>
      <c r="M186" s="39" t="s">
        <v>918</v>
      </c>
      <c r="N186" s="39" t="s">
        <v>312</v>
      </c>
      <c r="O186" s="39" t="s">
        <v>919</v>
      </c>
      <c r="T186" s="39">
        <v>1521678273</v>
      </c>
    </row>
    <row r="187" spans="1:20">
      <c r="A187" s="39" t="s">
        <v>21</v>
      </c>
      <c r="B187" s="39" t="s">
        <v>2751</v>
      </c>
      <c r="C187" s="39" t="s">
        <v>2809</v>
      </c>
      <c r="D187" s="39" t="s">
        <v>151</v>
      </c>
      <c r="E187" s="39" t="s">
        <v>2793</v>
      </c>
      <c r="F187" s="39" t="s">
        <v>936</v>
      </c>
      <c r="G187" s="39">
        <v>8842422235</v>
      </c>
      <c r="H187" s="39" t="s">
        <v>937</v>
      </c>
      <c r="I187" s="39" t="s">
        <v>938</v>
      </c>
      <c r="J187" s="39" t="s">
        <v>310</v>
      </c>
      <c r="K187" s="39" t="s">
        <v>32</v>
      </c>
      <c r="L187" s="44">
        <v>6285710632634</v>
      </c>
      <c r="M187" s="39" t="s">
        <v>939</v>
      </c>
      <c r="N187" s="39" t="s">
        <v>312</v>
      </c>
      <c r="O187" s="39" t="s">
        <v>940</v>
      </c>
      <c r="P187" s="39" t="s">
        <v>934</v>
      </c>
      <c r="Q187" s="39" t="s">
        <v>935</v>
      </c>
      <c r="R187" s="39" t="s">
        <v>2226</v>
      </c>
      <c r="S187" s="39" t="s">
        <v>2227</v>
      </c>
      <c r="T187" s="39">
        <v>8842422235</v>
      </c>
    </row>
    <row r="188" spans="1:20">
      <c r="A188" s="39" t="s">
        <v>21</v>
      </c>
      <c r="B188" s="39" t="s">
        <v>2751</v>
      </c>
      <c r="C188" s="39" t="s">
        <v>2809</v>
      </c>
      <c r="D188" s="39" t="s">
        <v>151</v>
      </c>
      <c r="E188" s="39" t="s">
        <v>2793</v>
      </c>
      <c r="F188" s="39" t="s">
        <v>156</v>
      </c>
      <c r="G188" s="39">
        <v>8808553274</v>
      </c>
      <c r="H188" s="39" t="s">
        <v>157</v>
      </c>
      <c r="I188" s="39" t="s">
        <v>158</v>
      </c>
      <c r="J188" s="39" t="s">
        <v>68</v>
      </c>
      <c r="L188" s="44">
        <v>6285891943338</v>
      </c>
      <c r="O188" s="39" t="s">
        <v>159</v>
      </c>
      <c r="P188" s="39">
        <v>2613050983</v>
      </c>
      <c r="Q188" s="39" t="s">
        <v>155</v>
      </c>
      <c r="R188" s="39" t="s">
        <v>2024</v>
      </c>
      <c r="S188" s="39" t="s">
        <v>2025</v>
      </c>
      <c r="T188" s="39">
        <v>8808553274</v>
      </c>
    </row>
    <row r="189" spans="1:20">
      <c r="A189" s="39" t="s">
        <v>21</v>
      </c>
      <c r="B189" s="39" t="s">
        <v>2751</v>
      </c>
      <c r="C189" s="39" t="s">
        <v>2809</v>
      </c>
      <c r="D189" s="39" t="s">
        <v>151</v>
      </c>
      <c r="E189" s="39" t="s">
        <v>2793</v>
      </c>
      <c r="F189" s="39" t="s">
        <v>612</v>
      </c>
      <c r="G189" s="39">
        <v>876886692</v>
      </c>
      <c r="H189" s="39" t="s">
        <v>613</v>
      </c>
      <c r="I189" s="39" t="s">
        <v>614</v>
      </c>
      <c r="J189" s="39" t="s">
        <v>310</v>
      </c>
      <c r="K189" s="39" t="s">
        <v>32</v>
      </c>
      <c r="L189" s="44">
        <v>6285719720181</v>
      </c>
      <c r="M189" s="39" t="s">
        <v>615</v>
      </c>
      <c r="N189" s="39" t="s">
        <v>312</v>
      </c>
      <c r="O189" s="39" t="s">
        <v>616</v>
      </c>
      <c r="P189" s="39" t="s">
        <v>610</v>
      </c>
      <c r="Q189" s="39" t="s">
        <v>611</v>
      </c>
      <c r="R189" s="39" t="s">
        <v>2158</v>
      </c>
      <c r="S189" s="39" t="s">
        <v>2159</v>
      </c>
      <c r="T189" s="39">
        <v>876886692</v>
      </c>
    </row>
    <row r="190" spans="1:20">
      <c r="A190" s="39" t="s">
        <v>21</v>
      </c>
      <c r="B190" s="39" t="s">
        <v>2751</v>
      </c>
      <c r="C190" s="39" t="s">
        <v>2809</v>
      </c>
      <c r="D190" s="39" t="s">
        <v>151</v>
      </c>
      <c r="E190" s="39" t="s">
        <v>2793</v>
      </c>
      <c r="F190" s="39" t="s">
        <v>626</v>
      </c>
      <c r="G190" s="39">
        <v>2145913026</v>
      </c>
      <c r="H190" s="39" t="s">
        <v>627</v>
      </c>
      <c r="I190" s="39" t="s">
        <v>628</v>
      </c>
      <c r="J190" s="39" t="s">
        <v>310</v>
      </c>
      <c r="K190" s="39" t="s">
        <v>32</v>
      </c>
      <c r="L190" s="44">
        <v>62981585552228</v>
      </c>
      <c r="M190" s="39" t="s">
        <v>629</v>
      </c>
      <c r="N190" s="39" t="s">
        <v>312</v>
      </c>
      <c r="O190" s="39" t="s">
        <v>630</v>
      </c>
      <c r="P190" s="39" t="s">
        <v>624</v>
      </c>
      <c r="Q190" s="39" t="s">
        <v>625</v>
      </c>
      <c r="R190" s="39" t="s">
        <v>2162</v>
      </c>
      <c r="S190" s="39" t="s">
        <v>2163</v>
      </c>
      <c r="T190" s="39">
        <v>2145913026</v>
      </c>
    </row>
    <row r="191" spans="1:20">
      <c r="A191" s="39" t="s">
        <v>21</v>
      </c>
      <c r="B191" s="39" t="s">
        <v>2751</v>
      </c>
      <c r="C191" s="39" t="s">
        <v>2809</v>
      </c>
      <c r="D191" s="39" t="s">
        <v>151</v>
      </c>
      <c r="E191" s="39" t="s">
        <v>2793</v>
      </c>
      <c r="F191" s="39" t="s">
        <v>1070</v>
      </c>
      <c r="G191" s="39">
        <v>7383664798</v>
      </c>
      <c r="H191" s="39" t="s">
        <v>1071</v>
      </c>
      <c r="I191" s="39" t="s">
        <v>1072</v>
      </c>
      <c r="J191" s="39" t="s">
        <v>310</v>
      </c>
      <c r="K191" s="39" t="s">
        <v>32</v>
      </c>
      <c r="L191" s="44">
        <v>62985811333313</v>
      </c>
      <c r="M191" s="39" t="s">
        <v>1073</v>
      </c>
      <c r="N191" s="39" t="s">
        <v>312</v>
      </c>
      <c r="O191" s="39" t="s">
        <v>1074</v>
      </c>
      <c r="P191" s="39" t="s">
        <v>1068</v>
      </c>
      <c r="Q191" s="39" t="s">
        <v>1069</v>
      </c>
      <c r="R191" s="39" t="s">
        <v>2270</v>
      </c>
      <c r="S191" s="39" t="s">
        <v>2271</v>
      </c>
      <c r="T191" s="39">
        <v>7383664798</v>
      </c>
    </row>
    <row r="192" spans="1:20">
      <c r="A192" s="39" t="s">
        <v>21</v>
      </c>
      <c r="B192" s="39" t="s">
        <v>2751</v>
      </c>
      <c r="C192" s="39" t="s">
        <v>2809</v>
      </c>
      <c r="D192" s="39" t="s">
        <v>151</v>
      </c>
      <c r="E192" s="39" t="s">
        <v>2793</v>
      </c>
      <c r="F192" s="39" t="s">
        <v>1077</v>
      </c>
      <c r="G192" s="39">
        <v>8274900995</v>
      </c>
      <c r="H192" s="39" t="s">
        <v>1078</v>
      </c>
      <c r="I192" s="39" t="s">
        <v>1079</v>
      </c>
      <c r="J192" s="39" t="s">
        <v>310</v>
      </c>
      <c r="K192" s="39" t="s">
        <v>32</v>
      </c>
      <c r="L192" s="44">
        <v>6285777799909</v>
      </c>
      <c r="M192" s="39" t="s">
        <v>1080</v>
      </c>
      <c r="N192" s="39" t="s">
        <v>312</v>
      </c>
      <c r="O192" s="39" t="s">
        <v>1081</v>
      </c>
      <c r="P192" s="39" t="s">
        <v>1075</v>
      </c>
      <c r="Q192" s="39" t="s">
        <v>1076</v>
      </c>
      <c r="R192" s="39" t="s">
        <v>2272</v>
      </c>
      <c r="S192" s="39" t="s">
        <v>2273</v>
      </c>
      <c r="T192" s="39">
        <v>8274900995</v>
      </c>
    </row>
    <row r="193" spans="1:20">
      <c r="A193" s="39" t="s">
        <v>21</v>
      </c>
      <c r="B193" s="39" t="s">
        <v>2751</v>
      </c>
      <c r="C193" s="39" t="s">
        <v>2809</v>
      </c>
      <c r="D193" s="39" t="s">
        <v>631</v>
      </c>
      <c r="E193" s="39" t="s">
        <v>2794</v>
      </c>
      <c r="F193" s="39" t="s">
        <v>638</v>
      </c>
      <c r="G193" s="39">
        <v>8527163054</v>
      </c>
      <c r="H193" s="39">
        <v>0</v>
      </c>
      <c r="I193" s="39" t="s">
        <v>639</v>
      </c>
      <c r="J193" s="39" t="s">
        <v>68</v>
      </c>
      <c r="L193" s="44">
        <v>62815146917247</v>
      </c>
      <c r="O193" s="39" t="s">
        <v>640</v>
      </c>
      <c r="P193" s="39" t="s">
        <v>636</v>
      </c>
      <c r="Q193" s="39" t="s">
        <v>637</v>
      </c>
      <c r="R193" s="39" t="s">
        <v>1980</v>
      </c>
      <c r="S193" s="39" t="s">
        <v>1981</v>
      </c>
      <c r="T193" s="39">
        <v>8527163054</v>
      </c>
    </row>
    <row r="194" spans="1:20">
      <c r="A194" s="39" t="s">
        <v>21</v>
      </c>
      <c r="B194" s="39" t="s">
        <v>2751</v>
      </c>
      <c r="C194" s="39" t="s">
        <v>2809</v>
      </c>
      <c r="D194" s="39" t="s">
        <v>631</v>
      </c>
      <c r="E194" s="39" t="s">
        <v>2794</v>
      </c>
      <c r="F194" s="39" t="s">
        <v>1523</v>
      </c>
      <c r="H194" s="39" t="s">
        <v>1525</v>
      </c>
      <c r="I194" s="39" t="s">
        <v>1526</v>
      </c>
      <c r="J194" s="39" t="s">
        <v>310</v>
      </c>
      <c r="K194" s="39" t="s">
        <v>32</v>
      </c>
      <c r="L194" s="44">
        <v>628996266997</v>
      </c>
      <c r="M194" s="39" t="s">
        <v>1527</v>
      </c>
      <c r="N194" s="39" t="s">
        <v>312</v>
      </c>
      <c r="O194" s="39" t="s">
        <v>1528</v>
      </c>
      <c r="P194" s="39" t="s">
        <v>1522</v>
      </c>
      <c r="Q194" s="39" t="s">
        <v>1521</v>
      </c>
      <c r="R194" s="39" t="s">
        <v>1986</v>
      </c>
      <c r="S194" s="39" t="s">
        <v>1987</v>
      </c>
    </row>
    <row r="195" spans="1:20">
      <c r="A195" s="39" t="s">
        <v>21</v>
      </c>
      <c r="B195" s="39" t="s">
        <v>2751</v>
      </c>
      <c r="C195" s="39" t="s">
        <v>2809</v>
      </c>
      <c r="D195" s="39" t="s">
        <v>631</v>
      </c>
      <c r="E195" s="39" t="s">
        <v>2794</v>
      </c>
      <c r="F195" s="39" t="s">
        <v>1537</v>
      </c>
      <c r="G195" s="39">
        <v>8744812615</v>
      </c>
      <c r="H195" s="39" t="s">
        <v>1538</v>
      </c>
      <c r="I195" s="39" t="s">
        <v>1539</v>
      </c>
      <c r="J195" s="39" t="s">
        <v>68</v>
      </c>
      <c r="L195" s="44">
        <v>6289673364930</v>
      </c>
      <c r="O195" s="39" t="s">
        <v>1540</v>
      </c>
      <c r="P195" s="39" t="s">
        <v>1536</v>
      </c>
      <c r="Q195" s="39" t="s">
        <v>1535</v>
      </c>
      <c r="R195" s="39" t="s">
        <v>1988</v>
      </c>
      <c r="S195" s="39" t="s">
        <v>1989</v>
      </c>
      <c r="T195" s="39">
        <v>8744812615</v>
      </c>
    </row>
    <row r="196" spans="1:20">
      <c r="A196" s="39" t="s">
        <v>21</v>
      </c>
      <c r="B196" s="39" t="s">
        <v>2751</v>
      </c>
      <c r="C196" s="39" t="s">
        <v>2809</v>
      </c>
      <c r="D196" s="39" t="s">
        <v>631</v>
      </c>
      <c r="E196" s="39" t="s">
        <v>2794</v>
      </c>
      <c r="F196" s="39" t="s">
        <v>1587</v>
      </c>
      <c r="G196" s="39">
        <v>8986567572</v>
      </c>
      <c r="H196" s="39" t="s">
        <v>1588</v>
      </c>
      <c r="I196" s="39" t="s">
        <v>1589</v>
      </c>
      <c r="J196" s="39" t="s">
        <v>310</v>
      </c>
      <c r="K196" s="39" t="s">
        <v>32</v>
      </c>
      <c r="L196" s="44">
        <v>6289687862223</v>
      </c>
      <c r="M196" s="39" t="s">
        <v>1590</v>
      </c>
      <c r="N196" s="39" t="s">
        <v>312</v>
      </c>
      <c r="O196" s="39" t="s">
        <v>1591</v>
      </c>
      <c r="P196" s="39" t="s">
        <v>1586</v>
      </c>
      <c r="Q196" s="39" t="s">
        <v>1585</v>
      </c>
      <c r="R196" s="39" t="s">
        <v>1990</v>
      </c>
      <c r="S196" s="39" t="s">
        <v>1991</v>
      </c>
      <c r="T196" s="39">
        <v>8986567572</v>
      </c>
    </row>
    <row r="197" spans="1:20">
      <c r="A197" s="39" t="s">
        <v>21</v>
      </c>
      <c r="B197" s="39" t="s">
        <v>2751</v>
      </c>
      <c r="C197" s="39" t="s">
        <v>2809</v>
      </c>
      <c r="D197" s="39" t="s">
        <v>631</v>
      </c>
      <c r="E197" s="39" t="s">
        <v>2794</v>
      </c>
      <c r="F197" s="39" t="s">
        <v>1637</v>
      </c>
      <c r="G197" s="39">
        <v>8313484680</v>
      </c>
      <c r="H197" s="39" t="s">
        <v>1638</v>
      </c>
      <c r="I197" s="39" t="s">
        <v>1639</v>
      </c>
      <c r="J197" s="39" t="s">
        <v>68</v>
      </c>
      <c r="L197" s="44">
        <v>6208996267013</v>
      </c>
      <c r="O197" s="39" t="s">
        <v>1640</v>
      </c>
      <c r="P197" s="39" t="s">
        <v>1636</v>
      </c>
      <c r="Q197" s="39" t="s">
        <v>1635</v>
      </c>
      <c r="R197" s="39" t="s">
        <v>1992</v>
      </c>
      <c r="S197" s="39" t="s">
        <v>1993</v>
      </c>
      <c r="T197" s="39">
        <v>8313484680</v>
      </c>
    </row>
    <row r="198" spans="1:20">
      <c r="A198" s="39" t="s">
        <v>21</v>
      </c>
      <c r="B198" s="39" t="s">
        <v>2751</v>
      </c>
      <c r="C198" s="39" t="s">
        <v>2809</v>
      </c>
      <c r="D198" s="39" t="s">
        <v>631</v>
      </c>
      <c r="E198" s="39" t="s">
        <v>2794</v>
      </c>
      <c r="F198" s="39" t="s">
        <v>1318</v>
      </c>
      <c r="G198" s="39">
        <v>8547362330</v>
      </c>
      <c r="H198" s="39" t="s">
        <v>1320</v>
      </c>
      <c r="I198" s="39" t="s">
        <v>1321</v>
      </c>
      <c r="J198" s="39" t="s">
        <v>310</v>
      </c>
      <c r="K198" s="39" t="s">
        <v>32</v>
      </c>
      <c r="L198" s="44">
        <v>6281700000077</v>
      </c>
      <c r="M198" s="39" t="s">
        <v>1322</v>
      </c>
      <c r="N198" s="39" t="s">
        <v>312</v>
      </c>
      <c r="O198" s="39" t="s">
        <v>1323</v>
      </c>
      <c r="P198" s="39" t="s">
        <v>1316</v>
      </c>
      <c r="Q198" s="39" t="s">
        <v>1317</v>
      </c>
      <c r="R198" s="39" t="s">
        <v>1982</v>
      </c>
      <c r="S198" s="39" t="s">
        <v>1983</v>
      </c>
      <c r="T198" s="39">
        <v>8547362330</v>
      </c>
    </row>
    <row r="199" spans="1:20">
      <c r="A199" s="39" t="s">
        <v>21</v>
      </c>
      <c r="B199" s="39" t="s">
        <v>2751</v>
      </c>
      <c r="C199" s="39" t="s">
        <v>2809</v>
      </c>
      <c r="D199" s="39" t="s">
        <v>631</v>
      </c>
      <c r="E199" s="39" t="s">
        <v>2794</v>
      </c>
      <c r="F199" s="39" t="s">
        <v>1326</v>
      </c>
      <c r="G199" s="39">
        <v>8545208079</v>
      </c>
      <c r="H199" s="39" t="s">
        <v>1328</v>
      </c>
      <c r="I199" s="39" t="s">
        <v>1329</v>
      </c>
      <c r="J199" s="39" t="s">
        <v>310</v>
      </c>
      <c r="K199" s="39" t="s">
        <v>32</v>
      </c>
      <c r="L199" s="44">
        <v>6285692620496</v>
      </c>
      <c r="M199" s="39" t="s">
        <v>1330</v>
      </c>
      <c r="O199" s="39" t="s">
        <v>1331</v>
      </c>
      <c r="P199" s="39" t="s">
        <v>1324</v>
      </c>
      <c r="Q199" s="39" t="s">
        <v>1325</v>
      </c>
      <c r="R199" s="39" t="s">
        <v>1984</v>
      </c>
      <c r="S199" s="39" t="s">
        <v>1985</v>
      </c>
      <c r="T199" s="39">
        <v>8545208079</v>
      </c>
    </row>
    <row r="200" spans="1:20">
      <c r="A200" s="39" t="s">
        <v>21</v>
      </c>
      <c r="B200" s="39" t="s">
        <v>2751</v>
      </c>
      <c r="C200" s="39" t="s">
        <v>2809</v>
      </c>
      <c r="D200" s="39" t="s">
        <v>131</v>
      </c>
      <c r="E200" s="39" t="s">
        <v>2795</v>
      </c>
      <c r="F200" s="39" t="s">
        <v>137</v>
      </c>
      <c r="G200" s="39">
        <v>8769931416</v>
      </c>
      <c r="H200" s="39" t="s">
        <v>138</v>
      </c>
      <c r="I200" s="39" t="s">
        <v>139</v>
      </c>
      <c r="J200" s="39" t="s">
        <v>119</v>
      </c>
      <c r="L200" s="44">
        <v>6285722728319</v>
      </c>
      <c r="O200" s="39" t="s">
        <v>140</v>
      </c>
      <c r="P200" s="39">
        <v>2613050980</v>
      </c>
      <c r="Q200" s="39" t="s">
        <v>136</v>
      </c>
      <c r="R200" s="39" t="s">
        <v>2018</v>
      </c>
      <c r="S200" s="39" t="s">
        <v>2019</v>
      </c>
      <c r="T200" s="39">
        <v>8769931416</v>
      </c>
    </row>
    <row r="201" spans="1:20">
      <c r="A201" s="39" t="s">
        <v>21</v>
      </c>
      <c r="B201" s="39" t="s">
        <v>2751</v>
      </c>
      <c r="C201" s="39" t="s">
        <v>2809</v>
      </c>
      <c r="D201" s="39" t="s">
        <v>131</v>
      </c>
      <c r="E201" s="39" t="s">
        <v>2795</v>
      </c>
      <c r="F201" s="39" t="s">
        <v>142</v>
      </c>
      <c r="G201" s="39">
        <v>7838124778</v>
      </c>
      <c r="H201" s="39" t="s">
        <v>143</v>
      </c>
      <c r="I201" s="39" t="s">
        <v>144</v>
      </c>
      <c r="J201" s="39" t="s">
        <v>68</v>
      </c>
      <c r="L201" s="44">
        <v>6285891947779</v>
      </c>
      <c r="O201" s="39" t="s">
        <v>145</v>
      </c>
      <c r="P201" s="39">
        <v>2613050981</v>
      </c>
      <c r="Q201" s="39" t="s">
        <v>141</v>
      </c>
      <c r="R201" s="39" t="s">
        <v>2020</v>
      </c>
      <c r="S201" s="39" t="s">
        <v>2021</v>
      </c>
      <c r="T201" s="39">
        <v>7838124778</v>
      </c>
    </row>
    <row r="202" spans="1:20">
      <c r="A202" s="39" t="s">
        <v>21</v>
      </c>
      <c r="B202" s="39" t="s">
        <v>2751</v>
      </c>
      <c r="C202" s="39" t="s">
        <v>2809</v>
      </c>
      <c r="D202" s="39" t="s">
        <v>131</v>
      </c>
      <c r="E202" s="39" t="s">
        <v>2795</v>
      </c>
      <c r="F202" s="39" t="s">
        <v>147</v>
      </c>
      <c r="G202" s="39">
        <v>6923528438</v>
      </c>
      <c r="H202" s="39" t="s">
        <v>148</v>
      </c>
      <c r="I202" s="39" t="s">
        <v>149</v>
      </c>
      <c r="J202" s="39" t="s">
        <v>68</v>
      </c>
      <c r="L202" s="44">
        <v>6285891960007</v>
      </c>
      <c r="O202" s="39" t="s">
        <v>150</v>
      </c>
      <c r="P202" s="39">
        <v>2613050982</v>
      </c>
      <c r="Q202" s="39" t="s">
        <v>146</v>
      </c>
      <c r="R202" s="39" t="s">
        <v>2022</v>
      </c>
      <c r="S202" s="39" t="s">
        <v>2023</v>
      </c>
      <c r="T202" s="39">
        <v>6923528438</v>
      </c>
    </row>
    <row r="203" spans="1:20">
      <c r="A203" s="39" t="s">
        <v>21</v>
      </c>
      <c r="B203" s="39" t="s">
        <v>2751</v>
      </c>
      <c r="C203" s="39" t="s">
        <v>2809</v>
      </c>
      <c r="D203" s="39" t="s">
        <v>131</v>
      </c>
      <c r="E203" s="39" t="s">
        <v>2795</v>
      </c>
      <c r="F203" s="39" t="s">
        <v>306</v>
      </c>
      <c r="G203" s="39">
        <v>8920543350</v>
      </c>
      <c r="H203" s="39" t="s">
        <v>308</v>
      </c>
      <c r="I203" s="39" t="s">
        <v>309</v>
      </c>
      <c r="J203" s="39" t="s">
        <v>310</v>
      </c>
      <c r="K203" s="39" t="s">
        <v>32</v>
      </c>
      <c r="L203" s="44">
        <v>6281584068363</v>
      </c>
      <c r="M203" s="39" t="s">
        <v>311</v>
      </c>
      <c r="N203" s="39" t="s">
        <v>312</v>
      </c>
      <c r="O203" s="39" t="s">
        <v>313</v>
      </c>
      <c r="P203" s="39">
        <v>2613053164</v>
      </c>
      <c r="Q203" s="39" t="s">
        <v>305</v>
      </c>
      <c r="R203" s="39" t="s">
        <v>2072</v>
      </c>
      <c r="S203" s="39" t="s">
        <v>2073</v>
      </c>
      <c r="T203" s="39">
        <v>8920543350</v>
      </c>
    </row>
    <row r="204" spans="1:20">
      <c r="A204" s="39" t="s">
        <v>21</v>
      </c>
      <c r="B204" s="39" t="s">
        <v>2751</v>
      </c>
      <c r="C204" s="39" t="s">
        <v>2809</v>
      </c>
      <c r="D204" s="39" t="s">
        <v>131</v>
      </c>
      <c r="E204" s="39" t="s">
        <v>2795</v>
      </c>
      <c r="F204" s="39" t="s">
        <v>604</v>
      </c>
      <c r="G204" s="39">
        <v>8845236907</v>
      </c>
      <c r="H204" s="39" t="s">
        <v>605</v>
      </c>
      <c r="I204" s="39" t="s">
        <v>606</v>
      </c>
      <c r="J204" s="39" t="s">
        <v>310</v>
      </c>
      <c r="K204" s="39" t="s">
        <v>32</v>
      </c>
      <c r="L204" s="44">
        <v>6285882641933</v>
      </c>
      <c r="M204" s="39" t="s">
        <v>607</v>
      </c>
      <c r="N204" s="39" t="s">
        <v>312</v>
      </c>
      <c r="O204" s="39" t="s">
        <v>608</v>
      </c>
      <c r="P204" s="39" t="s">
        <v>602</v>
      </c>
      <c r="Q204" s="39" t="s">
        <v>603</v>
      </c>
      <c r="R204" s="39" t="s">
        <v>2156</v>
      </c>
      <c r="S204" s="39" t="s">
        <v>2157</v>
      </c>
      <c r="T204" s="39">
        <v>8845236907</v>
      </c>
    </row>
    <row r="205" spans="1:20">
      <c r="A205" s="39" t="s">
        <v>21</v>
      </c>
      <c r="B205" s="39" t="s">
        <v>2751</v>
      </c>
      <c r="C205" s="39" t="s">
        <v>2809</v>
      </c>
      <c r="D205" s="39" t="s">
        <v>131</v>
      </c>
      <c r="E205" s="39" t="s">
        <v>2795</v>
      </c>
      <c r="F205" s="39" t="s">
        <v>619</v>
      </c>
      <c r="G205" s="39">
        <v>8672060506</v>
      </c>
      <c r="H205" s="39" t="s">
        <v>620</v>
      </c>
      <c r="I205" s="39" t="s">
        <v>621</v>
      </c>
      <c r="J205" s="39" t="s">
        <v>310</v>
      </c>
      <c r="K205" s="39" t="s">
        <v>32</v>
      </c>
      <c r="L205" s="44">
        <v>6285773051597</v>
      </c>
      <c r="M205" s="39" t="s">
        <v>622</v>
      </c>
      <c r="N205" s="39" t="s">
        <v>312</v>
      </c>
      <c r="O205" s="39" t="s">
        <v>623</v>
      </c>
      <c r="P205" s="39" t="s">
        <v>617</v>
      </c>
      <c r="Q205" s="39" t="s">
        <v>618</v>
      </c>
      <c r="R205" s="39" t="s">
        <v>2160</v>
      </c>
      <c r="S205" s="39" t="s">
        <v>2161</v>
      </c>
      <c r="T205" s="39">
        <v>8672060506</v>
      </c>
    </row>
    <row r="206" spans="1:20">
      <c r="A206" s="39" t="s">
        <v>21</v>
      </c>
      <c r="B206" s="39" t="s">
        <v>2751</v>
      </c>
      <c r="C206" s="39" t="s">
        <v>2809</v>
      </c>
      <c r="D206" s="39" t="s">
        <v>131</v>
      </c>
      <c r="E206" s="39" t="s">
        <v>2795</v>
      </c>
      <c r="F206" s="39" t="s">
        <v>1063</v>
      </c>
      <c r="G206" s="39">
        <v>8749949547</v>
      </c>
      <c r="H206" s="39" t="s">
        <v>1064</v>
      </c>
      <c r="I206" s="39" t="s">
        <v>1065</v>
      </c>
      <c r="J206" s="39" t="s">
        <v>310</v>
      </c>
      <c r="K206" s="39" t="s">
        <v>32</v>
      </c>
      <c r="L206" s="44">
        <v>6285777565554</v>
      </c>
      <c r="M206" s="39" t="s">
        <v>1066</v>
      </c>
      <c r="N206" s="39" t="s">
        <v>312</v>
      </c>
      <c r="O206" s="39" t="s">
        <v>1067</v>
      </c>
      <c r="P206" s="39" t="s">
        <v>1061</v>
      </c>
      <c r="Q206" s="39" t="s">
        <v>1062</v>
      </c>
      <c r="R206" s="39" t="s">
        <v>2268</v>
      </c>
      <c r="S206" s="39" t="s">
        <v>2269</v>
      </c>
      <c r="T206" s="39">
        <v>8749949547</v>
      </c>
    </row>
    <row r="207" spans="1:20">
      <c r="A207" s="39" t="s">
        <v>21</v>
      </c>
      <c r="B207" s="39" t="s">
        <v>2752</v>
      </c>
      <c r="C207" s="39" t="s">
        <v>2806</v>
      </c>
      <c r="D207" s="39" t="s">
        <v>251</v>
      </c>
      <c r="E207" s="39" t="s">
        <v>2796</v>
      </c>
      <c r="F207" s="39" t="s">
        <v>256</v>
      </c>
      <c r="G207" s="39">
        <v>948101147</v>
      </c>
      <c r="H207" s="39" t="s">
        <v>257</v>
      </c>
      <c r="I207" s="39" t="s">
        <v>258</v>
      </c>
      <c r="J207" s="39" t="s">
        <v>119</v>
      </c>
      <c r="K207" s="39" t="s">
        <v>32</v>
      </c>
      <c r="L207" s="44">
        <v>6285714183352</v>
      </c>
      <c r="O207" s="39" t="s">
        <v>259</v>
      </c>
      <c r="P207" s="39">
        <v>2613051196</v>
      </c>
      <c r="Q207" s="39" t="s">
        <v>255</v>
      </c>
      <c r="R207" s="39" t="s">
        <v>2058</v>
      </c>
      <c r="S207" s="39" t="s">
        <v>2059</v>
      </c>
      <c r="T207" s="39">
        <v>948101147</v>
      </c>
    </row>
    <row r="208" spans="1:20">
      <c r="A208" s="39" t="s">
        <v>21</v>
      </c>
      <c r="B208" s="39" t="s">
        <v>2752</v>
      </c>
      <c r="C208" s="39" t="s">
        <v>2806</v>
      </c>
      <c r="D208" s="39" t="s">
        <v>251</v>
      </c>
      <c r="E208" s="39" t="s">
        <v>2796</v>
      </c>
      <c r="F208" s="39" t="s">
        <v>261</v>
      </c>
      <c r="H208" s="39" t="s">
        <v>262</v>
      </c>
      <c r="I208" s="39" t="s">
        <v>263</v>
      </c>
      <c r="J208" s="39" t="s">
        <v>68</v>
      </c>
      <c r="K208" s="39" t="s">
        <v>32</v>
      </c>
      <c r="L208" s="44">
        <v>6285714193988</v>
      </c>
      <c r="O208" s="39" t="s">
        <v>264</v>
      </c>
      <c r="P208" s="39">
        <v>2613051197</v>
      </c>
      <c r="Q208" s="39" t="s">
        <v>260</v>
      </c>
      <c r="R208" s="39" t="s">
        <v>2060</v>
      </c>
      <c r="S208" s="39" t="s">
        <v>2061</v>
      </c>
      <c r="T208" s="39">
        <v>8995921648</v>
      </c>
    </row>
    <row r="209" spans="1:20">
      <c r="A209" s="39" t="s">
        <v>21</v>
      </c>
      <c r="B209" s="39" t="s">
        <v>2752</v>
      </c>
      <c r="C209" s="39" t="s">
        <v>2806</v>
      </c>
      <c r="D209" s="39" t="s">
        <v>251</v>
      </c>
      <c r="E209" s="39" t="s">
        <v>2796</v>
      </c>
      <c r="F209" s="39" t="s">
        <v>266</v>
      </c>
      <c r="H209" s="39" t="s">
        <v>267</v>
      </c>
      <c r="I209" s="39" t="s">
        <v>268</v>
      </c>
      <c r="J209" s="39" t="s">
        <v>68</v>
      </c>
      <c r="K209" s="39" t="s">
        <v>32</v>
      </c>
      <c r="L209" s="44">
        <v>628567799578</v>
      </c>
      <c r="O209" s="39" t="s">
        <v>269</v>
      </c>
      <c r="P209" s="39">
        <v>2613051371</v>
      </c>
      <c r="Q209" s="39" t="s">
        <v>265</v>
      </c>
      <c r="R209" s="39" t="s">
        <v>2062</v>
      </c>
      <c r="S209" s="39" t="s">
        <v>2063</v>
      </c>
    </row>
    <row r="210" spans="1:20">
      <c r="A210" s="39" t="s">
        <v>21</v>
      </c>
      <c r="B210" s="39" t="s">
        <v>2752</v>
      </c>
      <c r="C210" s="39" t="s">
        <v>2806</v>
      </c>
      <c r="D210" s="39" t="s">
        <v>251</v>
      </c>
      <c r="E210" s="39" t="s">
        <v>2796</v>
      </c>
      <c r="F210" s="39" t="s">
        <v>1152</v>
      </c>
      <c r="G210" s="39">
        <v>8840096607</v>
      </c>
      <c r="H210" s="39" t="s">
        <v>1153</v>
      </c>
      <c r="I210" s="39" t="s">
        <v>1154</v>
      </c>
      <c r="J210" s="39" t="s">
        <v>68</v>
      </c>
      <c r="K210" s="39" t="s">
        <v>32</v>
      </c>
      <c r="L210" s="44">
        <v>6285716960151</v>
      </c>
      <c r="O210" s="39" t="s">
        <v>1155</v>
      </c>
      <c r="P210" s="39" t="s">
        <v>1150</v>
      </c>
      <c r="Q210" s="39" t="s">
        <v>1151</v>
      </c>
      <c r="R210" s="39" t="s">
        <v>2296</v>
      </c>
      <c r="S210" s="39" t="s">
        <v>2297</v>
      </c>
      <c r="T210" s="39">
        <v>8840096607</v>
      </c>
    </row>
    <row r="211" spans="1:20">
      <c r="A211" s="39" t="s">
        <v>21</v>
      </c>
      <c r="B211" s="39" t="s">
        <v>2752</v>
      </c>
      <c r="C211" s="39" t="s">
        <v>2806</v>
      </c>
      <c r="D211" s="39" t="s">
        <v>251</v>
      </c>
      <c r="E211" s="39" t="s">
        <v>2796</v>
      </c>
      <c r="F211" s="39" t="s">
        <v>1158</v>
      </c>
      <c r="G211" s="39">
        <v>8680012322</v>
      </c>
      <c r="H211" s="39" t="s">
        <v>1159</v>
      </c>
      <c r="I211" s="39" t="s">
        <v>1160</v>
      </c>
      <c r="J211" s="39" t="s">
        <v>119</v>
      </c>
      <c r="K211" s="39" t="s">
        <v>32</v>
      </c>
      <c r="L211" s="44">
        <v>6285777218168</v>
      </c>
      <c r="O211" s="39" t="s">
        <v>1161</v>
      </c>
      <c r="P211" s="39" t="s">
        <v>1156</v>
      </c>
      <c r="Q211" s="39" t="s">
        <v>1157</v>
      </c>
      <c r="R211" s="39" t="s">
        <v>2298</v>
      </c>
      <c r="S211" s="39" t="s">
        <v>2299</v>
      </c>
      <c r="T211" s="39">
        <v>8680012322</v>
      </c>
    </row>
    <row r="212" spans="1:20">
      <c r="A212" s="39" t="s">
        <v>21</v>
      </c>
      <c r="B212" s="39" t="s">
        <v>2752</v>
      </c>
      <c r="C212" s="39" t="s">
        <v>2806</v>
      </c>
      <c r="D212" s="39" t="s">
        <v>251</v>
      </c>
      <c r="E212" s="39" t="s">
        <v>2796</v>
      </c>
      <c r="F212" s="39" t="s">
        <v>1164</v>
      </c>
      <c r="G212" s="39">
        <v>8806206034</v>
      </c>
      <c r="H212" s="39" t="s">
        <v>1165</v>
      </c>
      <c r="I212" s="39" t="s">
        <v>1166</v>
      </c>
      <c r="J212" s="39" t="s">
        <v>68</v>
      </c>
      <c r="K212" s="39" t="s">
        <v>32</v>
      </c>
      <c r="L212" s="44">
        <v>6285711122768</v>
      </c>
      <c r="O212" s="39" t="s">
        <v>1167</v>
      </c>
      <c r="P212" s="39" t="s">
        <v>1162</v>
      </c>
      <c r="Q212" s="39" t="s">
        <v>1163</v>
      </c>
      <c r="R212" s="39" t="s">
        <v>2300</v>
      </c>
      <c r="S212" s="39" t="s">
        <v>2301</v>
      </c>
      <c r="T212" s="39">
        <v>8806206034</v>
      </c>
    </row>
    <row r="213" spans="1:20">
      <c r="A213" s="39" t="s">
        <v>21</v>
      </c>
      <c r="B213" s="39" t="s">
        <v>2752</v>
      </c>
      <c r="C213" s="39" t="s">
        <v>2806</v>
      </c>
      <c r="D213" s="39" t="s">
        <v>251</v>
      </c>
      <c r="E213" s="39" t="s">
        <v>2796</v>
      </c>
      <c r="F213" s="39" t="s">
        <v>1170</v>
      </c>
      <c r="G213" s="39">
        <v>7314006520</v>
      </c>
      <c r="H213" s="39" t="s">
        <v>1171</v>
      </c>
      <c r="I213" s="39" t="s">
        <v>1172</v>
      </c>
      <c r="J213" s="39" t="s">
        <v>68</v>
      </c>
      <c r="K213" s="39" t="s">
        <v>32</v>
      </c>
      <c r="L213" s="44">
        <v>6285711122775</v>
      </c>
      <c r="O213" s="39" t="s">
        <v>1173</v>
      </c>
      <c r="P213" s="39" t="s">
        <v>1168</v>
      </c>
      <c r="Q213" s="39" t="s">
        <v>1169</v>
      </c>
      <c r="R213" s="39" t="s">
        <v>2302</v>
      </c>
      <c r="S213" s="39" t="s">
        <v>2303</v>
      </c>
      <c r="T213" s="39">
        <v>7314006520</v>
      </c>
    </row>
    <row r="214" spans="1:20">
      <c r="A214" s="39" t="s">
        <v>21</v>
      </c>
      <c r="B214" s="39" t="s">
        <v>2752</v>
      </c>
      <c r="C214" s="39" t="s">
        <v>2806</v>
      </c>
      <c r="D214" s="39" t="s">
        <v>251</v>
      </c>
      <c r="E214" s="39" t="s">
        <v>2796</v>
      </c>
      <c r="F214" s="39" t="s">
        <v>2613</v>
      </c>
      <c r="I214" s="77" t="s">
        <v>2614</v>
      </c>
      <c r="L214" s="44">
        <v>6281511043226</v>
      </c>
      <c r="O214" s="39" t="s">
        <v>304</v>
      </c>
    </row>
    <row r="215" spans="1:20">
      <c r="A215" s="39" t="s">
        <v>21</v>
      </c>
      <c r="B215" s="39" t="s">
        <v>2752</v>
      </c>
      <c r="C215" s="39" t="s">
        <v>2806</v>
      </c>
      <c r="D215" s="39" t="s">
        <v>251</v>
      </c>
      <c r="E215" s="39" t="s">
        <v>2796</v>
      </c>
      <c r="F215" s="39" t="s">
        <v>1176</v>
      </c>
      <c r="G215" s="39">
        <v>1263617446</v>
      </c>
      <c r="H215" s="39" t="s">
        <v>1177</v>
      </c>
      <c r="I215" s="39" t="s">
        <v>1178</v>
      </c>
      <c r="J215" s="39" t="s">
        <v>68</v>
      </c>
      <c r="K215" s="39" t="s">
        <v>32</v>
      </c>
      <c r="L215" s="44">
        <v>6285777217965</v>
      </c>
      <c r="O215" s="39" t="s">
        <v>1179</v>
      </c>
      <c r="P215" s="39" t="s">
        <v>1174</v>
      </c>
      <c r="Q215" s="39" t="s">
        <v>1175</v>
      </c>
      <c r="R215" s="39" t="s">
        <v>2304</v>
      </c>
      <c r="S215" s="39" t="s">
        <v>2305</v>
      </c>
      <c r="T215" s="39">
        <v>1263617446</v>
      </c>
    </row>
    <row r="216" spans="1:20">
      <c r="A216" s="39" t="s">
        <v>21</v>
      </c>
      <c r="B216" s="39" t="s">
        <v>2752</v>
      </c>
      <c r="C216" s="39" t="s">
        <v>2806</v>
      </c>
      <c r="D216" s="39" t="s">
        <v>181</v>
      </c>
      <c r="E216" s="39" t="s">
        <v>2797</v>
      </c>
      <c r="F216" s="39" t="s">
        <v>186</v>
      </c>
      <c r="G216" s="39">
        <v>723738544</v>
      </c>
      <c r="H216" s="39" t="s">
        <v>187</v>
      </c>
      <c r="I216" s="39" t="s">
        <v>188</v>
      </c>
      <c r="J216" s="39" t="s">
        <v>68</v>
      </c>
      <c r="K216" s="39" t="s">
        <v>32</v>
      </c>
      <c r="L216" s="44">
        <v>6285782299524</v>
      </c>
      <c r="O216" s="39" t="s">
        <v>189</v>
      </c>
      <c r="P216" s="39">
        <v>2613051010</v>
      </c>
      <c r="Q216" s="39" t="s">
        <v>185</v>
      </c>
      <c r="R216" s="39" t="s">
        <v>2032</v>
      </c>
      <c r="S216" s="39" t="s">
        <v>2033</v>
      </c>
      <c r="T216" s="39">
        <v>723738544</v>
      </c>
    </row>
    <row r="217" spans="1:20">
      <c r="A217" s="39" t="s">
        <v>21</v>
      </c>
      <c r="B217" s="39" t="s">
        <v>2752</v>
      </c>
      <c r="C217" s="39" t="s">
        <v>2806</v>
      </c>
      <c r="D217" s="39" t="s">
        <v>181</v>
      </c>
      <c r="E217" s="39" t="s">
        <v>2797</v>
      </c>
      <c r="F217" s="39" t="s">
        <v>191</v>
      </c>
      <c r="G217" s="39">
        <v>258896308</v>
      </c>
      <c r="H217" s="39" t="s">
        <v>192</v>
      </c>
      <c r="I217" s="39" t="s">
        <v>193</v>
      </c>
      <c r="J217" s="39" t="s">
        <v>68</v>
      </c>
      <c r="K217" s="39" t="s">
        <v>32</v>
      </c>
      <c r="L217" s="44">
        <v>6285777188892</v>
      </c>
      <c r="O217" s="39" t="s">
        <v>194</v>
      </c>
      <c r="P217" s="39">
        <v>2613051011</v>
      </c>
      <c r="Q217" s="39" t="s">
        <v>190</v>
      </c>
      <c r="R217" s="39" t="s">
        <v>2034</v>
      </c>
      <c r="S217" s="39" t="s">
        <v>2035</v>
      </c>
      <c r="T217" s="39">
        <v>258896308</v>
      </c>
    </row>
    <row r="218" spans="1:20">
      <c r="A218" s="39" t="s">
        <v>21</v>
      </c>
      <c r="B218" s="39" t="s">
        <v>2752</v>
      </c>
      <c r="C218" s="39" t="s">
        <v>2806</v>
      </c>
      <c r="D218" s="39" t="s">
        <v>181</v>
      </c>
      <c r="E218" s="39" t="s">
        <v>2797</v>
      </c>
      <c r="F218" s="39" t="s">
        <v>206</v>
      </c>
      <c r="H218" s="39" t="s">
        <v>207</v>
      </c>
      <c r="I218" s="39" t="s">
        <v>208</v>
      </c>
      <c r="J218" s="39" t="s">
        <v>68</v>
      </c>
      <c r="K218" s="39" t="s">
        <v>32</v>
      </c>
      <c r="L218" s="44">
        <v>6285772279482</v>
      </c>
      <c r="O218" s="39" t="s">
        <v>209</v>
      </c>
      <c r="P218" s="39">
        <v>2613051039</v>
      </c>
      <c r="Q218" s="39" t="s">
        <v>205</v>
      </c>
      <c r="R218" s="39" t="s">
        <v>2040</v>
      </c>
      <c r="S218" s="39" t="s">
        <v>2041</v>
      </c>
      <c r="T218" s="39">
        <v>8853751295</v>
      </c>
    </row>
    <row r="219" spans="1:20">
      <c r="A219" s="39" t="s">
        <v>21</v>
      </c>
      <c r="B219" s="39" t="s">
        <v>2752</v>
      </c>
      <c r="C219" s="39" t="s">
        <v>2806</v>
      </c>
      <c r="D219" s="39" t="s">
        <v>181</v>
      </c>
      <c r="E219" s="39" t="s">
        <v>2797</v>
      </c>
      <c r="F219" s="39" t="s">
        <v>211</v>
      </c>
      <c r="G219" s="39">
        <v>8847519694</v>
      </c>
      <c r="H219" s="39" t="s">
        <v>212</v>
      </c>
      <c r="I219" s="39" t="s">
        <v>213</v>
      </c>
      <c r="J219" s="39" t="s">
        <v>68</v>
      </c>
      <c r="K219" s="39" t="s">
        <v>32</v>
      </c>
      <c r="L219" s="44">
        <v>6285892021430</v>
      </c>
      <c r="O219" s="39" t="s">
        <v>214</v>
      </c>
      <c r="P219" s="39">
        <v>2613051040</v>
      </c>
      <c r="Q219" s="39" t="s">
        <v>210</v>
      </c>
      <c r="R219" s="39" t="s">
        <v>2042</v>
      </c>
      <c r="S219" s="39" t="s">
        <v>2043</v>
      </c>
      <c r="T219" s="39">
        <v>8847519694</v>
      </c>
    </row>
    <row r="220" spans="1:20">
      <c r="A220" s="39" t="s">
        <v>21</v>
      </c>
      <c r="B220" s="39" t="s">
        <v>2752</v>
      </c>
      <c r="C220" s="39" t="s">
        <v>2806</v>
      </c>
      <c r="D220" s="39" t="s">
        <v>181</v>
      </c>
      <c r="E220" s="39" t="s">
        <v>2797</v>
      </c>
      <c r="F220" s="39" t="s">
        <v>247</v>
      </c>
      <c r="G220" s="39">
        <v>7135098894</v>
      </c>
      <c r="H220" s="39" t="s">
        <v>248</v>
      </c>
      <c r="I220" s="39" t="s">
        <v>249</v>
      </c>
      <c r="J220" s="39" t="s">
        <v>68</v>
      </c>
      <c r="K220" s="39" t="s">
        <v>32</v>
      </c>
      <c r="L220" s="44">
        <v>6285714181518</v>
      </c>
      <c r="O220" s="39" t="s">
        <v>250</v>
      </c>
      <c r="P220" s="39">
        <v>2613051141</v>
      </c>
      <c r="Q220" s="39" t="s">
        <v>246</v>
      </c>
      <c r="R220" s="39" t="s">
        <v>2056</v>
      </c>
      <c r="S220" s="39" t="s">
        <v>2057</v>
      </c>
      <c r="T220" s="39">
        <v>7135098894</v>
      </c>
    </row>
    <row r="221" spans="1:20">
      <c r="A221" s="39" t="s">
        <v>21</v>
      </c>
      <c r="B221" s="39" t="s">
        <v>2752</v>
      </c>
      <c r="C221" s="39" t="s">
        <v>2806</v>
      </c>
      <c r="D221" s="39" t="s">
        <v>181</v>
      </c>
      <c r="E221" s="39" t="s">
        <v>2797</v>
      </c>
      <c r="F221" s="39" t="s">
        <v>1364</v>
      </c>
      <c r="G221" s="39">
        <v>242669383</v>
      </c>
      <c r="H221" s="39" t="s">
        <v>1365</v>
      </c>
      <c r="I221" s="39" t="s">
        <v>1366</v>
      </c>
      <c r="J221" s="39" t="s">
        <v>68</v>
      </c>
      <c r="K221" s="39" t="s">
        <v>32</v>
      </c>
      <c r="L221" s="44">
        <v>6285711122656</v>
      </c>
      <c r="O221" s="39" t="s">
        <v>1367</v>
      </c>
      <c r="P221" s="39" t="s">
        <v>1362</v>
      </c>
      <c r="Q221" s="39" t="s">
        <v>1363</v>
      </c>
      <c r="R221" s="39" t="s">
        <v>2350</v>
      </c>
      <c r="S221" s="39" t="s">
        <v>2351</v>
      </c>
      <c r="T221" s="39">
        <v>242669383</v>
      </c>
    </row>
    <row r="222" spans="1:20">
      <c r="A222" s="39" t="s">
        <v>21</v>
      </c>
      <c r="B222" s="39" t="s">
        <v>2752</v>
      </c>
      <c r="C222" s="39" t="s">
        <v>2806</v>
      </c>
      <c r="D222" s="39" t="s">
        <v>181</v>
      </c>
      <c r="E222" s="39" t="s">
        <v>2797</v>
      </c>
      <c r="F222" s="39" t="s">
        <v>1370</v>
      </c>
      <c r="G222" s="39">
        <v>8901868612</v>
      </c>
      <c r="H222" s="39" t="s">
        <v>1371</v>
      </c>
      <c r="I222" s="39" t="s">
        <v>1372</v>
      </c>
      <c r="J222" s="39" t="s">
        <v>68</v>
      </c>
      <c r="K222" s="39" t="s">
        <v>32</v>
      </c>
      <c r="L222" s="44">
        <v>6285711122663</v>
      </c>
      <c r="O222" s="39" t="s">
        <v>1373</v>
      </c>
      <c r="P222" s="39" t="s">
        <v>1368</v>
      </c>
      <c r="Q222" s="39" t="s">
        <v>1369</v>
      </c>
      <c r="R222" s="39" t="s">
        <v>2352</v>
      </c>
      <c r="S222" s="39" t="s">
        <v>2353</v>
      </c>
      <c r="T222" s="39">
        <v>8901868612</v>
      </c>
    </row>
    <row r="223" spans="1:20">
      <c r="A223" s="39" t="s">
        <v>21</v>
      </c>
      <c r="B223" s="39" t="s">
        <v>2752</v>
      </c>
      <c r="C223" s="39" t="s">
        <v>2806</v>
      </c>
      <c r="D223" s="39" t="s">
        <v>181</v>
      </c>
      <c r="E223" s="39" t="s">
        <v>2797</v>
      </c>
      <c r="F223" s="39" t="s">
        <v>1376</v>
      </c>
      <c r="G223" s="39">
        <v>8478783688</v>
      </c>
      <c r="H223" s="39" t="s">
        <v>1377</v>
      </c>
      <c r="I223" s="39" t="s">
        <v>1378</v>
      </c>
      <c r="J223" s="39" t="s">
        <v>68</v>
      </c>
      <c r="K223" s="39" t="s">
        <v>32</v>
      </c>
      <c r="L223" s="44">
        <v>6285711122856</v>
      </c>
      <c r="O223" s="39" t="s">
        <v>1379</v>
      </c>
      <c r="P223" s="39" t="s">
        <v>1374</v>
      </c>
      <c r="Q223" s="39" t="s">
        <v>1375</v>
      </c>
      <c r="R223" s="39" t="s">
        <v>2354</v>
      </c>
      <c r="S223" s="39" t="s">
        <v>2355</v>
      </c>
      <c r="T223" s="39">
        <v>8478783688</v>
      </c>
    </row>
    <row r="224" spans="1:20">
      <c r="A224" s="39" t="s">
        <v>21</v>
      </c>
      <c r="B224" s="39" t="s">
        <v>2752</v>
      </c>
      <c r="C224" s="39" t="s">
        <v>2806</v>
      </c>
      <c r="D224" s="39" t="s">
        <v>181</v>
      </c>
      <c r="E224" s="39" t="s">
        <v>2797</v>
      </c>
      <c r="F224" s="39" t="s">
        <v>1382</v>
      </c>
      <c r="H224" s="39" t="s">
        <v>1383</v>
      </c>
      <c r="I224" s="39" t="s">
        <v>1384</v>
      </c>
      <c r="J224" s="39" t="s">
        <v>68</v>
      </c>
      <c r="K224" s="39" t="s">
        <v>32</v>
      </c>
      <c r="L224" s="44">
        <v>6285711122858</v>
      </c>
      <c r="O224" s="39" t="s">
        <v>1385</v>
      </c>
      <c r="P224" s="39" t="s">
        <v>1380</v>
      </c>
      <c r="Q224" s="39" t="s">
        <v>1381</v>
      </c>
      <c r="R224" s="39" t="s">
        <v>2356</v>
      </c>
      <c r="S224" s="39" t="s">
        <v>2357</v>
      </c>
      <c r="T224" s="39">
        <v>8557831115</v>
      </c>
    </row>
    <row r="225" spans="1:20">
      <c r="A225" s="39" t="s">
        <v>21</v>
      </c>
      <c r="B225" s="39" t="s">
        <v>2752</v>
      </c>
      <c r="C225" s="39" t="s">
        <v>2806</v>
      </c>
      <c r="D225" s="39" t="s">
        <v>161</v>
      </c>
      <c r="E225" s="39" t="s">
        <v>2798</v>
      </c>
      <c r="F225" s="39" t="s">
        <v>167</v>
      </c>
      <c r="G225" s="39">
        <v>786835196</v>
      </c>
      <c r="H225" s="39" t="s">
        <v>168</v>
      </c>
      <c r="I225" s="39" t="s">
        <v>169</v>
      </c>
      <c r="J225" s="39" t="s">
        <v>68</v>
      </c>
      <c r="K225" s="39" t="s">
        <v>32</v>
      </c>
      <c r="L225" s="44">
        <v>6285892014016</v>
      </c>
      <c r="O225" s="39" t="s">
        <v>170</v>
      </c>
      <c r="P225" s="39">
        <v>2613051003</v>
      </c>
      <c r="Q225" s="39" t="s">
        <v>166</v>
      </c>
      <c r="R225" s="39" t="s">
        <v>2026</v>
      </c>
      <c r="S225" s="39" t="s">
        <v>2027</v>
      </c>
      <c r="T225" s="39">
        <v>786835196</v>
      </c>
    </row>
    <row r="226" spans="1:20">
      <c r="A226" s="39" t="s">
        <v>21</v>
      </c>
      <c r="B226" s="39" t="s">
        <v>2752</v>
      </c>
      <c r="C226" s="39" t="s">
        <v>2806</v>
      </c>
      <c r="D226" s="39" t="s">
        <v>161</v>
      </c>
      <c r="E226" s="39" t="s">
        <v>2798</v>
      </c>
      <c r="F226" s="39" t="s">
        <v>172</v>
      </c>
      <c r="G226" s="39">
        <v>6455865390</v>
      </c>
      <c r="H226" s="39" t="s">
        <v>173</v>
      </c>
      <c r="I226" s="39" t="s">
        <v>174</v>
      </c>
      <c r="J226" s="39" t="s">
        <v>68</v>
      </c>
      <c r="K226" s="39" t="s">
        <v>32</v>
      </c>
      <c r="L226" s="44">
        <v>6285892009255</v>
      </c>
      <c r="O226" s="39" t="s">
        <v>175</v>
      </c>
      <c r="P226" s="39">
        <v>2613051004</v>
      </c>
      <c r="Q226" s="39" t="s">
        <v>171</v>
      </c>
      <c r="R226" s="39" t="s">
        <v>2028</v>
      </c>
      <c r="S226" s="39" t="s">
        <v>2029</v>
      </c>
      <c r="T226" s="39">
        <v>6455865390</v>
      </c>
    </row>
    <row r="227" spans="1:20">
      <c r="A227" s="39" t="s">
        <v>21</v>
      </c>
      <c r="B227" s="39" t="s">
        <v>2752</v>
      </c>
      <c r="C227" s="39" t="s">
        <v>2806</v>
      </c>
      <c r="D227" s="39" t="s">
        <v>161</v>
      </c>
      <c r="E227" s="39" t="s">
        <v>2798</v>
      </c>
      <c r="F227" s="39" t="s">
        <v>177</v>
      </c>
      <c r="G227" s="39">
        <v>7897818692</v>
      </c>
      <c r="H227" s="39" t="s">
        <v>178</v>
      </c>
      <c r="I227" s="39" t="s">
        <v>179</v>
      </c>
      <c r="J227" s="39" t="s">
        <v>68</v>
      </c>
      <c r="K227" s="39" t="s">
        <v>32</v>
      </c>
      <c r="L227" s="44">
        <v>6285882551119</v>
      </c>
      <c r="O227" s="39" t="s">
        <v>180</v>
      </c>
      <c r="P227" s="39">
        <v>2613051005</v>
      </c>
      <c r="Q227" s="39" t="s">
        <v>176</v>
      </c>
      <c r="R227" s="39" t="s">
        <v>2030</v>
      </c>
      <c r="S227" s="39" t="s">
        <v>2031</v>
      </c>
      <c r="T227" s="39">
        <v>7897818692</v>
      </c>
    </row>
    <row r="228" spans="1:20">
      <c r="A228" s="39" t="s">
        <v>21</v>
      </c>
      <c r="B228" s="39" t="s">
        <v>2752</v>
      </c>
      <c r="C228" s="39" t="s">
        <v>2806</v>
      </c>
      <c r="D228" s="39" t="s">
        <v>161</v>
      </c>
      <c r="E228" s="39" t="s">
        <v>2798</v>
      </c>
      <c r="F228" s="39" t="s">
        <v>196</v>
      </c>
      <c r="G228" s="39">
        <v>8627628057</v>
      </c>
      <c r="H228" s="39" t="s">
        <v>197</v>
      </c>
      <c r="I228" s="39" t="s">
        <v>198</v>
      </c>
      <c r="J228" s="39" t="s">
        <v>68</v>
      </c>
      <c r="K228" s="39" t="s">
        <v>32</v>
      </c>
      <c r="L228" s="44">
        <v>6285882277374</v>
      </c>
      <c r="O228" s="39" t="s">
        <v>199</v>
      </c>
      <c r="P228" s="39">
        <v>2613051012</v>
      </c>
      <c r="Q228" s="39" t="s">
        <v>195</v>
      </c>
      <c r="R228" s="39" t="s">
        <v>2036</v>
      </c>
      <c r="S228" s="39" t="s">
        <v>2037</v>
      </c>
      <c r="T228" s="39">
        <v>8627628057</v>
      </c>
    </row>
    <row r="229" spans="1:20">
      <c r="A229" s="39" t="s">
        <v>21</v>
      </c>
      <c r="B229" s="39" t="s">
        <v>2752</v>
      </c>
      <c r="C229" s="39" t="s">
        <v>2806</v>
      </c>
      <c r="D229" s="39" t="s">
        <v>161</v>
      </c>
      <c r="E229" s="39" t="s">
        <v>2798</v>
      </c>
      <c r="F229" s="39" t="s">
        <v>201</v>
      </c>
      <c r="G229" s="39">
        <v>7793029498</v>
      </c>
      <c r="H229" s="39" t="s">
        <v>202</v>
      </c>
      <c r="I229" s="39" t="s">
        <v>203</v>
      </c>
      <c r="J229" s="39" t="s">
        <v>68</v>
      </c>
      <c r="K229" s="39" t="s">
        <v>32</v>
      </c>
      <c r="L229" s="44">
        <v>6285882605670</v>
      </c>
      <c r="O229" s="39" t="s">
        <v>204</v>
      </c>
      <c r="P229" s="39">
        <v>2613051037</v>
      </c>
      <c r="Q229" s="39" t="s">
        <v>200</v>
      </c>
      <c r="R229" s="39" t="s">
        <v>2038</v>
      </c>
      <c r="S229" s="39" t="s">
        <v>2039</v>
      </c>
      <c r="T229" s="39">
        <v>7793029498</v>
      </c>
    </row>
    <row r="230" spans="1:20">
      <c r="A230" s="39" t="s">
        <v>21</v>
      </c>
      <c r="B230" s="39" t="s">
        <v>2752</v>
      </c>
      <c r="C230" s="39" t="s">
        <v>2806</v>
      </c>
      <c r="D230" s="39" t="s">
        <v>161</v>
      </c>
      <c r="E230" s="39" t="s">
        <v>2798</v>
      </c>
      <c r="F230" s="39" t="s">
        <v>216</v>
      </c>
      <c r="G230" s="39">
        <v>6349509646</v>
      </c>
      <c r="H230" s="39" t="s">
        <v>217</v>
      </c>
      <c r="I230" s="39" t="s">
        <v>218</v>
      </c>
      <c r="J230" s="39" t="s">
        <v>68</v>
      </c>
      <c r="K230" s="39" t="s">
        <v>32</v>
      </c>
      <c r="L230" s="44">
        <v>6285881887988</v>
      </c>
      <c r="O230" s="39" t="s">
        <v>219</v>
      </c>
      <c r="P230" s="39">
        <v>2613051076</v>
      </c>
      <c r="Q230" s="39" t="s">
        <v>215</v>
      </c>
      <c r="R230" s="39" t="s">
        <v>2044</v>
      </c>
      <c r="S230" s="39" t="s">
        <v>2045</v>
      </c>
      <c r="T230" s="39">
        <v>6349509646</v>
      </c>
    </row>
    <row r="231" spans="1:20">
      <c r="A231" s="39" t="s">
        <v>21</v>
      </c>
      <c r="B231" s="39" t="s">
        <v>2752</v>
      </c>
      <c r="C231" s="39" t="s">
        <v>2806</v>
      </c>
      <c r="D231" s="39" t="s">
        <v>161</v>
      </c>
      <c r="E231" s="39" t="s">
        <v>2798</v>
      </c>
      <c r="F231" s="39" t="s">
        <v>1258</v>
      </c>
      <c r="G231" s="39">
        <v>8792720014</v>
      </c>
      <c r="H231" s="39" t="s">
        <v>1259</v>
      </c>
      <c r="I231" s="39" t="s">
        <v>1260</v>
      </c>
      <c r="J231" s="39" t="s">
        <v>119</v>
      </c>
      <c r="K231" s="39" t="s">
        <v>32</v>
      </c>
      <c r="L231" s="44">
        <v>6285711122631</v>
      </c>
      <c r="O231" s="39" t="s">
        <v>1261</v>
      </c>
      <c r="P231" s="39" t="s">
        <v>1256</v>
      </c>
      <c r="Q231" s="39" t="s">
        <v>1257</v>
      </c>
      <c r="R231" s="39" t="s">
        <v>2330</v>
      </c>
      <c r="S231" s="39" t="s">
        <v>2331</v>
      </c>
      <c r="T231" s="39">
        <v>8792720014</v>
      </c>
    </row>
    <row r="232" spans="1:20">
      <c r="A232" s="39" t="s">
        <v>21</v>
      </c>
      <c r="B232" s="39" t="s">
        <v>2752</v>
      </c>
      <c r="C232" s="39" t="s">
        <v>2806</v>
      </c>
      <c r="D232" s="39" t="s">
        <v>161</v>
      </c>
      <c r="E232" s="39" t="s">
        <v>2798</v>
      </c>
      <c r="F232" s="39" t="s">
        <v>1264</v>
      </c>
      <c r="G232" s="39">
        <v>1648983729</v>
      </c>
      <c r="H232" s="39" t="s">
        <v>1265</v>
      </c>
      <c r="I232" s="39" t="s">
        <v>1266</v>
      </c>
      <c r="J232" s="39" t="s">
        <v>68</v>
      </c>
      <c r="K232" s="39" t="s">
        <v>32</v>
      </c>
      <c r="L232" s="44">
        <v>6285711122665</v>
      </c>
      <c r="O232" s="39" t="s">
        <v>1267</v>
      </c>
      <c r="P232" s="39" t="s">
        <v>1262</v>
      </c>
      <c r="Q232" s="39" t="s">
        <v>1263</v>
      </c>
      <c r="R232" s="39" t="s">
        <v>2332</v>
      </c>
      <c r="S232" s="39" t="s">
        <v>2333</v>
      </c>
      <c r="T232" s="39">
        <v>1648983729</v>
      </c>
    </row>
    <row r="233" spans="1:20">
      <c r="A233" s="39" t="s">
        <v>21</v>
      </c>
      <c r="B233" s="39" t="s">
        <v>2752</v>
      </c>
      <c r="C233" s="39" t="s">
        <v>2806</v>
      </c>
      <c r="D233" s="39" t="s">
        <v>161</v>
      </c>
      <c r="E233" s="39" t="s">
        <v>2798</v>
      </c>
      <c r="F233" s="39" t="s">
        <v>1270</v>
      </c>
      <c r="G233" s="39">
        <v>866507576</v>
      </c>
      <c r="H233" s="39" t="s">
        <v>1271</v>
      </c>
      <c r="I233" s="39" t="s">
        <v>1272</v>
      </c>
      <c r="J233" s="39" t="s">
        <v>68</v>
      </c>
      <c r="K233" s="39" t="s">
        <v>32</v>
      </c>
      <c r="L233" s="44">
        <v>6285711122667</v>
      </c>
      <c r="O233" s="39" t="s">
        <v>1273</v>
      </c>
      <c r="P233" s="39" t="s">
        <v>1268</v>
      </c>
      <c r="Q233" s="39" t="s">
        <v>1269</v>
      </c>
      <c r="R233" s="39" t="s">
        <v>2334</v>
      </c>
      <c r="S233" s="39" t="s">
        <v>2335</v>
      </c>
      <c r="T233" s="39">
        <v>866507576</v>
      </c>
    </row>
    <row r="234" spans="1:20">
      <c r="A234" s="39" t="s">
        <v>21</v>
      </c>
      <c r="B234" s="39" t="s">
        <v>2752</v>
      </c>
      <c r="C234" s="39" t="s">
        <v>2806</v>
      </c>
      <c r="D234" s="39" t="s">
        <v>161</v>
      </c>
      <c r="E234" s="39" t="s">
        <v>2798</v>
      </c>
      <c r="F234" s="39" t="s">
        <v>1276</v>
      </c>
      <c r="G234" s="39">
        <v>8991617116</v>
      </c>
      <c r="H234" s="39" t="s">
        <v>1277</v>
      </c>
      <c r="I234" s="39" t="s">
        <v>1278</v>
      </c>
      <c r="J234" s="39" t="s">
        <v>68</v>
      </c>
      <c r="K234" s="39" t="s">
        <v>32</v>
      </c>
      <c r="L234" s="44">
        <v>6285711122669</v>
      </c>
      <c r="O234" s="39" t="s">
        <v>1279</v>
      </c>
      <c r="P234" s="39" t="s">
        <v>1274</v>
      </c>
      <c r="Q234" s="39" t="s">
        <v>1275</v>
      </c>
      <c r="R234" s="39" t="s">
        <v>2336</v>
      </c>
      <c r="S234" s="39" t="s">
        <v>2337</v>
      </c>
      <c r="T234" s="39">
        <v>8991617116</v>
      </c>
    </row>
    <row r="235" spans="1:20">
      <c r="A235" s="39" t="s">
        <v>21</v>
      </c>
      <c r="B235" s="39" t="s">
        <v>2752</v>
      </c>
      <c r="C235" s="39" t="s">
        <v>2806</v>
      </c>
      <c r="D235" s="39" t="s">
        <v>161</v>
      </c>
      <c r="E235" s="39" t="s">
        <v>2798</v>
      </c>
      <c r="F235" s="39" t="s">
        <v>1282</v>
      </c>
      <c r="G235" s="39">
        <v>8611405161</v>
      </c>
      <c r="H235" s="39" t="s">
        <v>1283</v>
      </c>
      <c r="I235" s="39" t="s">
        <v>1284</v>
      </c>
      <c r="J235" s="39" t="s">
        <v>68</v>
      </c>
      <c r="K235" s="39" t="s">
        <v>32</v>
      </c>
      <c r="L235" s="44">
        <v>6285711122760</v>
      </c>
      <c r="O235" s="39" t="s">
        <v>1285</v>
      </c>
      <c r="P235" s="39" t="s">
        <v>1280</v>
      </c>
      <c r="Q235" s="39" t="s">
        <v>1281</v>
      </c>
      <c r="R235" s="39" t="s">
        <v>2338</v>
      </c>
      <c r="S235" s="39" t="s">
        <v>2339</v>
      </c>
      <c r="T235" s="39">
        <v>8611405161</v>
      </c>
    </row>
    <row r="236" spans="1:20">
      <c r="A236" s="39" t="s">
        <v>21</v>
      </c>
      <c r="B236" s="39" t="s">
        <v>2752</v>
      </c>
      <c r="C236" s="39" t="s">
        <v>2806</v>
      </c>
      <c r="D236" s="39" t="s">
        <v>161</v>
      </c>
      <c r="E236" s="39" t="s">
        <v>2798</v>
      </c>
      <c r="F236" s="39" t="s">
        <v>1288</v>
      </c>
      <c r="G236" s="39">
        <v>8435742050</v>
      </c>
      <c r="H236" s="39" t="s">
        <v>1289</v>
      </c>
      <c r="I236" s="39" t="s">
        <v>1290</v>
      </c>
      <c r="J236" s="39" t="s">
        <v>68</v>
      </c>
      <c r="K236" s="39" t="s">
        <v>32</v>
      </c>
      <c r="L236" s="44">
        <v>6285711122864</v>
      </c>
      <c r="O236" s="39" t="s">
        <v>1291</v>
      </c>
      <c r="P236" s="39" t="s">
        <v>1286</v>
      </c>
      <c r="Q236" s="39" t="s">
        <v>1287</v>
      </c>
      <c r="R236" s="39" t="s">
        <v>2340</v>
      </c>
      <c r="S236" s="39" t="s">
        <v>2341</v>
      </c>
      <c r="T236" s="39">
        <v>8435742050</v>
      </c>
    </row>
    <row r="237" spans="1:20">
      <c r="A237" s="39" t="s">
        <v>21</v>
      </c>
      <c r="B237" s="39" t="s">
        <v>2751</v>
      </c>
      <c r="C237" s="39" t="s">
        <v>2809</v>
      </c>
      <c r="D237" s="39" t="s">
        <v>82</v>
      </c>
      <c r="E237" s="39" t="s">
        <v>2799</v>
      </c>
      <c r="F237" s="39" t="s">
        <v>89</v>
      </c>
      <c r="G237" s="39">
        <v>8880045278</v>
      </c>
      <c r="H237" s="39" t="s">
        <v>90</v>
      </c>
      <c r="I237" s="39" t="s">
        <v>91</v>
      </c>
      <c r="J237" s="39" t="s">
        <v>68</v>
      </c>
      <c r="L237" s="44">
        <v>6285717747490</v>
      </c>
      <c r="O237" s="39" t="s">
        <v>92</v>
      </c>
      <c r="P237" s="39">
        <v>2613050705</v>
      </c>
      <c r="Q237" s="39" t="s">
        <v>87</v>
      </c>
      <c r="R237" s="39" t="s">
        <v>2008</v>
      </c>
      <c r="S237" s="39" t="s">
        <v>2009</v>
      </c>
      <c r="T237" s="39">
        <v>8880045278</v>
      </c>
    </row>
    <row r="238" spans="1:20">
      <c r="A238" s="39" t="s">
        <v>21</v>
      </c>
      <c r="B238" s="39" t="s">
        <v>2751</v>
      </c>
      <c r="C238" s="39" t="s">
        <v>2809</v>
      </c>
      <c r="D238" s="39" t="s">
        <v>82</v>
      </c>
      <c r="E238" s="39" t="s">
        <v>2799</v>
      </c>
      <c r="F238" s="39" t="s">
        <v>236</v>
      </c>
      <c r="H238" s="39" t="s">
        <v>238</v>
      </c>
      <c r="I238" s="39" t="s">
        <v>238</v>
      </c>
      <c r="J238" s="39" t="s">
        <v>68</v>
      </c>
      <c r="K238" s="39" t="s">
        <v>32</v>
      </c>
      <c r="L238" s="44">
        <v>6285777258258</v>
      </c>
      <c r="O238" s="39" t="s">
        <v>239</v>
      </c>
      <c r="P238" s="39">
        <v>2613051097</v>
      </c>
      <c r="Q238" s="39" t="s">
        <v>235</v>
      </c>
      <c r="R238" s="39" t="s">
        <v>2052</v>
      </c>
      <c r="S238" s="39" t="s">
        <v>2053</v>
      </c>
      <c r="T238" s="39">
        <v>8979120569</v>
      </c>
    </row>
    <row r="239" spans="1:20">
      <c r="A239" s="39" t="s">
        <v>21</v>
      </c>
      <c r="B239" s="39" t="s">
        <v>2751</v>
      </c>
      <c r="C239" s="39" t="s">
        <v>2809</v>
      </c>
      <c r="D239" s="39" t="s">
        <v>82</v>
      </c>
      <c r="E239" s="39" t="s">
        <v>2799</v>
      </c>
      <c r="F239" s="39" t="s">
        <v>242</v>
      </c>
      <c r="G239" s="39">
        <v>818063450</v>
      </c>
      <c r="H239" s="39" t="s">
        <v>243</v>
      </c>
      <c r="I239" s="39" t="s">
        <v>244</v>
      </c>
      <c r="J239" s="39" t="s">
        <v>68</v>
      </c>
      <c r="L239" s="44">
        <v>6285778143350</v>
      </c>
      <c r="O239" s="39" t="s">
        <v>245</v>
      </c>
      <c r="P239" s="39">
        <v>2613051098</v>
      </c>
      <c r="Q239" s="39" t="s">
        <v>241</v>
      </c>
      <c r="R239" s="39" t="s">
        <v>2054</v>
      </c>
      <c r="S239" s="39" t="s">
        <v>2055</v>
      </c>
      <c r="T239" s="39">
        <v>818063450</v>
      </c>
    </row>
    <row r="240" spans="1:20">
      <c r="A240" s="39" t="s">
        <v>21</v>
      </c>
      <c r="B240" s="39" t="s">
        <v>2751</v>
      </c>
      <c r="C240" s="39" t="s">
        <v>2809</v>
      </c>
      <c r="D240" s="39" t="s">
        <v>82</v>
      </c>
      <c r="E240" s="39" t="s">
        <v>2799</v>
      </c>
      <c r="F240" s="39" t="s">
        <v>1182</v>
      </c>
      <c r="G240" s="39">
        <v>7911103639</v>
      </c>
      <c r="H240" s="39" t="s">
        <v>1183</v>
      </c>
      <c r="I240" s="39" t="s">
        <v>1184</v>
      </c>
      <c r="J240" s="39" t="s">
        <v>68</v>
      </c>
      <c r="K240" s="39" t="s">
        <v>32</v>
      </c>
      <c r="L240" s="44">
        <v>6281700000066</v>
      </c>
      <c r="O240" s="39" t="s">
        <v>1185</v>
      </c>
      <c r="P240" s="39" t="s">
        <v>1180</v>
      </c>
      <c r="Q240" s="39" t="s">
        <v>1181</v>
      </c>
      <c r="R240" s="39" t="s">
        <v>2306</v>
      </c>
      <c r="S240" s="39" t="s">
        <v>2307</v>
      </c>
      <c r="T240" s="39">
        <v>7911103639</v>
      </c>
    </row>
    <row r="241" spans="1:20">
      <c r="A241" s="39" t="s">
        <v>21</v>
      </c>
      <c r="B241" s="39" t="s">
        <v>2751</v>
      </c>
      <c r="C241" s="39" t="s">
        <v>2809</v>
      </c>
      <c r="D241" s="39" t="s">
        <v>82</v>
      </c>
      <c r="E241" s="39" t="s">
        <v>2799</v>
      </c>
      <c r="F241" s="39" t="s">
        <v>1188</v>
      </c>
      <c r="G241" s="39">
        <v>6678520538</v>
      </c>
      <c r="H241" s="39" t="s">
        <v>1189</v>
      </c>
      <c r="I241" s="39" t="s">
        <v>1190</v>
      </c>
      <c r="J241" s="39" t="s">
        <v>68</v>
      </c>
      <c r="K241" s="39" t="s">
        <v>32</v>
      </c>
      <c r="L241" s="44">
        <v>6281700000067</v>
      </c>
      <c r="O241" s="39" t="s">
        <v>1191</v>
      </c>
      <c r="P241" s="39" t="s">
        <v>1186</v>
      </c>
      <c r="Q241" s="39" t="s">
        <v>1187</v>
      </c>
      <c r="R241" s="39" t="s">
        <v>2308</v>
      </c>
      <c r="S241" s="39" t="s">
        <v>2309</v>
      </c>
      <c r="T241" s="39">
        <v>6678520538</v>
      </c>
    </row>
    <row r="242" spans="1:20">
      <c r="A242" s="39" t="s">
        <v>21</v>
      </c>
      <c r="B242" s="39" t="s">
        <v>2751</v>
      </c>
      <c r="C242" s="39" t="s">
        <v>2809</v>
      </c>
      <c r="D242" s="39" t="s">
        <v>82</v>
      </c>
      <c r="E242" s="39" t="s">
        <v>2799</v>
      </c>
      <c r="F242" s="39" t="s">
        <v>1194</v>
      </c>
      <c r="G242" s="39">
        <v>8930821512</v>
      </c>
      <c r="H242" s="39" t="s">
        <v>1195</v>
      </c>
      <c r="I242" s="39" t="s">
        <v>1196</v>
      </c>
      <c r="J242" s="39" t="s">
        <v>68</v>
      </c>
      <c r="K242" s="39" t="s">
        <v>32</v>
      </c>
      <c r="L242" s="44">
        <v>6281700000068</v>
      </c>
      <c r="O242" s="39" t="s">
        <v>1197</v>
      </c>
      <c r="P242" s="39" t="s">
        <v>1192</v>
      </c>
      <c r="Q242" s="39" t="s">
        <v>1193</v>
      </c>
      <c r="R242" s="39" t="s">
        <v>2310</v>
      </c>
      <c r="S242" s="39" t="s">
        <v>2311</v>
      </c>
      <c r="T242" s="39">
        <v>8930821512</v>
      </c>
    </row>
    <row r="243" spans="1:20">
      <c r="A243" s="39" t="s">
        <v>21</v>
      </c>
      <c r="B243" s="39" t="s">
        <v>2751</v>
      </c>
      <c r="C243" s="39" t="s">
        <v>2809</v>
      </c>
      <c r="D243" s="39" t="s">
        <v>82</v>
      </c>
      <c r="E243" s="39" t="s">
        <v>2799</v>
      </c>
      <c r="F243" s="39" t="s">
        <v>1200</v>
      </c>
      <c r="G243" s="39">
        <v>8251333540</v>
      </c>
      <c r="H243" s="39" t="s">
        <v>1201</v>
      </c>
      <c r="I243" s="39" t="s">
        <v>1202</v>
      </c>
      <c r="J243" s="39" t="s">
        <v>68</v>
      </c>
      <c r="K243" s="39" t="s">
        <v>32</v>
      </c>
      <c r="L243" s="44">
        <v>6281700000070</v>
      </c>
      <c r="O243" s="39" t="s">
        <v>1203</v>
      </c>
      <c r="P243" s="39" t="s">
        <v>1198</v>
      </c>
      <c r="Q243" s="39" t="s">
        <v>1199</v>
      </c>
      <c r="R243" s="39" t="s">
        <v>2312</v>
      </c>
      <c r="S243" s="39" t="s">
        <v>2313</v>
      </c>
      <c r="T243" s="39">
        <v>8251333540</v>
      </c>
    </row>
    <row r="244" spans="1:20">
      <c r="A244" s="39" t="s">
        <v>21</v>
      </c>
      <c r="B244" s="39" t="s">
        <v>2751</v>
      </c>
      <c r="C244" s="39" t="s">
        <v>2809</v>
      </c>
      <c r="D244" s="39" t="s">
        <v>82</v>
      </c>
      <c r="E244" s="39" t="s">
        <v>2799</v>
      </c>
      <c r="F244" s="39" t="s">
        <v>1206</v>
      </c>
      <c r="G244" s="39">
        <v>8634599437</v>
      </c>
      <c r="H244" s="39" t="s">
        <v>1207</v>
      </c>
      <c r="I244" s="39" t="s">
        <v>1208</v>
      </c>
      <c r="J244" s="39" t="s">
        <v>68</v>
      </c>
      <c r="K244" s="39" t="s">
        <v>32</v>
      </c>
      <c r="L244" s="44">
        <v>6281700000072</v>
      </c>
      <c r="O244" s="39" t="s">
        <v>1209</v>
      </c>
      <c r="P244" s="39" t="s">
        <v>1204</v>
      </c>
      <c r="Q244" s="39" t="s">
        <v>1205</v>
      </c>
      <c r="R244" s="39" t="s">
        <v>2314</v>
      </c>
      <c r="S244" s="39" t="s">
        <v>2315</v>
      </c>
      <c r="T244" s="39">
        <v>8634599437</v>
      </c>
    </row>
    <row r="245" spans="1:20">
      <c r="A245" s="39" t="s">
        <v>21</v>
      </c>
      <c r="B245" s="39" t="s">
        <v>2751</v>
      </c>
      <c r="C245" s="39" t="s">
        <v>2809</v>
      </c>
      <c r="D245" s="39" t="s">
        <v>292</v>
      </c>
      <c r="E245" s="39" t="s">
        <v>2800</v>
      </c>
      <c r="F245" s="39" t="s">
        <v>297</v>
      </c>
      <c r="H245" s="39" t="s">
        <v>299</v>
      </c>
      <c r="I245" s="39" t="s">
        <v>300</v>
      </c>
      <c r="J245" s="39" t="s">
        <v>68</v>
      </c>
      <c r="K245" s="39" t="s">
        <v>32</v>
      </c>
      <c r="L245" s="44">
        <v>6285888885509</v>
      </c>
      <c r="O245" s="39" t="s">
        <v>301</v>
      </c>
      <c r="P245" s="39">
        <v>2613052277</v>
      </c>
      <c r="Q245" s="39" t="s">
        <v>296</v>
      </c>
      <c r="R245" s="39" t="s">
        <v>2070</v>
      </c>
      <c r="S245" s="39" t="s">
        <v>2071</v>
      </c>
    </row>
    <row r="246" spans="1:20">
      <c r="A246" s="39" t="s">
        <v>21</v>
      </c>
      <c r="B246" s="39" t="s">
        <v>2751</v>
      </c>
      <c r="C246" s="39" t="s">
        <v>2809</v>
      </c>
      <c r="D246" s="39" t="s">
        <v>292</v>
      </c>
      <c r="E246" s="39" t="s">
        <v>2800</v>
      </c>
      <c r="F246" s="39" t="s">
        <v>1294</v>
      </c>
      <c r="G246" s="39">
        <v>8893501725</v>
      </c>
      <c r="H246" s="39" t="s">
        <v>1295</v>
      </c>
      <c r="I246" s="39" t="s">
        <v>1296</v>
      </c>
      <c r="J246" s="39" t="s">
        <v>68</v>
      </c>
      <c r="K246" s="39" t="s">
        <v>32</v>
      </c>
      <c r="L246" s="44">
        <v>6285719109625</v>
      </c>
      <c r="O246" s="39" t="s">
        <v>1297</v>
      </c>
      <c r="P246" s="39" t="s">
        <v>1292</v>
      </c>
      <c r="Q246" s="39" t="s">
        <v>1293</v>
      </c>
      <c r="R246" s="39" t="s">
        <v>2342</v>
      </c>
      <c r="S246" s="39" t="s">
        <v>2343</v>
      </c>
      <c r="T246" s="39">
        <v>8893501725</v>
      </c>
    </row>
    <row r="247" spans="1:20">
      <c r="A247" s="39" t="s">
        <v>21</v>
      </c>
      <c r="B247" s="39" t="s">
        <v>2751</v>
      </c>
      <c r="C247" s="39" t="s">
        <v>2809</v>
      </c>
      <c r="D247" s="39" t="s">
        <v>292</v>
      </c>
      <c r="E247" s="39" t="s">
        <v>2800</v>
      </c>
      <c r="F247" s="39" t="s">
        <v>1300</v>
      </c>
      <c r="G247" s="39" t="s">
        <v>2865</v>
      </c>
      <c r="H247" s="39" t="s">
        <v>1301</v>
      </c>
      <c r="I247" s="39" t="s">
        <v>1302</v>
      </c>
      <c r="J247" s="39" t="s">
        <v>68</v>
      </c>
      <c r="K247" s="39" t="s">
        <v>32</v>
      </c>
      <c r="L247" s="44">
        <v>6285719109623</v>
      </c>
      <c r="O247" s="39" t="s">
        <v>1303</v>
      </c>
      <c r="P247" s="39" t="s">
        <v>1298</v>
      </c>
      <c r="Q247" s="39" t="s">
        <v>1299</v>
      </c>
      <c r="R247" s="39" t="s">
        <v>2344</v>
      </c>
      <c r="S247" s="39" t="s">
        <v>2345</v>
      </c>
    </row>
    <row r="248" spans="1:20">
      <c r="A248" s="39" t="s">
        <v>21</v>
      </c>
      <c r="B248" s="39" t="s">
        <v>2751</v>
      </c>
      <c r="C248" s="39" t="s">
        <v>2809</v>
      </c>
      <c r="D248" s="39" t="s">
        <v>292</v>
      </c>
      <c r="E248" s="39" t="s">
        <v>2800</v>
      </c>
      <c r="F248" s="39" t="s">
        <v>1306</v>
      </c>
      <c r="G248" s="39">
        <v>8603130107</v>
      </c>
      <c r="H248" s="39" t="s">
        <v>1307</v>
      </c>
      <c r="I248" s="39" t="s">
        <v>1308</v>
      </c>
      <c r="J248" s="39" t="s">
        <v>68</v>
      </c>
      <c r="K248" s="39" t="s">
        <v>32</v>
      </c>
      <c r="L248" s="44">
        <v>6285719109622</v>
      </c>
      <c r="O248" s="39" t="s">
        <v>1309</v>
      </c>
      <c r="P248" s="39" t="s">
        <v>1304</v>
      </c>
      <c r="Q248" s="39" t="s">
        <v>1305</v>
      </c>
      <c r="R248" s="39" t="s">
        <v>2346</v>
      </c>
      <c r="S248" s="39" t="s">
        <v>2347</v>
      </c>
      <c r="T248" s="39">
        <v>8603130107</v>
      </c>
    </row>
    <row r="249" spans="1:20">
      <c r="A249" s="39" t="s">
        <v>21</v>
      </c>
      <c r="B249" s="39" t="s">
        <v>2751</v>
      </c>
      <c r="C249" s="39" t="s">
        <v>2809</v>
      </c>
      <c r="D249" s="39" t="s">
        <v>292</v>
      </c>
      <c r="E249" s="39" t="s">
        <v>2800</v>
      </c>
      <c r="F249" s="39" t="s">
        <v>1312</v>
      </c>
      <c r="G249" s="39">
        <v>587631024</v>
      </c>
      <c r="H249" s="39" t="s">
        <v>1313</v>
      </c>
      <c r="I249" s="39" t="s">
        <v>1314</v>
      </c>
      <c r="J249" s="39" t="s">
        <v>68</v>
      </c>
      <c r="K249" s="39" t="s">
        <v>32</v>
      </c>
      <c r="L249" s="44">
        <v>6285719109621</v>
      </c>
      <c r="O249" s="39" t="s">
        <v>1315</v>
      </c>
      <c r="P249" s="39" t="s">
        <v>1310</v>
      </c>
      <c r="Q249" s="39" t="s">
        <v>1311</v>
      </c>
      <c r="R249" s="39" t="s">
        <v>2348</v>
      </c>
      <c r="S249" s="39" t="s">
        <v>2349</v>
      </c>
      <c r="T249" s="39">
        <v>587631024</v>
      </c>
    </row>
    <row r="250" spans="1:20">
      <c r="A250" s="39" t="s">
        <v>21</v>
      </c>
      <c r="B250" s="39" t="s">
        <v>2751</v>
      </c>
      <c r="C250" s="39" t="s">
        <v>2809</v>
      </c>
      <c r="D250" s="39" t="s">
        <v>292</v>
      </c>
      <c r="E250" s="39" t="s">
        <v>2800</v>
      </c>
      <c r="F250" s="39" t="s">
        <v>795</v>
      </c>
      <c r="G250" s="39" t="s">
        <v>2865</v>
      </c>
      <c r="H250" s="39" t="s">
        <v>797</v>
      </c>
      <c r="I250" s="39" t="s">
        <v>798</v>
      </c>
      <c r="J250" s="39" t="s">
        <v>119</v>
      </c>
      <c r="K250" s="39" t="s">
        <v>32</v>
      </c>
      <c r="L250" s="44">
        <v>62857710477771</v>
      </c>
      <c r="O250" s="39" t="s">
        <v>799</v>
      </c>
      <c r="P250" s="39" t="s">
        <v>793</v>
      </c>
      <c r="Q250" s="39" t="s">
        <v>794</v>
      </c>
      <c r="R250" s="39" t="s">
        <v>2196</v>
      </c>
      <c r="S250" s="39" t="s">
        <v>2197</v>
      </c>
    </row>
    <row r="251" spans="1:20">
      <c r="A251" s="39" t="s">
        <v>21</v>
      </c>
      <c r="B251" s="39" t="s">
        <v>2751</v>
      </c>
      <c r="C251" s="39" t="s">
        <v>2809</v>
      </c>
      <c r="D251" s="39" t="s">
        <v>292</v>
      </c>
      <c r="E251" s="39" t="s">
        <v>2800</v>
      </c>
      <c r="F251" s="39" t="s">
        <v>802</v>
      </c>
      <c r="H251" s="39" t="s">
        <v>238</v>
      </c>
      <c r="I251" s="39" t="s">
        <v>238</v>
      </c>
      <c r="J251" s="39" t="s">
        <v>119</v>
      </c>
      <c r="K251" s="39" t="s">
        <v>32</v>
      </c>
      <c r="L251" s="44">
        <v>6285771710764</v>
      </c>
      <c r="O251" s="39" t="s">
        <v>804</v>
      </c>
      <c r="P251" s="39" t="s">
        <v>800</v>
      </c>
      <c r="Q251" s="39" t="s">
        <v>801</v>
      </c>
      <c r="R251" s="39" t="s">
        <v>2198</v>
      </c>
      <c r="S251" s="39" t="s">
        <v>2199</v>
      </c>
    </row>
    <row r="252" spans="1:20">
      <c r="A252" s="39" t="s">
        <v>21</v>
      </c>
      <c r="B252" s="39" t="s">
        <v>22</v>
      </c>
      <c r="C252" s="39" t="s">
        <v>2810</v>
      </c>
      <c r="D252" s="39" t="s">
        <v>443</v>
      </c>
      <c r="E252" s="39" t="s">
        <v>2801</v>
      </c>
      <c r="F252" s="39" t="s">
        <v>448</v>
      </c>
      <c r="G252" s="39">
        <v>8667946752</v>
      </c>
      <c r="H252" s="39" t="s">
        <v>449</v>
      </c>
      <c r="I252" s="39" t="s">
        <v>450</v>
      </c>
      <c r="J252" s="39" t="s">
        <v>119</v>
      </c>
      <c r="K252" s="39" t="s">
        <v>32</v>
      </c>
      <c r="L252" s="44">
        <v>6285710444484</v>
      </c>
      <c r="O252" s="39" t="s">
        <v>451</v>
      </c>
      <c r="P252" s="39" t="s">
        <v>446</v>
      </c>
      <c r="Q252" s="39" t="s">
        <v>447</v>
      </c>
      <c r="R252" s="39" t="s">
        <v>2108</v>
      </c>
      <c r="S252" s="39" t="s">
        <v>2109</v>
      </c>
      <c r="T252" s="39">
        <v>8667946752</v>
      </c>
    </row>
    <row r="253" spans="1:20">
      <c r="A253" s="39" t="s">
        <v>21</v>
      </c>
      <c r="B253" s="39" t="s">
        <v>22</v>
      </c>
      <c r="C253" s="39" t="s">
        <v>2810</v>
      </c>
      <c r="D253" s="39" t="s">
        <v>443</v>
      </c>
      <c r="E253" s="39" t="s">
        <v>2801</v>
      </c>
      <c r="F253" s="39" t="s">
        <v>454</v>
      </c>
      <c r="G253" s="39">
        <v>5660648607</v>
      </c>
      <c r="H253" s="39" t="s">
        <v>455</v>
      </c>
      <c r="I253" s="39" t="s">
        <v>456</v>
      </c>
      <c r="J253" s="39" t="s">
        <v>68</v>
      </c>
      <c r="K253" s="39" t="s">
        <v>32</v>
      </c>
      <c r="L253" s="44">
        <v>6285695423326</v>
      </c>
      <c r="O253" s="39" t="s">
        <v>457</v>
      </c>
      <c r="P253" s="39" t="s">
        <v>452</v>
      </c>
      <c r="Q253" s="39" t="s">
        <v>453</v>
      </c>
      <c r="R253" s="39" t="s">
        <v>2110</v>
      </c>
      <c r="S253" s="39" t="s">
        <v>2111</v>
      </c>
      <c r="T253" s="39">
        <v>5660648607</v>
      </c>
    </row>
    <row r="254" spans="1:20">
      <c r="A254" s="39" t="s">
        <v>21</v>
      </c>
      <c r="B254" s="39" t="s">
        <v>22</v>
      </c>
      <c r="C254" s="39" t="s">
        <v>2810</v>
      </c>
      <c r="D254" s="39" t="s">
        <v>443</v>
      </c>
      <c r="E254" s="39" t="s">
        <v>2801</v>
      </c>
      <c r="F254" s="39" t="s">
        <v>460</v>
      </c>
      <c r="G254" s="39">
        <v>1103364165</v>
      </c>
      <c r="H254" s="39" t="s">
        <v>461</v>
      </c>
      <c r="I254" s="39" t="s">
        <v>462</v>
      </c>
      <c r="J254" s="39" t="s">
        <v>68</v>
      </c>
      <c r="K254" s="39" t="s">
        <v>32</v>
      </c>
      <c r="L254" s="44">
        <v>6285772094247</v>
      </c>
      <c r="O254" s="39" t="s">
        <v>463</v>
      </c>
      <c r="P254" s="39" t="s">
        <v>458</v>
      </c>
      <c r="Q254" s="39" t="s">
        <v>459</v>
      </c>
      <c r="R254" s="39" t="s">
        <v>2112</v>
      </c>
      <c r="S254" s="39" t="s">
        <v>2113</v>
      </c>
      <c r="T254" s="39">
        <v>1103364165</v>
      </c>
    </row>
    <row r="255" spans="1:20">
      <c r="A255" s="39" t="s">
        <v>21</v>
      </c>
      <c r="B255" s="39" t="s">
        <v>22</v>
      </c>
      <c r="C255" s="39" t="s">
        <v>2810</v>
      </c>
      <c r="D255" s="39" t="s">
        <v>443</v>
      </c>
      <c r="E255" s="39" t="s">
        <v>2801</v>
      </c>
      <c r="F255" s="39" t="s">
        <v>466</v>
      </c>
      <c r="G255" s="39">
        <v>6616358782</v>
      </c>
      <c r="H255" s="39" t="s">
        <v>467</v>
      </c>
      <c r="I255" s="39" t="s">
        <v>468</v>
      </c>
      <c r="J255" s="39" t="s">
        <v>68</v>
      </c>
      <c r="K255" s="39" t="s">
        <v>32</v>
      </c>
      <c r="L255" s="44">
        <v>6281412127890</v>
      </c>
      <c r="O255" s="39" t="s">
        <v>469</v>
      </c>
      <c r="P255" s="39" t="s">
        <v>464</v>
      </c>
      <c r="Q255" s="39" t="s">
        <v>465</v>
      </c>
      <c r="R255" s="39" t="s">
        <v>2114</v>
      </c>
      <c r="S255" s="39" t="s">
        <v>2115</v>
      </c>
      <c r="T255" s="39">
        <v>6616358782</v>
      </c>
    </row>
    <row r="256" spans="1:20">
      <c r="A256" s="39" t="s">
        <v>21</v>
      </c>
      <c r="B256" s="39" t="s">
        <v>22</v>
      </c>
      <c r="C256" s="39" t="s">
        <v>2810</v>
      </c>
      <c r="D256" s="39" t="s">
        <v>443</v>
      </c>
      <c r="E256" s="39" t="s">
        <v>2801</v>
      </c>
      <c r="F256" s="39" t="s">
        <v>482</v>
      </c>
      <c r="G256" s="39">
        <v>1599692013</v>
      </c>
      <c r="H256" s="39" t="s">
        <v>483</v>
      </c>
      <c r="I256" s="39" t="s">
        <v>484</v>
      </c>
      <c r="J256" s="39" t="s">
        <v>68</v>
      </c>
      <c r="K256" s="39" t="s">
        <v>32</v>
      </c>
      <c r="L256" s="44">
        <v>6281511661167</v>
      </c>
      <c r="O256" s="39" t="s">
        <v>485</v>
      </c>
      <c r="P256" s="39" t="s">
        <v>480</v>
      </c>
      <c r="Q256" s="39" t="s">
        <v>481</v>
      </c>
      <c r="R256" s="39" t="s">
        <v>2118</v>
      </c>
      <c r="S256" s="39" t="s">
        <v>2119</v>
      </c>
      <c r="T256" s="39">
        <v>1599692013</v>
      </c>
    </row>
    <row r="257" spans="1:20">
      <c r="A257" s="39" t="s">
        <v>21</v>
      </c>
      <c r="B257" s="39" t="s">
        <v>22</v>
      </c>
      <c r="C257" s="39" t="s">
        <v>2810</v>
      </c>
      <c r="D257" s="39" t="s">
        <v>443</v>
      </c>
      <c r="E257" s="39" t="s">
        <v>2801</v>
      </c>
      <c r="F257" s="39" t="s">
        <v>494</v>
      </c>
      <c r="G257" s="39">
        <v>1776769773</v>
      </c>
      <c r="H257" s="39" t="s">
        <v>495</v>
      </c>
      <c r="I257" s="39" t="s">
        <v>496</v>
      </c>
      <c r="J257" s="39" t="s">
        <v>68</v>
      </c>
      <c r="K257" s="39" t="s">
        <v>32</v>
      </c>
      <c r="L257" s="44">
        <v>6285893902559</v>
      </c>
      <c r="O257" s="39" t="s">
        <v>497</v>
      </c>
      <c r="P257" s="39" t="s">
        <v>492</v>
      </c>
      <c r="Q257" s="39" t="s">
        <v>493</v>
      </c>
      <c r="R257" s="39" t="s">
        <v>2122</v>
      </c>
      <c r="S257" s="39" t="s">
        <v>2123</v>
      </c>
      <c r="T257" s="39">
        <v>1776769773</v>
      </c>
    </row>
    <row r="258" spans="1:20">
      <c r="A258" s="39" t="s">
        <v>21</v>
      </c>
      <c r="B258" s="39" t="s">
        <v>22</v>
      </c>
      <c r="C258" s="39" t="s">
        <v>2810</v>
      </c>
      <c r="D258" s="39" t="s">
        <v>443</v>
      </c>
      <c r="E258" s="39" t="s">
        <v>2801</v>
      </c>
      <c r="F258" s="39" t="s">
        <v>1703</v>
      </c>
      <c r="G258" s="39">
        <v>245603805</v>
      </c>
      <c r="H258" s="39" t="s">
        <v>1704</v>
      </c>
      <c r="I258" s="39" t="s">
        <v>1705</v>
      </c>
      <c r="J258" s="39" t="s">
        <v>68</v>
      </c>
      <c r="K258" s="39" t="s">
        <v>32</v>
      </c>
      <c r="L258" s="44">
        <v>62895396000770</v>
      </c>
      <c r="O258" s="39" t="s">
        <v>1706</v>
      </c>
      <c r="P258" s="39" t="s">
        <v>1702</v>
      </c>
      <c r="Q258" s="39" t="s">
        <v>1701</v>
      </c>
      <c r="R258" s="39" t="s">
        <v>2444</v>
      </c>
      <c r="S258" s="39" t="s">
        <v>2445</v>
      </c>
      <c r="T258" s="39">
        <v>245603805</v>
      </c>
    </row>
    <row r="259" spans="1:20">
      <c r="A259" s="39" t="s">
        <v>21</v>
      </c>
      <c r="B259" s="39" t="s">
        <v>22</v>
      </c>
      <c r="C259" s="39" t="s">
        <v>2810</v>
      </c>
      <c r="D259" s="39" t="s">
        <v>443</v>
      </c>
      <c r="E259" s="39" t="s">
        <v>2801</v>
      </c>
      <c r="F259" s="39" t="s">
        <v>1715</v>
      </c>
      <c r="H259" s="39" t="s">
        <v>1716</v>
      </c>
      <c r="I259" s="39" t="s">
        <v>1717</v>
      </c>
      <c r="J259" s="39" t="s">
        <v>68</v>
      </c>
      <c r="K259" s="39" t="s">
        <v>32</v>
      </c>
      <c r="L259" s="44">
        <v>6289602777992</v>
      </c>
      <c r="O259" s="39" t="s">
        <v>1718</v>
      </c>
      <c r="P259" s="39" t="s">
        <v>1714</v>
      </c>
      <c r="Q259" s="39" t="s">
        <v>1713</v>
      </c>
      <c r="R259" s="39" t="s">
        <v>2448</v>
      </c>
      <c r="S259" s="39" t="s">
        <v>2449</v>
      </c>
    </row>
    <row r="260" spans="1:20">
      <c r="A260" s="39" t="s">
        <v>21</v>
      </c>
      <c r="B260" s="39" t="s">
        <v>22</v>
      </c>
      <c r="C260" s="39" t="s">
        <v>2810</v>
      </c>
      <c r="D260" s="39" t="s">
        <v>443</v>
      </c>
      <c r="E260" s="39" t="s">
        <v>2801</v>
      </c>
      <c r="F260" s="39" t="s">
        <v>1781</v>
      </c>
      <c r="G260" s="39">
        <v>8493714808</v>
      </c>
      <c r="H260" s="39" t="s">
        <v>1782</v>
      </c>
      <c r="I260" s="39" t="s">
        <v>1783</v>
      </c>
      <c r="J260" s="39" t="s">
        <v>68</v>
      </c>
      <c r="K260" s="39" t="s">
        <v>32</v>
      </c>
      <c r="L260" s="44">
        <v>6289602777984</v>
      </c>
      <c r="O260" s="39" t="s">
        <v>1784</v>
      </c>
      <c r="P260" s="39" t="s">
        <v>1780</v>
      </c>
      <c r="Q260" s="39" t="s">
        <v>1779</v>
      </c>
      <c r="R260" s="39" t="s">
        <v>2466</v>
      </c>
      <c r="S260" s="39" t="s">
        <v>2467</v>
      </c>
      <c r="T260" s="39">
        <v>8493714808</v>
      </c>
    </row>
    <row r="261" spans="1:20">
      <c r="A261" s="39" t="s">
        <v>21</v>
      </c>
      <c r="B261" s="39" t="s">
        <v>22</v>
      </c>
      <c r="C261" s="39" t="s">
        <v>2810</v>
      </c>
      <c r="D261" s="39" t="s">
        <v>443</v>
      </c>
      <c r="E261" s="39" t="s">
        <v>2801</v>
      </c>
      <c r="F261" s="39" t="s">
        <v>1799</v>
      </c>
      <c r="G261" s="39">
        <v>8444402707</v>
      </c>
      <c r="H261" s="39" t="s">
        <v>1800</v>
      </c>
      <c r="I261" s="39" t="s">
        <v>1801</v>
      </c>
      <c r="J261" s="39" t="s">
        <v>68</v>
      </c>
      <c r="K261" s="39" t="s">
        <v>32</v>
      </c>
      <c r="L261" s="44">
        <v>628999998911</v>
      </c>
      <c r="O261" s="39" t="s">
        <v>1802</v>
      </c>
      <c r="P261" s="39" t="s">
        <v>1798</v>
      </c>
      <c r="Q261" s="39" t="s">
        <v>1797</v>
      </c>
      <c r="R261" s="39" t="s">
        <v>2472</v>
      </c>
      <c r="S261" s="39" t="s">
        <v>2473</v>
      </c>
      <c r="T261" s="39">
        <v>8444402707</v>
      </c>
    </row>
    <row r="262" spans="1:20">
      <c r="A262" s="39" t="s">
        <v>21</v>
      </c>
      <c r="B262" s="39" t="s">
        <v>22</v>
      </c>
      <c r="C262" s="39" t="s">
        <v>2810</v>
      </c>
      <c r="D262" s="39" t="s">
        <v>470</v>
      </c>
      <c r="E262" s="39" t="s">
        <v>2802</v>
      </c>
      <c r="F262" s="39" t="s">
        <v>521</v>
      </c>
      <c r="G262" s="39">
        <v>8222290302</v>
      </c>
      <c r="H262" s="39" t="s">
        <v>522</v>
      </c>
      <c r="I262" s="39" t="s">
        <v>523</v>
      </c>
      <c r="J262" s="39" t="s">
        <v>524</v>
      </c>
      <c r="K262" s="39" t="s">
        <v>32</v>
      </c>
      <c r="L262" s="44">
        <v>6285776350018</v>
      </c>
      <c r="O262" s="39" t="s">
        <v>525</v>
      </c>
      <c r="P262" s="39">
        <v>2613051407</v>
      </c>
      <c r="Q262" s="39" t="s">
        <v>520</v>
      </c>
      <c r="R262" s="39" t="s">
        <v>2130</v>
      </c>
      <c r="S262" s="39" t="s">
        <v>2131</v>
      </c>
      <c r="T262" s="39">
        <v>8222290302</v>
      </c>
    </row>
    <row r="263" spans="1:20">
      <c r="A263" s="39" t="s">
        <v>21</v>
      </c>
      <c r="B263" s="39" t="s">
        <v>22</v>
      </c>
      <c r="C263" s="39" t="s">
        <v>2810</v>
      </c>
      <c r="D263" s="39" t="s">
        <v>470</v>
      </c>
      <c r="E263" s="39" t="s">
        <v>2802</v>
      </c>
      <c r="F263" s="39" t="s">
        <v>476</v>
      </c>
      <c r="G263" s="39">
        <v>8851804777</v>
      </c>
      <c r="H263" s="39" t="s">
        <v>477</v>
      </c>
      <c r="I263" s="39" t="s">
        <v>478</v>
      </c>
      <c r="J263" s="39" t="s">
        <v>68</v>
      </c>
      <c r="K263" s="39" t="s">
        <v>32</v>
      </c>
      <c r="L263" s="44">
        <v>6285819325199</v>
      </c>
      <c r="O263" s="39" t="s">
        <v>479</v>
      </c>
      <c r="P263" s="39" t="s">
        <v>474</v>
      </c>
      <c r="Q263" s="39" t="s">
        <v>475</v>
      </c>
      <c r="R263" s="39" t="s">
        <v>2116</v>
      </c>
      <c r="S263" s="39" t="s">
        <v>2117</v>
      </c>
      <c r="T263" s="39">
        <v>8851804777</v>
      </c>
    </row>
    <row r="264" spans="1:20">
      <c r="A264" s="39" t="s">
        <v>21</v>
      </c>
      <c r="B264" s="39" t="s">
        <v>22</v>
      </c>
      <c r="C264" s="39" t="s">
        <v>2810</v>
      </c>
      <c r="D264" s="39" t="s">
        <v>470</v>
      </c>
      <c r="E264" s="39" t="s">
        <v>2802</v>
      </c>
      <c r="F264" s="39" t="s">
        <v>488</v>
      </c>
      <c r="G264" s="39">
        <v>5451424785</v>
      </c>
      <c r="H264" s="39" t="s">
        <v>489</v>
      </c>
      <c r="I264" s="39" t="s">
        <v>490</v>
      </c>
      <c r="J264" s="39" t="s">
        <v>119</v>
      </c>
      <c r="K264" s="39" t="s">
        <v>32</v>
      </c>
      <c r="L264" s="44">
        <v>6281412128935</v>
      </c>
      <c r="O264" s="39" t="s">
        <v>491</v>
      </c>
      <c r="P264" s="39" t="s">
        <v>486</v>
      </c>
      <c r="Q264" s="39" t="s">
        <v>487</v>
      </c>
      <c r="R264" s="39" t="s">
        <v>2120</v>
      </c>
      <c r="S264" s="39" t="s">
        <v>2121</v>
      </c>
      <c r="T264" s="39">
        <v>5451424785</v>
      </c>
    </row>
    <row r="265" spans="1:20">
      <c r="A265" s="39" t="s">
        <v>21</v>
      </c>
      <c r="B265" s="39" t="s">
        <v>22</v>
      </c>
      <c r="C265" s="39" t="s">
        <v>2810</v>
      </c>
      <c r="D265" s="39" t="s">
        <v>470</v>
      </c>
      <c r="E265" s="39" t="s">
        <v>2802</v>
      </c>
      <c r="F265" s="39" t="s">
        <v>516</v>
      </c>
      <c r="G265" s="39">
        <v>8955655496</v>
      </c>
      <c r="H265" s="39" t="s">
        <v>517</v>
      </c>
      <c r="I265" s="39">
        <v>3173011411800000</v>
      </c>
      <c r="J265" s="39" t="s">
        <v>68</v>
      </c>
      <c r="K265" s="39" t="s">
        <v>32</v>
      </c>
      <c r="L265" s="44">
        <v>6285773788026</v>
      </c>
      <c r="O265" s="39" t="s">
        <v>518</v>
      </c>
      <c r="P265" s="39" t="s">
        <v>514</v>
      </c>
      <c r="Q265" s="39" t="s">
        <v>515</v>
      </c>
      <c r="R265" s="39" t="s">
        <v>2128</v>
      </c>
      <c r="S265" s="39" t="s">
        <v>2129</v>
      </c>
      <c r="T265" s="39">
        <v>8955655496</v>
      </c>
    </row>
    <row r="266" spans="1:20">
      <c r="A266" s="39" t="s">
        <v>21</v>
      </c>
      <c r="B266" s="39" t="s">
        <v>22</v>
      </c>
      <c r="C266" s="39" t="s">
        <v>2810</v>
      </c>
      <c r="D266" s="39" t="s">
        <v>470</v>
      </c>
      <c r="E266" s="39" t="s">
        <v>2802</v>
      </c>
      <c r="F266" s="39" t="s">
        <v>1033</v>
      </c>
      <c r="H266" s="39" t="s">
        <v>1034</v>
      </c>
      <c r="I266" s="39" t="s">
        <v>1035</v>
      </c>
      <c r="J266" s="39" t="s">
        <v>68</v>
      </c>
      <c r="K266" s="39" t="s">
        <v>32</v>
      </c>
      <c r="L266" s="44">
        <v>6285691777932</v>
      </c>
      <c r="O266" s="39" t="s">
        <v>1036</v>
      </c>
      <c r="P266" s="39" t="s">
        <v>1031</v>
      </c>
      <c r="Q266" s="39" t="s">
        <v>1032</v>
      </c>
      <c r="R266" s="39" t="s">
        <v>2258</v>
      </c>
      <c r="S266" s="39" t="s">
        <v>2259</v>
      </c>
      <c r="T266" s="39">
        <v>8570477446</v>
      </c>
    </row>
    <row r="267" spans="1:20">
      <c r="A267" s="39" t="s">
        <v>21</v>
      </c>
      <c r="B267" s="39" t="s">
        <v>22</v>
      </c>
      <c r="C267" s="39" t="s">
        <v>2810</v>
      </c>
      <c r="D267" s="39" t="s">
        <v>470</v>
      </c>
      <c r="E267" s="39" t="s">
        <v>2802</v>
      </c>
      <c r="F267" s="39" t="s">
        <v>1134</v>
      </c>
      <c r="G267" s="39">
        <v>915955331</v>
      </c>
      <c r="H267" s="39" t="s">
        <v>1135</v>
      </c>
      <c r="I267" s="39" t="s">
        <v>1136</v>
      </c>
      <c r="J267" s="39" t="s">
        <v>68</v>
      </c>
      <c r="K267" s="39" t="s">
        <v>32</v>
      </c>
      <c r="L267" s="44">
        <v>6285691777934</v>
      </c>
      <c r="O267" s="39" t="s">
        <v>1137</v>
      </c>
      <c r="P267" s="39" t="s">
        <v>1132</v>
      </c>
      <c r="Q267" s="39" t="s">
        <v>1133</v>
      </c>
      <c r="R267" s="39" t="s">
        <v>2290</v>
      </c>
      <c r="S267" s="39" t="s">
        <v>2291</v>
      </c>
      <c r="T267" s="39">
        <v>915955331</v>
      </c>
    </row>
    <row r="268" spans="1:20">
      <c r="A268" s="39" t="s">
        <v>21</v>
      </c>
      <c r="B268" s="39" t="s">
        <v>22</v>
      </c>
      <c r="C268" s="39" t="s">
        <v>2810</v>
      </c>
      <c r="D268" s="39" t="s">
        <v>470</v>
      </c>
      <c r="E268" s="39" t="s">
        <v>2802</v>
      </c>
      <c r="F268" s="39" t="s">
        <v>1140</v>
      </c>
      <c r="H268" s="39" t="s">
        <v>1141</v>
      </c>
      <c r="I268" s="39" t="s">
        <v>1142</v>
      </c>
      <c r="J268" s="39" t="s">
        <v>68</v>
      </c>
      <c r="K268" s="39" t="s">
        <v>32</v>
      </c>
      <c r="L268" s="44">
        <v>6285691777964</v>
      </c>
      <c r="O268" s="39" t="s">
        <v>1143</v>
      </c>
      <c r="P268" s="39" t="s">
        <v>1138</v>
      </c>
      <c r="Q268" s="39" t="s">
        <v>1139</v>
      </c>
      <c r="R268" s="39" t="s">
        <v>2292</v>
      </c>
      <c r="S268" s="39" t="s">
        <v>2293</v>
      </c>
      <c r="T268" s="39">
        <v>6002705472</v>
      </c>
    </row>
    <row r="269" spans="1:20">
      <c r="A269" s="39" t="s">
        <v>21</v>
      </c>
      <c r="B269" s="39" t="s">
        <v>22</v>
      </c>
      <c r="C269" s="39" t="s">
        <v>2810</v>
      </c>
      <c r="D269" s="39" t="s">
        <v>470</v>
      </c>
      <c r="E269" s="39" t="s">
        <v>2802</v>
      </c>
      <c r="F269" s="39" t="s">
        <v>1805</v>
      </c>
      <c r="G269" s="39">
        <v>7422592246</v>
      </c>
      <c r="H269" s="39" t="s">
        <v>1806</v>
      </c>
      <c r="I269" s="39" t="s">
        <v>1807</v>
      </c>
      <c r="J269" s="39" t="s">
        <v>68</v>
      </c>
      <c r="K269" s="39" t="s">
        <v>32</v>
      </c>
      <c r="L269" s="44">
        <v>6289602777994</v>
      </c>
      <c r="O269" s="39" t="s">
        <v>1808</v>
      </c>
      <c r="P269" s="39" t="s">
        <v>1804</v>
      </c>
      <c r="Q269" s="39" t="s">
        <v>1803</v>
      </c>
      <c r="R269" s="39" t="s">
        <v>2474</v>
      </c>
      <c r="S269" s="39" t="s">
        <v>2475</v>
      </c>
      <c r="T269" s="39">
        <v>7422592246</v>
      </c>
    </row>
    <row r="270" spans="1:20">
      <c r="A270" s="39" t="s">
        <v>21</v>
      </c>
      <c r="B270" s="39" t="s">
        <v>22</v>
      </c>
      <c r="C270" s="39" t="s">
        <v>2810</v>
      </c>
      <c r="D270" s="39" t="s">
        <v>498</v>
      </c>
      <c r="E270" s="39" t="s">
        <v>2803</v>
      </c>
      <c r="F270" s="39" t="s">
        <v>504</v>
      </c>
      <c r="H270" s="39" t="s">
        <v>505</v>
      </c>
      <c r="I270" s="39" t="s">
        <v>506</v>
      </c>
      <c r="J270" s="39" t="s">
        <v>68</v>
      </c>
      <c r="K270" s="39" t="s">
        <v>32</v>
      </c>
      <c r="L270" s="44">
        <v>6285604234396</v>
      </c>
      <c r="O270" s="39" t="s">
        <v>507</v>
      </c>
      <c r="P270" s="39" t="s">
        <v>502</v>
      </c>
      <c r="Q270" s="39" t="s">
        <v>503</v>
      </c>
      <c r="R270" s="39" t="s">
        <v>2124</v>
      </c>
      <c r="S270" s="39" t="s">
        <v>2125</v>
      </c>
      <c r="T270" s="39">
        <v>7661735607</v>
      </c>
    </row>
    <row r="271" spans="1:20">
      <c r="A271" s="39" t="s">
        <v>21</v>
      </c>
      <c r="B271" s="39" t="s">
        <v>22</v>
      </c>
      <c r="C271" s="39" t="s">
        <v>2810</v>
      </c>
      <c r="D271" s="39" t="s">
        <v>498</v>
      </c>
      <c r="E271" s="39" t="s">
        <v>2803</v>
      </c>
      <c r="F271" s="39" t="s">
        <v>510</v>
      </c>
      <c r="G271" s="39">
        <v>8662185658</v>
      </c>
      <c r="H271" s="39" t="s">
        <v>511</v>
      </c>
      <c r="I271" s="39" t="s">
        <v>512</v>
      </c>
      <c r="J271" s="39" t="s">
        <v>68</v>
      </c>
      <c r="K271" s="39" t="s">
        <v>32</v>
      </c>
      <c r="L271" s="44">
        <v>6285718656667</v>
      </c>
      <c r="O271" s="39" t="s">
        <v>513</v>
      </c>
      <c r="P271" s="39" t="s">
        <v>508</v>
      </c>
      <c r="Q271" s="39" t="s">
        <v>509</v>
      </c>
      <c r="R271" s="39" t="s">
        <v>2126</v>
      </c>
      <c r="S271" s="39" t="s">
        <v>2127</v>
      </c>
      <c r="T271" s="39">
        <v>8662185658</v>
      </c>
    </row>
    <row r="272" spans="1:20">
      <c r="A272" s="39" t="s">
        <v>21</v>
      </c>
      <c r="B272" s="39" t="s">
        <v>22</v>
      </c>
      <c r="C272" s="39" t="s">
        <v>2810</v>
      </c>
      <c r="D272" s="39" t="s">
        <v>498</v>
      </c>
      <c r="E272" s="39" t="s">
        <v>2803</v>
      </c>
      <c r="F272" s="39" t="s">
        <v>1146</v>
      </c>
      <c r="G272" s="39">
        <v>8977735851</v>
      </c>
      <c r="H272" s="39" t="s">
        <v>1147</v>
      </c>
      <c r="I272" s="39" t="s">
        <v>1148</v>
      </c>
      <c r="J272" s="39" t="s">
        <v>68</v>
      </c>
      <c r="K272" s="39" t="s">
        <v>32</v>
      </c>
      <c r="L272" s="44">
        <v>6285691778037</v>
      </c>
      <c r="O272" s="39" t="s">
        <v>1149</v>
      </c>
      <c r="P272" s="39" t="s">
        <v>1144</v>
      </c>
      <c r="Q272" s="39" t="s">
        <v>1145</v>
      </c>
      <c r="R272" s="39" t="s">
        <v>2294</v>
      </c>
      <c r="S272" s="39" t="s">
        <v>2295</v>
      </c>
      <c r="T272" s="39">
        <v>8977735851</v>
      </c>
    </row>
    <row r="273" spans="1:20">
      <c r="A273" s="39" t="s">
        <v>21</v>
      </c>
      <c r="B273" s="39" t="s">
        <v>22</v>
      </c>
      <c r="C273" s="39" t="s">
        <v>2810</v>
      </c>
      <c r="D273" s="39" t="s">
        <v>498</v>
      </c>
      <c r="E273" s="39" t="s">
        <v>2803</v>
      </c>
      <c r="F273" s="39" t="s">
        <v>1709</v>
      </c>
      <c r="G273" s="39">
        <v>8050475993</v>
      </c>
      <c r="H273" s="39" t="s">
        <v>1710</v>
      </c>
      <c r="I273" s="39" t="s">
        <v>1711</v>
      </c>
      <c r="J273" s="39" t="s">
        <v>31</v>
      </c>
      <c r="K273" s="39" t="s">
        <v>32</v>
      </c>
      <c r="L273" s="44">
        <v>6289602777986</v>
      </c>
      <c r="O273" s="39" t="s">
        <v>1712</v>
      </c>
      <c r="P273" s="39" t="s">
        <v>1708</v>
      </c>
      <c r="Q273" s="39" t="s">
        <v>1707</v>
      </c>
      <c r="R273" s="39" t="s">
        <v>2446</v>
      </c>
      <c r="S273" s="39" t="s">
        <v>2447</v>
      </c>
      <c r="T273" s="39">
        <v>8050475993</v>
      </c>
    </row>
    <row r="274" spans="1:20">
      <c r="A274" s="39" t="s">
        <v>21</v>
      </c>
      <c r="B274" s="39" t="s">
        <v>22</v>
      </c>
      <c r="C274" s="39" t="s">
        <v>2810</v>
      </c>
      <c r="D274" s="39" t="s">
        <v>498</v>
      </c>
      <c r="E274" s="39" t="s">
        <v>2803</v>
      </c>
      <c r="F274" s="39" t="s">
        <v>1787</v>
      </c>
      <c r="G274" s="39">
        <v>8986211804</v>
      </c>
      <c r="H274" s="39" t="s">
        <v>1788</v>
      </c>
      <c r="I274" s="39" t="s">
        <v>1789</v>
      </c>
      <c r="J274" s="39" t="s">
        <v>68</v>
      </c>
      <c r="K274" s="39" t="s">
        <v>32</v>
      </c>
      <c r="L274" s="44">
        <v>6289602777985</v>
      </c>
      <c r="O274" s="39" t="s">
        <v>1790</v>
      </c>
      <c r="P274" s="39" t="s">
        <v>1786</v>
      </c>
      <c r="Q274" s="39" t="s">
        <v>1785</v>
      </c>
      <c r="R274" s="39" t="s">
        <v>2468</v>
      </c>
      <c r="S274" s="39" t="s">
        <v>2469</v>
      </c>
      <c r="T274" s="39">
        <v>8986211804</v>
      </c>
    </row>
    <row r="275" spans="1:20">
      <c r="A275" s="39" t="s">
        <v>21</v>
      </c>
      <c r="B275" s="39" t="s">
        <v>22</v>
      </c>
      <c r="C275" s="39" t="s">
        <v>2810</v>
      </c>
      <c r="D275" s="39" t="s">
        <v>498</v>
      </c>
      <c r="E275" s="39" t="s">
        <v>2803</v>
      </c>
      <c r="F275" s="39" t="s">
        <v>1793</v>
      </c>
      <c r="G275" s="39">
        <v>7946144084</v>
      </c>
      <c r="H275" s="39" t="s">
        <v>1794</v>
      </c>
      <c r="I275" s="39" t="s">
        <v>1795</v>
      </c>
      <c r="J275" s="39" t="s">
        <v>68</v>
      </c>
      <c r="K275" s="39" t="s">
        <v>32</v>
      </c>
      <c r="L275" s="44">
        <v>6289602777988</v>
      </c>
      <c r="O275" s="39" t="s">
        <v>1796</v>
      </c>
      <c r="P275" s="39" t="s">
        <v>1792</v>
      </c>
      <c r="Q275" s="39" t="s">
        <v>1791</v>
      </c>
      <c r="R275" s="39" t="s">
        <v>2470</v>
      </c>
      <c r="S275" s="39" t="s">
        <v>2471</v>
      </c>
      <c r="T275" s="39">
        <v>7946144084</v>
      </c>
    </row>
    <row r="276" spans="1:20">
      <c r="A276" s="39" t="s">
        <v>21</v>
      </c>
      <c r="B276" s="39" t="s">
        <v>22</v>
      </c>
      <c r="C276" s="39" t="s">
        <v>2810</v>
      </c>
      <c r="D276" s="39" t="s">
        <v>498</v>
      </c>
      <c r="E276" s="39" t="s">
        <v>2803</v>
      </c>
      <c r="F276" s="39" t="s">
        <v>1811</v>
      </c>
      <c r="G276" s="39">
        <v>8868533461</v>
      </c>
      <c r="H276" s="39" t="s">
        <v>1812</v>
      </c>
      <c r="I276" s="39" t="s">
        <v>1813</v>
      </c>
      <c r="J276" s="39" t="s">
        <v>68</v>
      </c>
      <c r="K276" s="39" t="s">
        <v>32</v>
      </c>
      <c r="L276" s="44">
        <v>6289602777998</v>
      </c>
      <c r="O276" s="39" t="s">
        <v>1814</v>
      </c>
      <c r="P276" s="39" t="s">
        <v>1810</v>
      </c>
      <c r="Q276" s="39" t="s">
        <v>1809</v>
      </c>
      <c r="R276" s="39" t="s">
        <v>2476</v>
      </c>
      <c r="S276" s="39" t="s">
        <v>2477</v>
      </c>
      <c r="T276" s="39">
        <v>8868533461</v>
      </c>
    </row>
  </sheetData>
  <conditionalFormatting sqref="F1:F1048576">
    <cfRule type="duplicateValues" dxfId="103" priority="2"/>
  </conditionalFormatting>
  <conditionalFormatting sqref="L1:L1048576">
    <cfRule type="duplicateValues" dxfId="10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13136-5ECA-47DF-BB20-E88BA6C8515C}">
  <dimension ref="A1:L2365"/>
  <sheetViews>
    <sheetView topLeftCell="A26" workbookViewId="0">
      <selection activeCell="N50" sqref="N50"/>
    </sheetView>
  </sheetViews>
  <sheetFormatPr defaultRowHeight="14"/>
  <cols>
    <col min="1" max="1" width="13.1640625" bestFit="1" customWidth="1"/>
    <col min="2" max="2" width="17" bestFit="1" customWidth="1"/>
    <col min="7" max="7" width="19.25" customWidth="1"/>
  </cols>
  <sheetData>
    <row r="1" spans="1:12">
      <c r="A1" s="206" t="s">
        <v>2854</v>
      </c>
      <c r="B1" s="206" t="s">
        <v>2855</v>
      </c>
      <c r="C1" s="206" t="s">
        <v>2856</v>
      </c>
      <c r="D1" s="206" t="s">
        <v>2857</v>
      </c>
      <c r="E1" s="206" t="s">
        <v>2858</v>
      </c>
      <c r="F1" s="206" t="s">
        <v>2859</v>
      </c>
      <c r="G1" s="206" t="s">
        <v>2860</v>
      </c>
      <c r="H1" s="206" t="s">
        <v>2861</v>
      </c>
      <c r="I1" s="206" t="s">
        <v>2862</v>
      </c>
      <c r="J1" s="206" t="s">
        <v>55</v>
      </c>
      <c r="K1" s="207" t="s">
        <v>2863</v>
      </c>
      <c r="L1" s="208"/>
    </row>
    <row r="2" spans="1:12" ht="16">
      <c r="A2" s="182" t="s">
        <v>915</v>
      </c>
      <c r="B2" s="184">
        <v>2613050984</v>
      </c>
      <c r="C2" s="185" t="s">
        <v>2653</v>
      </c>
      <c r="D2" s="186" t="s">
        <v>2653</v>
      </c>
      <c r="E2" s="187" t="s">
        <v>2522</v>
      </c>
      <c r="F2" s="186" t="s">
        <v>2864</v>
      </c>
      <c r="G2" s="189" t="s">
        <v>2787</v>
      </c>
      <c r="H2" s="194">
        <v>1521678273</v>
      </c>
      <c r="I2" s="195" t="s">
        <v>2873</v>
      </c>
      <c r="J2" s="192" t="s">
        <v>2866</v>
      </c>
      <c r="K2" s="204" t="s">
        <v>2867</v>
      </c>
    </row>
    <row r="3" spans="1:12" ht="21" customHeight="1">
      <c r="A3" s="182" t="s">
        <v>2874</v>
      </c>
      <c r="B3" s="184" t="s">
        <v>401</v>
      </c>
      <c r="C3" s="185" t="s">
        <v>2653</v>
      </c>
      <c r="D3" s="186" t="s">
        <v>2653</v>
      </c>
      <c r="E3" s="187" t="s">
        <v>2522</v>
      </c>
      <c r="F3" s="186" t="s">
        <v>2864</v>
      </c>
      <c r="G3" s="189" t="s">
        <v>2769</v>
      </c>
      <c r="H3" s="194">
        <v>8855252608</v>
      </c>
      <c r="I3" s="195" t="s">
        <v>2873</v>
      </c>
      <c r="J3" s="192" t="s">
        <v>2866</v>
      </c>
      <c r="K3" s="204" t="s">
        <v>2867</v>
      </c>
    </row>
    <row r="4" spans="1:12" ht="18.5">
      <c r="A4" s="182" t="s">
        <v>2970</v>
      </c>
      <c r="B4" s="184" t="s">
        <v>2971</v>
      </c>
      <c r="C4" s="185" t="s">
        <v>2972</v>
      </c>
      <c r="D4" s="186" t="s">
        <v>2653</v>
      </c>
      <c r="E4" s="198" t="s">
        <v>2865</v>
      </c>
      <c r="F4" s="186" t="s">
        <v>2865</v>
      </c>
      <c r="G4" s="186" t="s">
        <v>2865</v>
      </c>
      <c r="H4" s="194">
        <v>8172557940</v>
      </c>
      <c r="I4" s="195" t="s">
        <v>2873</v>
      </c>
      <c r="J4" s="192" t="s">
        <v>2866</v>
      </c>
      <c r="K4" s="204" t="s">
        <v>2867</v>
      </c>
    </row>
    <row r="5" spans="1:12" ht="16">
      <c r="A5" s="182" t="s">
        <v>2875</v>
      </c>
      <c r="B5" s="184">
        <v>2613051028</v>
      </c>
      <c r="C5" s="185" t="s">
        <v>2653</v>
      </c>
      <c r="D5" s="186" t="s">
        <v>2653</v>
      </c>
      <c r="E5" s="187" t="s">
        <v>2527</v>
      </c>
      <c r="F5" s="186" t="s">
        <v>2871</v>
      </c>
      <c r="G5" s="189" t="s">
        <v>2798</v>
      </c>
      <c r="H5" s="194">
        <v>1648983729</v>
      </c>
      <c r="I5" s="195" t="s">
        <v>2873</v>
      </c>
      <c r="J5" s="192" t="s">
        <v>2866</v>
      </c>
      <c r="K5" s="204" t="s">
        <v>2867</v>
      </c>
    </row>
    <row r="6" spans="1:12" ht="21" customHeight="1">
      <c r="A6" s="182" t="s">
        <v>2876</v>
      </c>
      <c r="B6" s="184" t="s">
        <v>2877</v>
      </c>
      <c r="C6" s="197" t="s">
        <v>2878</v>
      </c>
      <c r="D6" s="186" t="s">
        <v>2653</v>
      </c>
      <c r="E6" s="198" t="s">
        <v>2865</v>
      </c>
      <c r="F6" s="186" t="s">
        <v>2865</v>
      </c>
      <c r="G6" s="186" t="s">
        <v>2865</v>
      </c>
      <c r="H6" s="194">
        <v>7555884957</v>
      </c>
      <c r="I6" s="195" t="s">
        <v>2873</v>
      </c>
      <c r="J6" s="192" t="s">
        <v>2866</v>
      </c>
      <c r="K6" s="204" t="s">
        <v>2867</v>
      </c>
    </row>
    <row r="7" spans="1:12" ht="34.5">
      <c r="A7" s="182" t="s">
        <v>2782</v>
      </c>
      <c r="B7" s="184" t="s">
        <v>2879</v>
      </c>
      <c r="C7" s="189" t="s">
        <v>2880</v>
      </c>
      <c r="D7" s="200" t="s">
        <v>2881</v>
      </c>
      <c r="E7" s="198" t="s">
        <v>2865</v>
      </c>
      <c r="F7" s="186" t="s">
        <v>2865</v>
      </c>
      <c r="G7" s="186" t="s">
        <v>2865</v>
      </c>
      <c r="H7" s="194">
        <v>327648261</v>
      </c>
      <c r="I7" s="201" t="s">
        <v>2882</v>
      </c>
      <c r="J7" s="192" t="s">
        <v>2866</v>
      </c>
      <c r="K7" s="204" t="s">
        <v>2867</v>
      </c>
    </row>
    <row r="8" spans="1:12" ht="25">
      <c r="A8" s="182" t="s">
        <v>2883</v>
      </c>
      <c r="B8" s="184" t="s">
        <v>2884</v>
      </c>
      <c r="C8" s="185" t="s">
        <v>2653</v>
      </c>
      <c r="D8" s="186" t="s">
        <v>2653</v>
      </c>
      <c r="E8" s="187" t="s">
        <v>2522</v>
      </c>
      <c r="F8" s="186" t="s">
        <v>2864</v>
      </c>
      <c r="G8" s="189" t="s">
        <v>2786</v>
      </c>
      <c r="H8" s="194">
        <v>8447462899</v>
      </c>
      <c r="I8" s="195" t="s">
        <v>2873</v>
      </c>
      <c r="J8" s="192" t="s">
        <v>2866</v>
      </c>
      <c r="K8" s="204" t="s">
        <v>2867</v>
      </c>
    </row>
    <row r="9" spans="1:12" ht="21" customHeight="1">
      <c r="A9" s="182" t="s">
        <v>2885</v>
      </c>
      <c r="B9" s="184" t="s">
        <v>2886</v>
      </c>
      <c r="C9" s="185" t="s">
        <v>2653</v>
      </c>
      <c r="D9" s="186" t="s">
        <v>2653</v>
      </c>
      <c r="E9" s="187" t="s">
        <v>2527</v>
      </c>
      <c r="F9" s="186" t="s">
        <v>2871</v>
      </c>
      <c r="G9" s="189" t="s">
        <v>2777</v>
      </c>
      <c r="H9" s="194">
        <v>7986688443</v>
      </c>
      <c r="I9" s="195" t="s">
        <v>2873</v>
      </c>
      <c r="J9" s="192" t="s">
        <v>2866</v>
      </c>
      <c r="K9" s="204" t="s">
        <v>2867</v>
      </c>
    </row>
    <row r="10" spans="1:12" ht="25">
      <c r="A10" s="182" t="s">
        <v>2887</v>
      </c>
      <c r="B10" s="184" t="s">
        <v>900</v>
      </c>
      <c r="C10" s="185" t="s">
        <v>2653</v>
      </c>
      <c r="D10" s="186" t="s">
        <v>2653</v>
      </c>
      <c r="E10" s="187" t="s">
        <v>2522</v>
      </c>
      <c r="F10" s="186" t="s">
        <v>2864</v>
      </c>
      <c r="G10" s="189" t="s">
        <v>2799</v>
      </c>
      <c r="H10" s="194">
        <v>7871774207</v>
      </c>
      <c r="I10" s="195" t="s">
        <v>2873</v>
      </c>
      <c r="J10" s="192" t="s">
        <v>2866</v>
      </c>
      <c r="K10" s="204" t="s">
        <v>2867</v>
      </c>
    </row>
    <row r="11" spans="1:12" ht="31.5">
      <c r="A11" s="182" t="s">
        <v>2888</v>
      </c>
      <c r="B11" s="184">
        <v>458231</v>
      </c>
      <c r="C11" s="200" t="s">
        <v>2889</v>
      </c>
      <c r="D11" s="186" t="s">
        <v>2653</v>
      </c>
      <c r="E11" s="187" t="s">
        <v>2527</v>
      </c>
      <c r="F11" s="186" t="s">
        <v>2864</v>
      </c>
      <c r="G11" s="189" t="s">
        <v>2788</v>
      </c>
      <c r="H11" s="194">
        <v>6778073837</v>
      </c>
      <c r="I11" s="195" t="s">
        <v>2873</v>
      </c>
      <c r="J11" s="192" t="s">
        <v>2866</v>
      </c>
      <c r="K11" s="204" t="s">
        <v>2867</v>
      </c>
    </row>
    <row r="12" spans="1:12" ht="21" customHeight="1">
      <c r="A12" s="182" t="s">
        <v>1448</v>
      </c>
      <c r="B12" s="184" t="s">
        <v>1446</v>
      </c>
      <c r="C12" s="185" t="s">
        <v>2653</v>
      </c>
      <c r="D12" s="186" t="s">
        <v>2653</v>
      </c>
      <c r="E12" s="187" t="s">
        <v>2527</v>
      </c>
      <c r="F12" s="186" t="s">
        <v>2864</v>
      </c>
      <c r="G12" s="189" t="s">
        <v>2768</v>
      </c>
      <c r="H12" s="194">
        <v>8976538478</v>
      </c>
      <c r="I12" s="195" t="s">
        <v>2873</v>
      </c>
      <c r="J12" s="192" t="s">
        <v>2866</v>
      </c>
      <c r="K12" s="204" t="s">
        <v>2867</v>
      </c>
    </row>
    <row r="13" spans="1:12" ht="37.5">
      <c r="A13" s="182" t="s">
        <v>1454</v>
      </c>
      <c r="B13" s="184" t="s">
        <v>1452</v>
      </c>
      <c r="C13" s="185" t="s">
        <v>2653</v>
      </c>
      <c r="D13" s="186" t="s">
        <v>2653</v>
      </c>
      <c r="E13" s="187" t="s">
        <v>2527</v>
      </c>
      <c r="F13" s="186" t="s">
        <v>2864</v>
      </c>
      <c r="G13" s="189" t="s">
        <v>2795</v>
      </c>
      <c r="H13" s="194">
        <v>8859636861</v>
      </c>
      <c r="I13" s="195" t="s">
        <v>2873</v>
      </c>
      <c r="J13" s="192" t="s">
        <v>2866</v>
      </c>
      <c r="K13" s="204" t="s">
        <v>2867</v>
      </c>
    </row>
    <row r="14" spans="1:12" ht="25">
      <c r="A14" s="182" t="s">
        <v>2890</v>
      </c>
      <c r="B14" s="184" t="s">
        <v>2891</v>
      </c>
      <c r="C14" s="185" t="s">
        <v>2653</v>
      </c>
      <c r="D14" s="186" t="s">
        <v>2653</v>
      </c>
      <c r="E14" s="187" t="s">
        <v>2522</v>
      </c>
      <c r="F14" s="186" t="s">
        <v>2864</v>
      </c>
      <c r="G14" s="189" t="s">
        <v>2786</v>
      </c>
      <c r="H14" s="194">
        <v>8280479968</v>
      </c>
      <c r="I14" s="195" t="s">
        <v>2873</v>
      </c>
      <c r="J14" s="192" t="s">
        <v>2866</v>
      </c>
      <c r="K14" s="204" t="s">
        <v>2867</v>
      </c>
    </row>
    <row r="15" spans="1:12" ht="24" customHeight="1">
      <c r="A15" s="182" t="s">
        <v>1110</v>
      </c>
      <c r="B15" s="184" t="s">
        <v>1108</v>
      </c>
      <c r="C15" s="185" t="s">
        <v>2653</v>
      </c>
      <c r="D15" s="186" t="s">
        <v>2653</v>
      </c>
      <c r="E15" s="187" t="s">
        <v>2522</v>
      </c>
      <c r="F15" s="186" t="s">
        <v>2871</v>
      </c>
      <c r="G15" s="189" t="s">
        <v>2781</v>
      </c>
      <c r="H15" s="194">
        <v>1620322999</v>
      </c>
      <c r="I15" s="195" t="s">
        <v>2873</v>
      </c>
      <c r="J15" s="192" t="s">
        <v>2866</v>
      </c>
      <c r="K15" s="204" t="s">
        <v>2867</v>
      </c>
    </row>
    <row r="16" spans="1:12" ht="37.5">
      <c r="A16" s="182" t="s">
        <v>854</v>
      </c>
      <c r="B16" s="184" t="s">
        <v>851</v>
      </c>
      <c r="C16" s="185" t="s">
        <v>2892</v>
      </c>
      <c r="D16" s="186" t="s">
        <v>2653</v>
      </c>
      <c r="E16" s="187" t="s">
        <v>2522</v>
      </c>
      <c r="F16" s="186" t="s">
        <v>2864</v>
      </c>
      <c r="G16" s="189" t="s">
        <v>2789</v>
      </c>
      <c r="H16" s="194">
        <v>8492045610</v>
      </c>
      <c r="I16" s="201" t="s">
        <v>2882</v>
      </c>
      <c r="J16" s="192" t="s">
        <v>2866</v>
      </c>
      <c r="K16" s="204" t="s">
        <v>2867</v>
      </c>
    </row>
    <row r="17" spans="1:11" ht="25">
      <c r="A17" s="182" t="s">
        <v>1426</v>
      </c>
      <c r="B17" s="184" t="s">
        <v>1424</v>
      </c>
      <c r="C17" s="185" t="s">
        <v>2653</v>
      </c>
      <c r="D17" s="186" t="s">
        <v>2653</v>
      </c>
      <c r="E17" s="187" t="s">
        <v>2522</v>
      </c>
      <c r="F17" s="186" t="s">
        <v>2864</v>
      </c>
      <c r="G17" s="189" t="s">
        <v>2786</v>
      </c>
      <c r="H17" s="194">
        <v>7128414274</v>
      </c>
      <c r="I17" s="195" t="s">
        <v>2873</v>
      </c>
      <c r="J17" s="192" t="s">
        <v>2866</v>
      </c>
      <c r="K17" s="204" t="s">
        <v>2867</v>
      </c>
    </row>
    <row r="18" spans="1:11" ht="24" customHeight="1">
      <c r="A18" s="182" t="s">
        <v>2973</v>
      </c>
      <c r="B18" s="184" t="s">
        <v>2974</v>
      </c>
      <c r="C18" s="203" t="s">
        <v>2950</v>
      </c>
      <c r="D18" s="186" t="s">
        <v>2653</v>
      </c>
      <c r="E18" s="187" t="s">
        <v>2522</v>
      </c>
      <c r="F18" s="186" t="s">
        <v>2864</v>
      </c>
      <c r="G18" s="189" t="s">
        <v>2786</v>
      </c>
      <c r="H18" s="194">
        <v>6968874426</v>
      </c>
      <c r="I18" s="201" t="s">
        <v>2882</v>
      </c>
      <c r="J18" s="192" t="s">
        <v>2866</v>
      </c>
      <c r="K18" s="204" t="s">
        <v>2867</v>
      </c>
    </row>
    <row r="19" spans="1:11">
      <c r="A19" s="182" t="s">
        <v>2976</v>
      </c>
      <c r="B19" s="184" t="s">
        <v>2977</v>
      </c>
      <c r="C19" s="185" t="s">
        <v>2653</v>
      </c>
      <c r="D19" s="186" t="s">
        <v>2653</v>
      </c>
      <c r="E19" s="198" t="s">
        <v>2865</v>
      </c>
      <c r="F19" s="186" t="s">
        <v>2865</v>
      </c>
      <c r="G19" s="186" t="s">
        <v>2865</v>
      </c>
      <c r="H19" s="194">
        <v>8614548434</v>
      </c>
      <c r="I19" s="195" t="s">
        <v>2873</v>
      </c>
      <c r="J19" s="192" t="s">
        <v>2866</v>
      </c>
      <c r="K19" s="204" t="s">
        <v>2867</v>
      </c>
    </row>
    <row r="20" spans="1:11" ht="25">
      <c r="A20" s="182" t="s">
        <v>2975</v>
      </c>
      <c r="B20" s="184" t="s">
        <v>1055</v>
      </c>
      <c r="C20" s="185" t="s">
        <v>2653</v>
      </c>
      <c r="D20" s="186" t="s">
        <v>2653</v>
      </c>
      <c r="E20" s="187" t="s">
        <v>2522</v>
      </c>
      <c r="F20" s="186" t="s">
        <v>2871</v>
      </c>
      <c r="G20" s="189" t="s">
        <v>2782</v>
      </c>
      <c r="H20" s="194">
        <v>912960452</v>
      </c>
      <c r="I20" s="195" t="s">
        <v>2873</v>
      </c>
      <c r="J20" s="192" t="s">
        <v>2866</v>
      </c>
      <c r="K20" s="204" t="s">
        <v>2867</v>
      </c>
    </row>
    <row r="21" spans="1:11" ht="24" customHeight="1">
      <c r="A21" s="182" t="s">
        <v>2792</v>
      </c>
      <c r="B21" s="184" t="s">
        <v>2893</v>
      </c>
      <c r="C21" s="189" t="s">
        <v>2894</v>
      </c>
      <c r="D21" s="200" t="s">
        <v>2881</v>
      </c>
      <c r="E21" s="198" t="s">
        <v>2865</v>
      </c>
      <c r="F21" s="186" t="s">
        <v>2865</v>
      </c>
      <c r="G21" s="186" t="s">
        <v>2865</v>
      </c>
      <c r="H21" s="194">
        <v>7107170355</v>
      </c>
      <c r="I21" s="195" t="s">
        <v>2873</v>
      </c>
      <c r="J21" s="192" t="s">
        <v>2866</v>
      </c>
      <c r="K21" s="204" t="s">
        <v>2867</v>
      </c>
    </row>
    <row r="22" spans="1:11" ht="21">
      <c r="A22" s="182" t="s">
        <v>147</v>
      </c>
      <c r="B22" s="184">
        <v>2613050982</v>
      </c>
      <c r="C22" s="185" t="s">
        <v>2653</v>
      </c>
      <c r="D22" s="186" t="s">
        <v>2653</v>
      </c>
      <c r="E22" s="187" t="s">
        <v>2522</v>
      </c>
      <c r="F22" s="186" t="s">
        <v>2864</v>
      </c>
      <c r="G22" s="189" t="s">
        <v>2787</v>
      </c>
      <c r="H22" s="194">
        <v>6923528438</v>
      </c>
      <c r="I22" s="195" t="s">
        <v>2873</v>
      </c>
      <c r="J22" s="192" t="s">
        <v>2866</v>
      </c>
      <c r="K22" s="204" t="s">
        <v>2867</v>
      </c>
    </row>
    <row r="23" spans="1:11" ht="37.5">
      <c r="A23" s="182" t="s">
        <v>2895</v>
      </c>
      <c r="B23" s="184" t="s">
        <v>2896</v>
      </c>
      <c r="C23" s="185" t="s">
        <v>2653</v>
      </c>
      <c r="D23" s="186" t="s">
        <v>2653</v>
      </c>
      <c r="E23" s="187" t="s">
        <v>2527</v>
      </c>
      <c r="F23" s="186" t="s">
        <v>2864</v>
      </c>
      <c r="G23" s="189" t="s">
        <v>2792</v>
      </c>
      <c r="H23" s="194">
        <v>8824817626</v>
      </c>
      <c r="I23" s="195" t="s">
        <v>2873</v>
      </c>
      <c r="J23" s="192" t="s">
        <v>2866</v>
      </c>
      <c r="K23" s="204" t="s">
        <v>2867</v>
      </c>
    </row>
    <row r="24" spans="1:11" ht="21" customHeight="1">
      <c r="A24" s="182" t="s">
        <v>2978</v>
      </c>
      <c r="B24" s="184" t="s">
        <v>2979</v>
      </c>
      <c r="C24" s="203" t="s">
        <v>2950</v>
      </c>
      <c r="D24" s="186" t="s">
        <v>2653</v>
      </c>
      <c r="E24" s="198" t="s">
        <v>2865</v>
      </c>
      <c r="F24" s="186" t="s">
        <v>2865</v>
      </c>
      <c r="G24" s="186" t="s">
        <v>2865</v>
      </c>
      <c r="H24" s="194">
        <v>1227263689</v>
      </c>
      <c r="I24" s="195" t="s">
        <v>2873</v>
      </c>
      <c r="J24" s="192" t="s">
        <v>2866</v>
      </c>
      <c r="K24" s="204" t="s">
        <v>2867</v>
      </c>
    </row>
    <row r="25" spans="1:11" ht="37.5">
      <c r="A25" s="182" t="s">
        <v>2980</v>
      </c>
      <c r="B25" s="184" t="s">
        <v>1457</v>
      </c>
      <c r="C25" s="185" t="s">
        <v>2653</v>
      </c>
      <c r="D25" s="186" t="s">
        <v>2653</v>
      </c>
      <c r="E25" s="187" t="s">
        <v>2527</v>
      </c>
      <c r="F25" s="186" t="s">
        <v>2864</v>
      </c>
      <c r="G25" s="189" t="s">
        <v>2771</v>
      </c>
      <c r="H25" s="194">
        <v>7626944116</v>
      </c>
      <c r="I25" s="195" t="s">
        <v>2873</v>
      </c>
      <c r="J25" s="192" t="s">
        <v>2866</v>
      </c>
      <c r="K25" s="204" t="s">
        <v>2867</v>
      </c>
    </row>
    <row r="26" spans="1:11" ht="25">
      <c r="A26" s="182" t="s">
        <v>2981</v>
      </c>
      <c r="B26" s="184" t="s">
        <v>2982</v>
      </c>
      <c r="C26" s="185" t="s">
        <v>2653</v>
      </c>
      <c r="D26" s="186" t="s">
        <v>2653</v>
      </c>
      <c r="E26" s="187" t="s">
        <v>2522</v>
      </c>
      <c r="F26" s="186" t="s">
        <v>2871</v>
      </c>
      <c r="G26" s="189" t="s">
        <v>2782</v>
      </c>
      <c r="H26" s="194">
        <v>8057780019</v>
      </c>
      <c r="I26" s="195" t="s">
        <v>2873</v>
      </c>
      <c r="J26" s="192" t="s">
        <v>2866</v>
      </c>
      <c r="K26" s="204" t="s">
        <v>2867</v>
      </c>
    </row>
    <row r="27" spans="1:11" ht="21" customHeight="1">
      <c r="A27" s="182" t="s">
        <v>2983</v>
      </c>
      <c r="B27" s="184" t="s">
        <v>2984</v>
      </c>
      <c r="C27" s="189" t="s">
        <v>2894</v>
      </c>
      <c r="D27" s="200" t="s">
        <v>2881</v>
      </c>
      <c r="E27" s="198" t="s">
        <v>2865</v>
      </c>
      <c r="F27" s="186" t="s">
        <v>2865</v>
      </c>
      <c r="G27" s="186" t="s">
        <v>2865</v>
      </c>
      <c r="H27" s="194">
        <v>8583574586</v>
      </c>
      <c r="I27" s="195" t="s">
        <v>2873</v>
      </c>
      <c r="J27" s="192" t="s">
        <v>2866</v>
      </c>
      <c r="K27" s="204" t="s">
        <v>2867</v>
      </c>
    </row>
    <row r="28" spans="1:11" ht="31.5">
      <c r="A28" s="182" t="s">
        <v>2799</v>
      </c>
      <c r="B28" s="184" t="s">
        <v>2897</v>
      </c>
      <c r="C28" s="189" t="s">
        <v>2894</v>
      </c>
      <c r="D28" s="200" t="s">
        <v>2881</v>
      </c>
      <c r="E28" s="198" t="s">
        <v>2865</v>
      </c>
      <c r="F28" s="186" t="s">
        <v>2865</v>
      </c>
      <c r="G28" s="186" t="s">
        <v>2865</v>
      </c>
      <c r="H28" s="194">
        <v>930789892</v>
      </c>
      <c r="I28" s="195" t="s">
        <v>2873</v>
      </c>
      <c r="J28" s="192" t="s">
        <v>2866</v>
      </c>
      <c r="K28" s="204" t="s">
        <v>2867</v>
      </c>
    </row>
    <row r="29" spans="1:11" ht="37.5">
      <c r="A29" s="182" t="s">
        <v>2898</v>
      </c>
      <c r="B29" s="184" t="s">
        <v>2899</v>
      </c>
      <c r="C29" s="185" t="s">
        <v>2653</v>
      </c>
      <c r="D29" s="186" t="s">
        <v>2653</v>
      </c>
      <c r="E29" s="187" t="s">
        <v>2527</v>
      </c>
      <c r="F29" s="186" t="s">
        <v>2864</v>
      </c>
      <c r="G29" s="189" t="s">
        <v>2788</v>
      </c>
      <c r="H29" s="194">
        <v>5999026420</v>
      </c>
      <c r="I29" s="201" t="s">
        <v>2882</v>
      </c>
      <c r="J29" s="192" t="s">
        <v>2866</v>
      </c>
      <c r="K29" s="204" t="s">
        <v>2867</v>
      </c>
    </row>
    <row r="30" spans="1:11" ht="24" customHeight="1">
      <c r="A30" s="182" t="s">
        <v>1465</v>
      </c>
      <c r="B30" s="184" t="s">
        <v>1463</v>
      </c>
      <c r="C30" s="202" t="s">
        <v>2900</v>
      </c>
      <c r="D30" s="186" t="s">
        <v>2653</v>
      </c>
      <c r="E30" s="187" t="s">
        <v>2527</v>
      </c>
      <c r="F30" s="186" t="s">
        <v>2864</v>
      </c>
      <c r="G30" s="189" t="s">
        <v>2788</v>
      </c>
      <c r="H30" s="194">
        <v>7551562093</v>
      </c>
      <c r="I30" s="201" t="s">
        <v>2882</v>
      </c>
      <c r="J30" s="192" t="s">
        <v>2866</v>
      </c>
      <c r="K30" s="204" t="s">
        <v>2867</v>
      </c>
    </row>
    <row r="31" spans="1:11" ht="25">
      <c r="A31" s="182" t="s">
        <v>346</v>
      </c>
      <c r="B31" s="184" t="s">
        <v>344</v>
      </c>
      <c r="C31" s="185" t="s">
        <v>2653</v>
      </c>
      <c r="D31" s="186" t="s">
        <v>2653</v>
      </c>
      <c r="E31" s="187" t="s">
        <v>2522</v>
      </c>
      <c r="F31" s="186" t="s">
        <v>2864</v>
      </c>
      <c r="G31" s="189" t="s">
        <v>2785</v>
      </c>
      <c r="H31" s="194">
        <v>6139822823</v>
      </c>
      <c r="I31" s="195" t="s">
        <v>2873</v>
      </c>
      <c r="J31" s="192" t="s">
        <v>2866</v>
      </c>
      <c r="K31" s="204" t="s">
        <v>2867</v>
      </c>
    </row>
    <row r="32" spans="1:11" ht="37.5">
      <c r="A32" s="182" t="s">
        <v>1733</v>
      </c>
      <c r="B32" s="184" t="s">
        <v>1731</v>
      </c>
      <c r="C32" s="185" t="s">
        <v>2653</v>
      </c>
      <c r="D32" s="186" t="s">
        <v>2653</v>
      </c>
      <c r="E32" s="187" t="s">
        <v>2527</v>
      </c>
      <c r="F32" s="186" t="s">
        <v>2871</v>
      </c>
      <c r="G32" s="189" t="s">
        <v>2872</v>
      </c>
      <c r="H32" s="194">
        <v>7332752873</v>
      </c>
      <c r="I32" s="195" t="s">
        <v>2873</v>
      </c>
      <c r="J32" s="192" t="s">
        <v>2866</v>
      </c>
      <c r="K32" s="204" t="s">
        <v>2867</v>
      </c>
    </row>
    <row r="33" spans="1:11" ht="21" customHeight="1">
      <c r="A33" s="182" t="s">
        <v>979</v>
      </c>
      <c r="B33" s="184" t="s">
        <v>977</v>
      </c>
      <c r="C33" s="185" t="s">
        <v>2653</v>
      </c>
      <c r="D33" s="186" t="s">
        <v>2653</v>
      </c>
      <c r="E33" s="187" t="s">
        <v>2522</v>
      </c>
      <c r="F33" s="186" t="s">
        <v>2871</v>
      </c>
      <c r="G33" s="189" t="s">
        <v>2776</v>
      </c>
      <c r="H33" s="194">
        <v>8478529371</v>
      </c>
      <c r="I33" s="195" t="s">
        <v>2873</v>
      </c>
      <c r="J33" s="192" t="s">
        <v>2866</v>
      </c>
      <c r="K33" s="204" t="s">
        <v>2867</v>
      </c>
    </row>
    <row r="34" spans="1:11" ht="37.5">
      <c r="A34" s="182" t="s">
        <v>2901</v>
      </c>
      <c r="B34" s="184" t="s">
        <v>2902</v>
      </c>
      <c r="C34" s="185" t="s">
        <v>2653</v>
      </c>
      <c r="D34" s="186" t="s">
        <v>2653</v>
      </c>
      <c r="E34" s="187" t="s">
        <v>2527</v>
      </c>
      <c r="F34" s="186" t="s">
        <v>2864</v>
      </c>
      <c r="G34" s="189" t="s">
        <v>2768</v>
      </c>
      <c r="H34" s="194">
        <v>8823702943</v>
      </c>
      <c r="I34" s="195" t="s">
        <v>2873</v>
      </c>
      <c r="J34" s="192" t="s">
        <v>2866</v>
      </c>
      <c r="K34" s="204" t="s">
        <v>2867</v>
      </c>
    </row>
    <row r="35" spans="1:11" ht="21">
      <c r="A35" s="182" t="s">
        <v>2985</v>
      </c>
      <c r="B35" s="184" t="s">
        <v>2986</v>
      </c>
      <c r="C35" s="189" t="s">
        <v>2894</v>
      </c>
      <c r="D35" s="200" t="s">
        <v>2881</v>
      </c>
      <c r="E35" s="198" t="s">
        <v>2865</v>
      </c>
      <c r="F35" s="186" t="s">
        <v>2865</v>
      </c>
      <c r="G35" s="186" t="s">
        <v>2865</v>
      </c>
      <c r="H35" s="194">
        <v>8759111037</v>
      </c>
      <c r="I35" s="195" t="s">
        <v>2873</v>
      </c>
      <c r="J35" s="192" t="s">
        <v>2866</v>
      </c>
      <c r="K35" s="204" t="s">
        <v>2867</v>
      </c>
    </row>
    <row r="36" spans="1:11" ht="21" customHeight="1">
      <c r="A36" s="182" t="s">
        <v>1027</v>
      </c>
      <c r="B36" s="184" t="s">
        <v>1025</v>
      </c>
      <c r="C36" s="185" t="s">
        <v>2653</v>
      </c>
      <c r="D36" s="186" t="s">
        <v>2653</v>
      </c>
      <c r="E36" s="187" t="s">
        <v>2522</v>
      </c>
      <c r="F36" s="186" t="s">
        <v>2871</v>
      </c>
      <c r="G36" s="189" t="s">
        <v>2776</v>
      </c>
      <c r="H36" s="194">
        <v>8840314501</v>
      </c>
      <c r="I36" s="195" t="s">
        <v>2873</v>
      </c>
      <c r="J36" s="192" t="s">
        <v>2866</v>
      </c>
      <c r="K36" s="204" t="s">
        <v>2867</v>
      </c>
    </row>
    <row r="37" spans="1:11" ht="37.5">
      <c r="A37" s="182" t="s">
        <v>1477</v>
      </c>
      <c r="B37" s="184" t="s">
        <v>1475</v>
      </c>
      <c r="C37" s="185" t="s">
        <v>2653</v>
      </c>
      <c r="D37" s="186" t="s">
        <v>2653</v>
      </c>
      <c r="E37" s="187" t="s">
        <v>2527</v>
      </c>
      <c r="F37" s="186" t="s">
        <v>2864</v>
      </c>
      <c r="G37" s="189" t="s">
        <v>2768</v>
      </c>
      <c r="H37" s="194">
        <v>5102856680</v>
      </c>
      <c r="I37" s="195" t="s">
        <v>2873</v>
      </c>
      <c r="J37" s="192" t="s">
        <v>2866</v>
      </c>
      <c r="K37" s="204" t="s">
        <v>2867</v>
      </c>
    </row>
    <row r="38" spans="1:11" ht="25">
      <c r="A38" s="182" t="s">
        <v>1350</v>
      </c>
      <c r="B38" s="184" t="s">
        <v>1348</v>
      </c>
      <c r="C38" s="185" t="s">
        <v>2653</v>
      </c>
      <c r="D38" s="186" t="s">
        <v>2653</v>
      </c>
      <c r="E38" s="187" t="s">
        <v>2522</v>
      </c>
      <c r="F38" s="186" t="s">
        <v>2864</v>
      </c>
      <c r="G38" s="189" t="s">
        <v>2793</v>
      </c>
      <c r="H38" s="194">
        <v>8566702772</v>
      </c>
      <c r="I38" s="195" t="s">
        <v>2873</v>
      </c>
      <c r="J38" s="192" t="s">
        <v>2866</v>
      </c>
      <c r="K38" s="204" t="s">
        <v>2867</v>
      </c>
    </row>
    <row r="39" spans="1:11" ht="21" customHeight="1">
      <c r="A39" s="182" t="s">
        <v>2903</v>
      </c>
      <c r="B39" s="184" t="s">
        <v>2904</v>
      </c>
      <c r="C39" s="185" t="s">
        <v>2653</v>
      </c>
      <c r="D39" s="186" t="s">
        <v>2653</v>
      </c>
      <c r="E39" s="187" t="s">
        <v>2522</v>
      </c>
      <c r="F39" s="186" t="s">
        <v>2864</v>
      </c>
      <c r="G39" s="189" t="s">
        <v>2769</v>
      </c>
      <c r="H39" s="194">
        <v>8726104602</v>
      </c>
      <c r="I39" s="195" t="s">
        <v>2873</v>
      </c>
      <c r="J39" s="192" t="s">
        <v>2866</v>
      </c>
      <c r="K39" s="204" t="s">
        <v>2867</v>
      </c>
    </row>
    <row r="40" spans="1:11" ht="21">
      <c r="A40" s="182" t="s">
        <v>2987</v>
      </c>
      <c r="B40" s="184" t="s">
        <v>2988</v>
      </c>
      <c r="C40" s="189" t="s">
        <v>2894</v>
      </c>
      <c r="D40" s="202" t="s">
        <v>2989</v>
      </c>
      <c r="E40" s="198" t="s">
        <v>2865</v>
      </c>
      <c r="F40" s="186" t="s">
        <v>2865</v>
      </c>
      <c r="G40" s="186" t="s">
        <v>2865</v>
      </c>
      <c r="H40" s="194">
        <v>8032150826</v>
      </c>
      <c r="I40" s="195" t="s">
        <v>2873</v>
      </c>
      <c r="J40" s="192" t="s">
        <v>2866</v>
      </c>
      <c r="K40" s="204" t="s">
        <v>2867</v>
      </c>
    </row>
    <row r="41" spans="1:11" ht="37.5">
      <c r="A41" s="182" t="s">
        <v>2905</v>
      </c>
      <c r="B41" s="184" t="s">
        <v>2906</v>
      </c>
      <c r="C41" s="185" t="s">
        <v>2653</v>
      </c>
      <c r="D41" s="186" t="s">
        <v>2653</v>
      </c>
      <c r="E41" s="187" t="s">
        <v>2527</v>
      </c>
      <c r="F41" s="186" t="s">
        <v>2864</v>
      </c>
      <c r="G41" s="189" t="s">
        <v>2788</v>
      </c>
      <c r="H41" s="194">
        <v>7540674991</v>
      </c>
      <c r="I41" s="195" t="s">
        <v>2873</v>
      </c>
      <c r="J41" s="192" t="s">
        <v>2866</v>
      </c>
      <c r="K41" s="204" t="s">
        <v>2867</v>
      </c>
    </row>
    <row r="42" spans="1:11" ht="21" customHeight="1">
      <c r="A42" s="182" t="s">
        <v>2907</v>
      </c>
      <c r="B42" s="184" t="s">
        <v>2908</v>
      </c>
      <c r="C42" s="197" t="s">
        <v>2878</v>
      </c>
      <c r="D42" s="186" t="s">
        <v>2653</v>
      </c>
      <c r="E42" s="198" t="s">
        <v>2865</v>
      </c>
      <c r="F42" s="186" t="s">
        <v>2865</v>
      </c>
      <c r="G42" s="186" t="s">
        <v>2865</v>
      </c>
      <c r="H42" s="194">
        <v>7758854626</v>
      </c>
      <c r="I42" s="195" t="s">
        <v>2873</v>
      </c>
      <c r="J42" s="192" t="s">
        <v>2866</v>
      </c>
      <c r="K42" s="204" t="s">
        <v>2867</v>
      </c>
    </row>
    <row r="43" spans="1:11" ht="25">
      <c r="A43" s="182" t="s">
        <v>2909</v>
      </c>
      <c r="B43" s="184" t="s">
        <v>2910</v>
      </c>
      <c r="C43" s="185" t="s">
        <v>2653</v>
      </c>
      <c r="D43" s="186" t="s">
        <v>2653</v>
      </c>
      <c r="E43" s="187" t="s">
        <v>2522</v>
      </c>
      <c r="F43" s="186" t="s">
        <v>2864</v>
      </c>
      <c r="G43" s="189" t="s">
        <v>2793</v>
      </c>
      <c r="H43" s="194">
        <v>7550008611</v>
      </c>
      <c r="I43" s="195" t="s">
        <v>2873</v>
      </c>
      <c r="J43" s="192" t="s">
        <v>2866</v>
      </c>
      <c r="K43" s="204" t="s">
        <v>2867</v>
      </c>
    </row>
    <row r="44" spans="1:11" ht="25">
      <c r="A44" s="182" t="s">
        <v>1039</v>
      </c>
      <c r="B44" s="184" t="s">
        <v>1037</v>
      </c>
      <c r="C44" s="185" t="s">
        <v>2653</v>
      </c>
      <c r="D44" s="186" t="s">
        <v>2653</v>
      </c>
      <c r="E44" s="187" t="s">
        <v>2522</v>
      </c>
      <c r="F44" s="186" t="s">
        <v>2871</v>
      </c>
      <c r="G44" s="189" t="s">
        <v>2782</v>
      </c>
      <c r="H44" s="194">
        <v>8102964461</v>
      </c>
      <c r="I44" s="195" t="s">
        <v>2873</v>
      </c>
      <c r="J44" s="192" t="s">
        <v>2866</v>
      </c>
      <c r="K44" s="204" t="s">
        <v>2867</v>
      </c>
    </row>
    <row r="45" spans="1:11" ht="24" customHeight="1">
      <c r="A45" s="182" t="s">
        <v>890</v>
      </c>
      <c r="B45" s="184" t="s">
        <v>888</v>
      </c>
      <c r="C45" s="185" t="s">
        <v>2653</v>
      </c>
      <c r="D45" s="186" t="s">
        <v>2653</v>
      </c>
      <c r="E45" s="187" t="s">
        <v>2522</v>
      </c>
      <c r="F45" s="186" t="s">
        <v>2864</v>
      </c>
      <c r="G45" s="189" t="s">
        <v>2799</v>
      </c>
      <c r="H45" s="194">
        <v>5330789212</v>
      </c>
      <c r="I45" s="195" t="s">
        <v>2873</v>
      </c>
      <c r="J45" s="192" t="s">
        <v>2866</v>
      </c>
      <c r="K45" s="204" t="s">
        <v>2867</v>
      </c>
    </row>
    <row r="46" spans="1:11" ht="31.5">
      <c r="A46" s="182" t="s">
        <v>2911</v>
      </c>
      <c r="B46" s="184" t="s">
        <v>1368</v>
      </c>
      <c r="C46" s="185" t="s">
        <v>2653</v>
      </c>
      <c r="D46" s="186" t="s">
        <v>2653</v>
      </c>
      <c r="E46" s="187" t="s">
        <v>2522</v>
      </c>
      <c r="F46" s="186" t="s">
        <v>2871</v>
      </c>
      <c r="G46" s="189" t="s">
        <v>2797</v>
      </c>
      <c r="H46" s="194">
        <v>8901868612</v>
      </c>
      <c r="I46" s="195" t="s">
        <v>2873</v>
      </c>
      <c r="J46" s="192" t="s">
        <v>2866</v>
      </c>
      <c r="K46" s="204" t="s">
        <v>2867</v>
      </c>
    </row>
    <row r="47" spans="1:11" ht="25">
      <c r="A47" s="182" t="s">
        <v>2912</v>
      </c>
      <c r="B47" s="184" t="s">
        <v>2913</v>
      </c>
      <c r="C47" s="185" t="s">
        <v>2653</v>
      </c>
      <c r="D47" s="186" t="s">
        <v>2653</v>
      </c>
      <c r="E47" s="187" t="s">
        <v>2522</v>
      </c>
      <c r="F47" s="186" t="s">
        <v>2871</v>
      </c>
      <c r="G47" s="189" t="s">
        <v>2803</v>
      </c>
      <c r="H47" s="194">
        <v>6392365569</v>
      </c>
      <c r="I47" s="195" t="s">
        <v>2873</v>
      </c>
      <c r="J47" s="192" t="s">
        <v>2866</v>
      </c>
      <c r="K47" s="204" t="s">
        <v>2867</v>
      </c>
    </row>
    <row r="48" spans="1:11" ht="21" customHeight="1">
      <c r="A48" s="182" t="s">
        <v>2801</v>
      </c>
      <c r="B48" s="184" t="s">
        <v>2914</v>
      </c>
      <c r="C48" s="189" t="s">
        <v>2894</v>
      </c>
      <c r="D48" s="200" t="s">
        <v>2881</v>
      </c>
      <c r="E48" s="198" t="s">
        <v>2865</v>
      </c>
      <c r="F48" s="186" t="s">
        <v>2865</v>
      </c>
      <c r="G48" s="186" t="s">
        <v>2865</v>
      </c>
      <c r="H48" s="194">
        <v>5168577767</v>
      </c>
      <c r="I48" s="195" t="s">
        <v>2873</v>
      </c>
      <c r="J48" s="192" t="s">
        <v>2866</v>
      </c>
      <c r="K48" s="204" t="s">
        <v>2867</v>
      </c>
    </row>
    <row r="49" spans="1:11" ht="25">
      <c r="A49" s="182" t="s">
        <v>2915</v>
      </c>
      <c r="B49" s="184" t="s">
        <v>2916</v>
      </c>
      <c r="C49" s="185" t="s">
        <v>2892</v>
      </c>
      <c r="D49" s="186" t="s">
        <v>2653</v>
      </c>
      <c r="E49" s="187" t="s">
        <v>2522</v>
      </c>
      <c r="F49" s="186" t="s">
        <v>2864</v>
      </c>
      <c r="G49" s="189" t="s">
        <v>2794</v>
      </c>
      <c r="H49" s="194">
        <v>8652353162</v>
      </c>
      <c r="I49" s="201" t="s">
        <v>2882</v>
      </c>
      <c r="J49" s="192" t="s">
        <v>2866</v>
      </c>
      <c r="K49" s="204" t="s">
        <v>2867</v>
      </c>
    </row>
    <row r="50" spans="1:11" ht="37.5">
      <c r="A50" s="182" t="s">
        <v>2917</v>
      </c>
      <c r="B50" s="184" t="s">
        <v>2918</v>
      </c>
      <c r="C50" s="185" t="s">
        <v>2653</v>
      </c>
      <c r="D50" s="186" t="s">
        <v>2653</v>
      </c>
      <c r="E50" s="187" t="s">
        <v>2527</v>
      </c>
      <c r="F50" s="186" t="s">
        <v>2864</v>
      </c>
      <c r="G50" s="189" t="s">
        <v>2792</v>
      </c>
      <c r="H50" s="194">
        <v>8906278650</v>
      </c>
      <c r="I50" s="195" t="s">
        <v>2873</v>
      </c>
      <c r="J50" s="192" t="s">
        <v>2866</v>
      </c>
      <c r="K50" s="204" t="s">
        <v>2867</v>
      </c>
    </row>
    <row r="51" spans="1:11" ht="21" customHeight="1">
      <c r="A51" s="182" t="s">
        <v>2990</v>
      </c>
      <c r="B51" s="184" t="s">
        <v>2991</v>
      </c>
      <c r="C51" s="203" t="s">
        <v>2950</v>
      </c>
      <c r="D51" s="186" t="s">
        <v>2653</v>
      </c>
      <c r="E51" s="198" t="s">
        <v>2865</v>
      </c>
      <c r="F51" s="186" t="s">
        <v>2865</v>
      </c>
      <c r="G51" s="186" t="s">
        <v>2865</v>
      </c>
      <c r="H51" s="194">
        <v>8193487888</v>
      </c>
      <c r="I51" s="195" t="s">
        <v>2873</v>
      </c>
      <c r="J51" s="192" t="s">
        <v>2866</v>
      </c>
      <c r="K51" s="204" t="s">
        <v>2867</v>
      </c>
    </row>
    <row r="52" spans="1:11" ht="37.5">
      <c r="A52" s="182" t="s">
        <v>1471</v>
      </c>
      <c r="B52" s="184" t="s">
        <v>1469</v>
      </c>
      <c r="C52" s="185" t="s">
        <v>2653</v>
      </c>
      <c r="D52" s="186" t="s">
        <v>2653</v>
      </c>
      <c r="E52" s="187" t="s">
        <v>2527</v>
      </c>
      <c r="F52" s="186" t="s">
        <v>2864</v>
      </c>
      <c r="G52" s="189" t="s">
        <v>2795</v>
      </c>
      <c r="H52" s="194">
        <v>6436712136</v>
      </c>
      <c r="I52" s="195" t="s">
        <v>2873</v>
      </c>
      <c r="J52" s="192" t="s">
        <v>2866</v>
      </c>
      <c r="K52" s="204" t="s">
        <v>2867</v>
      </c>
    </row>
    <row r="53" spans="1:11" ht="50">
      <c r="A53" s="182" t="s">
        <v>2919</v>
      </c>
      <c r="B53" s="184" t="s">
        <v>2920</v>
      </c>
      <c r="C53" s="197" t="s">
        <v>2878</v>
      </c>
      <c r="D53" s="186" t="s">
        <v>2653</v>
      </c>
      <c r="E53" s="198" t="s">
        <v>2865</v>
      </c>
      <c r="F53" s="186" t="s">
        <v>2865</v>
      </c>
      <c r="G53" s="186" t="s">
        <v>2865</v>
      </c>
      <c r="H53" s="194">
        <v>206744668</v>
      </c>
      <c r="I53" s="195" t="s">
        <v>2873</v>
      </c>
      <c r="J53" s="192" t="s">
        <v>2866</v>
      </c>
      <c r="K53" s="204" t="s">
        <v>2867</v>
      </c>
    </row>
    <row r="54" spans="1:11" ht="21" customHeight="1">
      <c r="A54" s="182" t="s">
        <v>1200</v>
      </c>
      <c r="B54" s="184" t="s">
        <v>1198</v>
      </c>
      <c r="C54" s="185" t="s">
        <v>2653</v>
      </c>
      <c r="D54" s="186" t="s">
        <v>2653</v>
      </c>
      <c r="E54" s="187" t="s">
        <v>2522</v>
      </c>
      <c r="F54" s="186" t="s">
        <v>2864</v>
      </c>
      <c r="G54" s="189" t="s">
        <v>2770</v>
      </c>
      <c r="H54" s="194">
        <v>8251333540</v>
      </c>
      <c r="I54" s="195" t="s">
        <v>2873</v>
      </c>
      <c r="J54" s="192" t="s">
        <v>2866</v>
      </c>
      <c r="K54" s="204" t="s">
        <v>2867</v>
      </c>
    </row>
    <row r="55" spans="1:11" ht="37.5">
      <c r="A55" s="182" t="s">
        <v>2921</v>
      </c>
      <c r="B55" s="184" t="s">
        <v>2922</v>
      </c>
      <c r="C55" s="185" t="s">
        <v>2653</v>
      </c>
      <c r="D55" s="186" t="s">
        <v>2653</v>
      </c>
      <c r="E55" s="187" t="s">
        <v>2527</v>
      </c>
      <c r="F55" s="186" t="s">
        <v>2871</v>
      </c>
      <c r="G55" s="189" t="s">
        <v>2798</v>
      </c>
      <c r="H55" s="194">
        <v>7793029498</v>
      </c>
      <c r="I55" s="195" t="s">
        <v>2873</v>
      </c>
      <c r="J55" s="192" t="s">
        <v>2866</v>
      </c>
      <c r="K55" s="204" t="s">
        <v>2867</v>
      </c>
    </row>
    <row r="56" spans="1:11" ht="25">
      <c r="A56" s="182" t="s">
        <v>2923</v>
      </c>
      <c r="B56" s="184" t="s">
        <v>2924</v>
      </c>
      <c r="C56" s="197" t="s">
        <v>2878</v>
      </c>
      <c r="D56" s="186" t="s">
        <v>2653</v>
      </c>
      <c r="E56" s="198" t="s">
        <v>2865</v>
      </c>
      <c r="F56" s="186" t="s">
        <v>2865</v>
      </c>
      <c r="G56" s="186" t="s">
        <v>2865</v>
      </c>
      <c r="H56" s="194">
        <v>8460664080</v>
      </c>
      <c r="I56" s="195" t="s">
        <v>2873</v>
      </c>
      <c r="J56" s="192" t="s">
        <v>2866</v>
      </c>
      <c r="K56" s="204" t="s">
        <v>2867</v>
      </c>
    </row>
    <row r="57" spans="1:11" ht="21" customHeight="1">
      <c r="A57" s="182" t="s">
        <v>2925</v>
      </c>
      <c r="B57" s="184">
        <v>2613051035</v>
      </c>
      <c r="C57" s="185" t="s">
        <v>2653</v>
      </c>
      <c r="D57" s="186" t="s">
        <v>2653</v>
      </c>
      <c r="E57" s="187" t="s">
        <v>2527</v>
      </c>
      <c r="F57" s="186" t="s">
        <v>2871</v>
      </c>
      <c r="G57" s="189" t="s">
        <v>2798</v>
      </c>
      <c r="H57" s="194">
        <v>7897818692</v>
      </c>
      <c r="I57" s="195" t="s">
        <v>2873</v>
      </c>
      <c r="J57" s="192" t="s">
        <v>2866</v>
      </c>
      <c r="K57" s="204" t="s">
        <v>2867</v>
      </c>
    </row>
    <row r="58" spans="1:11" ht="21">
      <c r="A58" s="182" t="s">
        <v>2992</v>
      </c>
      <c r="B58" s="184" t="s">
        <v>2993</v>
      </c>
      <c r="C58" s="189" t="s">
        <v>2894</v>
      </c>
      <c r="D58" s="200" t="s">
        <v>2881</v>
      </c>
      <c r="E58" s="198" t="s">
        <v>2865</v>
      </c>
      <c r="F58" s="186" t="s">
        <v>2865</v>
      </c>
      <c r="G58" s="186" t="s">
        <v>2865</v>
      </c>
      <c r="H58" s="194">
        <v>6769811218</v>
      </c>
      <c r="I58" s="195" t="s">
        <v>2873</v>
      </c>
      <c r="J58" s="192" t="s">
        <v>2866</v>
      </c>
      <c r="K58" s="204" t="s">
        <v>2867</v>
      </c>
    </row>
    <row r="59" spans="1:11" ht="25">
      <c r="A59" s="182" t="s">
        <v>2994</v>
      </c>
      <c r="B59" s="184" t="s">
        <v>2995</v>
      </c>
      <c r="C59" s="203" t="s">
        <v>2950</v>
      </c>
      <c r="D59" s="186" t="s">
        <v>2653</v>
      </c>
      <c r="E59" s="187" t="s">
        <v>2996</v>
      </c>
      <c r="F59" s="186" t="s">
        <v>2871</v>
      </c>
      <c r="G59" s="186" t="s">
        <v>2865</v>
      </c>
      <c r="H59" s="194">
        <v>6044533550</v>
      </c>
      <c r="I59" s="195" t="s">
        <v>2873</v>
      </c>
      <c r="J59" s="192" t="s">
        <v>2866</v>
      </c>
      <c r="K59" s="204" t="s">
        <v>2867</v>
      </c>
    </row>
    <row r="60" spans="1:11" ht="21" customHeight="1">
      <c r="A60" s="182" t="s">
        <v>1847</v>
      </c>
      <c r="B60" s="184" t="s">
        <v>1845</v>
      </c>
      <c r="C60" s="185" t="s">
        <v>2653</v>
      </c>
      <c r="D60" s="186" t="s">
        <v>2653</v>
      </c>
      <c r="E60" s="187" t="s">
        <v>2527</v>
      </c>
      <c r="F60" s="186" t="s">
        <v>2871</v>
      </c>
      <c r="G60" s="189" t="s">
        <v>2783</v>
      </c>
      <c r="H60" s="194">
        <v>8855551259</v>
      </c>
      <c r="I60" s="195" t="s">
        <v>2873</v>
      </c>
      <c r="J60" s="192" t="s">
        <v>2866</v>
      </c>
      <c r="K60" s="204" t="s">
        <v>2867</v>
      </c>
    </row>
    <row r="61" spans="1:11" ht="31.5">
      <c r="A61" s="182" t="s">
        <v>438</v>
      </c>
      <c r="B61" s="184" t="s">
        <v>436</v>
      </c>
      <c r="C61" s="185" t="s">
        <v>2653</v>
      </c>
      <c r="D61" s="186" t="s">
        <v>2653</v>
      </c>
      <c r="E61" s="187" t="s">
        <v>2522</v>
      </c>
      <c r="F61" s="186" t="s">
        <v>2864</v>
      </c>
      <c r="G61" s="189" t="s">
        <v>2785</v>
      </c>
      <c r="H61" s="194">
        <v>6484161430</v>
      </c>
      <c r="I61" s="195" t="s">
        <v>2873</v>
      </c>
      <c r="J61" s="192" t="s">
        <v>2866</v>
      </c>
      <c r="K61" s="204" t="s">
        <v>2867</v>
      </c>
    </row>
    <row r="62" spans="1:11" ht="25">
      <c r="A62" s="182" t="s">
        <v>619</v>
      </c>
      <c r="B62" s="184" t="s">
        <v>617</v>
      </c>
      <c r="C62" s="185" t="s">
        <v>2653</v>
      </c>
      <c r="D62" s="186" t="s">
        <v>2653</v>
      </c>
      <c r="E62" s="187" t="s">
        <v>2522</v>
      </c>
      <c r="F62" s="186" t="s">
        <v>2864</v>
      </c>
      <c r="G62" s="189" t="s">
        <v>2787</v>
      </c>
      <c r="H62" s="194">
        <v>8672060506</v>
      </c>
      <c r="I62" s="195" t="s">
        <v>2873</v>
      </c>
      <c r="J62" s="192" t="s">
        <v>2866</v>
      </c>
      <c r="K62" s="204" t="s">
        <v>2867</v>
      </c>
    </row>
    <row r="63" spans="1:11" ht="21" customHeight="1">
      <c r="A63" s="182" t="s">
        <v>2997</v>
      </c>
      <c r="B63" s="184" t="s">
        <v>2998</v>
      </c>
      <c r="C63" s="185" t="s">
        <v>2653</v>
      </c>
      <c r="D63" s="186" t="s">
        <v>2653</v>
      </c>
      <c r="E63" s="187" t="s">
        <v>2522</v>
      </c>
      <c r="F63" s="186" t="s">
        <v>2864</v>
      </c>
      <c r="G63" s="189" t="s">
        <v>2794</v>
      </c>
      <c r="H63" s="194">
        <v>8770568393</v>
      </c>
      <c r="I63" s="195" t="s">
        <v>2873</v>
      </c>
      <c r="J63" s="192" t="s">
        <v>2866</v>
      </c>
      <c r="K63" s="204" t="s">
        <v>2867</v>
      </c>
    </row>
    <row r="64" spans="1:11" ht="16">
      <c r="A64" s="182" t="s">
        <v>2999</v>
      </c>
      <c r="B64" s="184" t="s">
        <v>3000</v>
      </c>
      <c r="C64" s="189" t="s">
        <v>2894</v>
      </c>
      <c r="D64" s="202" t="s">
        <v>2989</v>
      </c>
      <c r="E64" s="198" t="s">
        <v>2865</v>
      </c>
      <c r="F64" s="186" t="s">
        <v>2865</v>
      </c>
      <c r="G64" s="186" t="s">
        <v>2865</v>
      </c>
      <c r="H64" s="194">
        <v>8365105392</v>
      </c>
      <c r="I64" s="195" t="s">
        <v>2873</v>
      </c>
      <c r="J64" s="192" t="s">
        <v>2866</v>
      </c>
      <c r="K64" s="204" t="s">
        <v>2867</v>
      </c>
    </row>
    <row r="65" spans="1:11" ht="25">
      <c r="A65" s="182" t="s">
        <v>3001</v>
      </c>
      <c r="B65" s="184" t="s">
        <v>3002</v>
      </c>
      <c r="C65" s="203" t="s">
        <v>2950</v>
      </c>
      <c r="D65" s="186" t="s">
        <v>2653</v>
      </c>
      <c r="E65" s="187" t="s">
        <v>2996</v>
      </c>
      <c r="F65" s="186" t="s">
        <v>2871</v>
      </c>
      <c r="G65" s="186" t="s">
        <v>2865</v>
      </c>
      <c r="H65" s="194">
        <v>6511700452</v>
      </c>
      <c r="I65" s="195" t="s">
        <v>2873</v>
      </c>
      <c r="J65" s="192" t="s">
        <v>2866</v>
      </c>
      <c r="K65" s="204" t="s">
        <v>2867</v>
      </c>
    </row>
    <row r="66" spans="1:11" ht="21">
      <c r="A66" s="182" t="s">
        <v>3003</v>
      </c>
      <c r="B66" s="184" t="s">
        <v>3004</v>
      </c>
      <c r="C66" s="203" t="s">
        <v>2950</v>
      </c>
      <c r="D66" s="186" t="s">
        <v>2653</v>
      </c>
      <c r="E66" s="187" t="s">
        <v>2522</v>
      </c>
      <c r="F66" s="186" t="s">
        <v>2871</v>
      </c>
      <c r="G66" s="189" t="s">
        <v>2779</v>
      </c>
      <c r="H66" s="194">
        <v>8826122949</v>
      </c>
      <c r="I66" s="195" t="s">
        <v>2873</v>
      </c>
      <c r="J66" s="192" t="s">
        <v>2866</v>
      </c>
      <c r="K66" s="204" t="s">
        <v>2867</v>
      </c>
    </row>
    <row r="67" spans="1:11" ht="25">
      <c r="A67" s="182" t="s">
        <v>2926</v>
      </c>
      <c r="B67" s="184" t="s">
        <v>514</v>
      </c>
      <c r="C67" s="185" t="s">
        <v>2892</v>
      </c>
      <c r="D67" s="186" t="s">
        <v>2653</v>
      </c>
      <c r="E67" s="187" t="s">
        <v>2522</v>
      </c>
      <c r="F67" s="186" t="s">
        <v>2871</v>
      </c>
      <c r="G67" s="189" t="s">
        <v>2802</v>
      </c>
      <c r="H67" s="194">
        <v>8955655496</v>
      </c>
      <c r="I67" s="195" t="s">
        <v>2873</v>
      </c>
      <c r="J67" s="192" t="s">
        <v>2866</v>
      </c>
      <c r="K67" s="204" t="s">
        <v>2867</v>
      </c>
    </row>
    <row r="68" spans="1:11">
      <c r="A68" s="182" t="s">
        <v>3005</v>
      </c>
      <c r="B68" s="184" t="s">
        <v>3006</v>
      </c>
      <c r="C68" s="185" t="s">
        <v>2653</v>
      </c>
      <c r="D68" s="186" t="s">
        <v>2653</v>
      </c>
      <c r="E68" s="198" t="s">
        <v>2865</v>
      </c>
      <c r="F68" s="186" t="s">
        <v>2865</v>
      </c>
      <c r="G68" s="186" t="s">
        <v>2865</v>
      </c>
      <c r="H68" s="194">
        <v>6775006424</v>
      </c>
      <c r="I68" s="195" t="s">
        <v>2873</v>
      </c>
      <c r="J68" s="192" t="s">
        <v>2866</v>
      </c>
      <c r="K68" s="204" t="s">
        <v>2867</v>
      </c>
    </row>
    <row r="69" spans="1:11" ht="16">
      <c r="A69" s="182" t="s">
        <v>2927</v>
      </c>
      <c r="B69" s="184" t="s">
        <v>2928</v>
      </c>
      <c r="C69" s="189" t="s">
        <v>2894</v>
      </c>
      <c r="D69" s="200" t="s">
        <v>2881</v>
      </c>
      <c r="E69" s="198" t="s">
        <v>2865</v>
      </c>
      <c r="F69" s="186" t="s">
        <v>2865</v>
      </c>
      <c r="G69" s="186" t="s">
        <v>2865</v>
      </c>
      <c r="H69" s="194">
        <v>7112632843</v>
      </c>
      <c r="I69" s="195" t="s">
        <v>2873</v>
      </c>
      <c r="J69" s="192" t="s">
        <v>2866</v>
      </c>
      <c r="K69" s="204" t="s">
        <v>2867</v>
      </c>
    </row>
    <row r="70" spans="1:11" ht="25">
      <c r="A70" s="182" t="s">
        <v>1306</v>
      </c>
      <c r="B70" s="184" t="s">
        <v>1304</v>
      </c>
      <c r="C70" s="185" t="s">
        <v>2892</v>
      </c>
      <c r="D70" s="186" t="s">
        <v>2653</v>
      </c>
      <c r="E70" s="187" t="s">
        <v>2522</v>
      </c>
      <c r="F70" s="186" t="s">
        <v>2864</v>
      </c>
      <c r="G70" s="189" t="s">
        <v>2800</v>
      </c>
      <c r="H70" s="194">
        <v>8603130107</v>
      </c>
      <c r="I70" s="201" t="s">
        <v>2882</v>
      </c>
      <c r="J70" s="192" t="s">
        <v>2866</v>
      </c>
      <c r="K70" s="204" t="s">
        <v>2867</v>
      </c>
    </row>
    <row r="71" spans="1:11" ht="16">
      <c r="A71" s="182" t="s">
        <v>3007</v>
      </c>
      <c r="B71" s="184" t="s">
        <v>3008</v>
      </c>
      <c r="C71" s="202" t="s">
        <v>3009</v>
      </c>
      <c r="D71" s="186" t="s">
        <v>2653</v>
      </c>
      <c r="E71" s="187" t="s">
        <v>2522</v>
      </c>
      <c r="F71" s="186" t="s">
        <v>2864</v>
      </c>
      <c r="G71" s="189" t="s">
        <v>2800</v>
      </c>
      <c r="H71" s="194">
        <v>89501809088</v>
      </c>
      <c r="I71" s="195" t="s">
        <v>2873</v>
      </c>
      <c r="J71" s="193" t="s">
        <v>2869</v>
      </c>
      <c r="K71" s="204" t="s">
        <v>2870</v>
      </c>
    </row>
    <row r="72" spans="1:11" ht="21">
      <c r="A72" s="182" t="s">
        <v>3010</v>
      </c>
      <c r="B72" s="184" t="s">
        <v>3011</v>
      </c>
      <c r="C72" s="203" t="s">
        <v>2950</v>
      </c>
      <c r="D72" s="186" t="s">
        <v>2653</v>
      </c>
      <c r="E72" s="198" t="s">
        <v>2865</v>
      </c>
      <c r="F72" s="186" t="s">
        <v>2865</v>
      </c>
      <c r="G72" s="186" t="s">
        <v>2865</v>
      </c>
      <c r="H72" s="194">
        <v>8343735719</v>
      </c>
      <c r="I72" s="195" t="s">
        <v>2873</v>
      </c>
      <c r="J72" s="192" t="s">
        <v>2866</v>
      </c>
      <c r="K72" s="204" t="s">
        <v>2867</v>
      </c>
    </row>
    <row r="73" spans="1:11" ht="42">
      <c r="A73" s="182" t="s">
        <v>2929</v>
      </c>
      <c r="B73" s="184" t="s">
        <v>2930</v>
      </c>
      <c r="C73" s="200" t="s">
        <v>2889</v>
      </c>
      <c r="D73" s="186" t="s">
        <v>2653</v>
      </c>
      <c r="E73" s="187" t="s">
        <v>2522</v>
      </c>
      <c r="F73" s="186" t="s">
        <v>2864</v>
      </c>
      <c r="G73" s="189" t="s">
        <v>2789</v>
      </c>
      <c r="H73" s="194">
        <v>6302611388</v>
      </c>
      <c r="I73" s="195" t="s">
        <v>2873</v>
      </c>
      <c r="J73" s="192" t="s">
        <v>2866</v>
      </c>
      <c r="K73" s="204" t="s">
        <v>2867</v>
      </c>
    </row>
    <row r="74" spans="1:11" ht="37.5">
      <c r="A74" s="182" t="s">
        <v>2931</v>
      </c>
      <c r="B74" s="184" t="s">
        <v>2932</v>
      </c>
      <c r="C74" s="185" t="s">
        <v>2653</v>
      </c>
      <c r="D74" s="186" t="s">
        <v>2653</v>
      </c>
      <c r="E74" s="187" t="s">
        <v>2527</v>
      </c>
      <c r="F74" s="186" t="s">
        <v>2864</v>
      </c>
      <c r="G74" s="189" t="s">
        <v>2792</v>
      </c>
      <c r="H74" s="194">
        <v>6655317440</v>
      </c>
      <c r="I74" s="195" t="s">
        <v>2873</v>
      </c>
      <c r="J74" s="192" t="s">
        <v>2866</v>
      </c>
      <c r="K74" s="204" t="s">
        <v>2867</v>
      </c>
    </row>
    <row r="75" spans="1:11" ht="31.5">
      <c r="A75" s="182" t="s">
        <v>2933</v>
      </c>
      <c r="B75" s="184">
        <v>2613051094</v>
      </c>
      <c r="C75" s="185" t="s">
        <v>2653</v>
      </c>
      <c r="D75" s="186" t="s">
        <v>2653</v>
      </c>
      <c r="E75" s="187" t="s">
        <v>2522</v>
      </c>
      <c r="F75" s="186" t="s">
        <v>2871</v>
      </c>
      <c r="G75" s="189" t="s">
        <v>2773</v>
      </c>
      <c r="H75" s="194">
        <v>392836663</v>
      </c>
      <c r="I75" s="195" t="s">
        <v>2873</v>
      </c>
      <c r="J75" s="192" t="s">
        <v>2866</v>
      </c>
      <c r="K75" s="204" t="s">
        <v>2867</v>
      </c>
    </row>
    <row r="76" spans="1:11" ht="21">
      <c r="A76" s="182" t="s">
        <v>2934</v>
      </c>
      <c r="B76" s="184" t="s">
        <v>2935</v>
      </c>
      <c r="C76" s="185" t="s">
        <v>2653</v>
      </c>
      <c r="D76" s="186" t="s">
        <v>2653</v>
      </c>
      <c r="E76" s="198" t="s">
        <v>2865</v>
      </c>
      <c r="F76" s="186" t="s">
        <v>2865</v>
      </c>
      <c r="G76" s="186" t="s">
        <v>2865</v>
      </c>
      <c r="H76" s="194">
        <v>2137290742</v>
      </c>
      <c r="I76" s="195" t="s">
        <v>2873</v>
      </c>
      <c r="J76" s="192" t="s">
        <v>2866</v>
      </c>
      <c r="K76" s="204" t="s">
        <v>2867</v>
      </c>
    </row>
    <row r="77" spans="1:11" ht="37.5">
      <c r="A77" s="182" t="s">
        <v>2936</v>
      </c>
      <c r="B77" s="184" t="s">
        <v>2937</v>
      </c>
      <c r="C77" s="185" t="s">
        <v>2653</v>
      </c>
      <c r="D77" s="186" t="s">
        <v>2653</v>
      </c>
      <c r="E77" s="187" t="s">
        <v>2527</v>
      </c>
      <c r="F77" s="186" t="s">
        <v>2871</v>
      </c>
      <c r="G77" s="189" t="s">
        <v>2798</v>
      </c>
      <c r="H77" s="194">
        <v>6455865390</v>
      </c>
      <c r="I77" s="195" t="s">
        <v>2873</v>
      </c>
      <c r="J77" s="192" t="s">
        <v>2866</v>
      </c>
      <c r="K77" s="204" t="s">
        <v>2867</v>
      </c>
    </row>
    <row r="78" spans="1:11" ht="21">
      <c r="A78" s="182" t="s">
        <v>2938</v>
      </c>
      <c r="B78" s="184">
        <v>2613050978</v>
      </c>
      <c r="C78" s="185" t="s">
        <v>2653</v>
      </c>
      <c r="D78" s="186" t="s">
        <v>2653</v>
      </c>
      <c r="E78" s="187" t="s">
        <v>2522</v>
      </c>
      <c r="F78" s="186" t="s">
        <v>2871</v>
      </c>
      <c r="G78" s="189" t="s">
        <v>2775</v>
      </c>
      <c r="H78" s="194">
        <v>5326242755</v>
      </c>
      <c r="I78" s="195" t="s">
        <v>2873</v>
      </c>
      <c r="J78" s="192" t="s">
        <v>2866</v>
      </c>
      <c r="K78" s="204" t="s">
        <v>2867</v>
      </c>
    </row>
    <row r="79" spans="1:11" ht="25">
      <c r="A79" s="182" t="s">
        <v>2939</v>
      </c>
      <c r="B79" s="184" t="s">
        <v>2940</v>
      </c>
      <c r="C79" s="185" t="s">
        <v>2653</v>
      </c>
      <c r="D79" s="186" t="s">
        <v>2653</v>
      </c>
      <c r="E79" s="187" t="s">
        <v>2522</v>
      </c>
      <c r="F79" s="186" t="s">
        <v>2864</v>
      </c>
      <c r="G79" s="189" t="s">
        <v>2793</v>
      </c>
      <c r="H79" s="194">
        <v>8233583257</v>
      </c>
      <c r="I79" s="195" t="s">
        <v>2873</v>
      </c>
      <c r="J79" s="192" t="s">
        <v>2866</v>
      </c>
      <c r="K79" s="204" t="s">
        <v>2867</v>
      </c>
    </row>
    <row r="80" spans="1:11" ht="37.5">
      <c r="A80" s="182" t="s">
        <v>2941</v>
      </c>
      <c r="B80" s="184" t="s">
        <v>2942</v>
      </c>
      <c r="C80" s="185" t="s">
        <v>2653</v>
      </c>
      <c r="D80" s="186" t="s">
        <v>2653</v>
      </c>
      <c r="E80" s="187" t="s">
        <v>2527</v>
      </c>
      <c r="F80" s="186" t="s">
        <v>2864</v>
      </c>
      <c r="G80" s="189" t="s">
        <v>2790</v>
      </c>
      <c r="H80" s="194">
        <v>8972834398</v>
      </c>
      <c r="I80" s="195" t="s">
        <v>2873</v>
      </c>
      <c r="J80" s="192" t="s">
        <v>2866</v>
      </c>
      <c r="K80" s="204" t="s">
        <v>2867</v>
      </c>
    </row>
    <row r="81" spans="1:11" ht="37.5">
      <c r="A81" s="182" t="s">
        <v>2943</v>
      </c>
      <c r="B81" s="184" t="s">
        <v>2944</v>
      </c>
      <c r="C81" s="185" t="s">
        <v>2653</v>
      </c>
      <c r="D81" s="186" t="s">
        <v>2653</v>
      </c>
      <c r="E81" s="187" t="s">
        <v>2527</v>
      </c>
      <c r="F81" s="186" t="s">
        <v>2871</v>
      </c>
      <c r="G81" s="189" t="s">
        <v>2783</v>
      </c>
      <c r="H81" s="194">
        <v>7088347723</v>
      </c>
      <c r="I81" s="195" t="s">
        <v>2873</v>
      </c>
      <c r="J81" s="192" t="s">
        <v>2866</v>
      </c>
      <c r="K81" s="204" t="s">
        <v>2867</v>
      </c>
    </row>
    <row r="82" spans="1:11" ht="21">
      <c r="A82" s="182" t="s">
        <v>3012</v>
      </c>
      <c r="B82" s="184" t="s">
        <v>3013</v>
      </c>
      <c r="C82" s="203" t="s">
        <v>2950</v>
      </c>
      <c r="D82" s="186" t="s">
        <v>2653</v>
      </c>
      <c r="E82" s="187" t="s">
        <v>2522</v>
      </c>
      <c r="F82" s="186" t="s">
        <v>2864</v>
      </c>
      <c r="G82" s="189" t="s">
        <v>2769</v>
      </c>
      <c r="H82" s="194">
        <v>1678186007</v>
      </c>
      <c r="I82" s="195" t="s">
        <v>2873</v>
      </c>
      <c r="J82" s="192" t="s">
        <v>2866</v>
      </c>
      <c r="K82" s="204" t="s">
        <v>2867</v>
      </c>
    </row>
    <row r="83" spans="1:11" ht="37.5">
      <c r="A83" s="182" t="s">
        <v>2945</v>
      </c>
      <c r="B83" s="184" t="s">
        <v>1779</v>
      </c>
      <c r="C83" s="185" t="s">
        <v>2653</v>
      </c>
      <c r="D83" s="186" t="s">
        <v>2653</v>
      </c>
      <c r="E83" s="187" t="s">
        <v>2527</v>
      </c>
      <c r="F83" s="186" t="s">
        <v>2871</v>
      </c>
      <c r="G83" s="189" t="s">
        <v>2801</v>
      </c>
      <c r="H83" s="194">
        <v>8493714808</v>
      </c>
      <c r="I83" s="195" t="s">
        <v>2873</v>
      </c>
      <c r="J83" s="192" t="s">
        <v>2866</v>
      </c>
      <c r="K83" s="204" t="s">
        <v>2867</v>
      </c>
    </row>
    <row r="84" spans="1:11">
      <c r="A84" s="182" t="s">
        <v>3014</v>
      </c>
      <c r="B84" s="184" t="s">
        <v>3015</v>
      </c>
      <c r="C84" s="185" t="s">
        <v>2653</v>
      </c>
      <c r="D84" s="186" t="s">
        <v>2653</v>
      </c>
      <c r="E84" s="198" t="s">
        <v>2865</v>
      </c>
      <c r="F84" s="186" t="s">
        <v>2865</v>
      </c>
      <c r="G84" s="186" t="s">
        <v>2865</v>
      </c>
      <c r="H84" s="194">
        <v>8791867175</v>
      </c>
      <c r="I84" s="195" t="s">
        <v>2873</v>
      </c>
      <c r="J84" s="192" t="s">
        <v>2866</v>
      </c>
      <c r="K84" s="204" t="s">
        <v>2867</v>
      </c>
    </row>
    <row r="85" spans="1:11" ht="37.5">
      <c r="A85" s="182" t="s">
        <v>2946</v>
      </c>
      <c r="B85" s="184" t="s">
        <v>2947</v>
      </c>
      <c r="C85" s="185" t="s">
        <v>2653</v>
      </c>
      <c r="D85" s="186" t="s">
        <v>2653</v>
      </c>
      <c r="E85" s="187" t="s">
        <v>2527</v>
      </c>
      <c r="F85" s="186" t="s">
        <v>2864</v>
      </c>
      <c r="G85" s="189" t="s">
        <v>2791</v>
      </c>
      <c r="H85" s="194">
        <v>1503418710</v>
      </c>
      <c r="I85" s="195" t="s">
        <v>2873</v>
      </c>
      <c r="J85" s="192" t="s">
        <v>2866</v>
      </c>
      <c r="K85" s="204" t="s">
        <v>2867</v>
      </c>
    </row>
    <row r="86" spans="1:11" ht="31.5">
      <c r="A86" s="182" t="s">
        <v>1432</v>
      </c>
      <c r="B86" s="184" t="s">
        <v>1430</v>
      </c>
      <c r="C86" s="185" t="s">
        <v>2653</v>
      </c>
      <c r="D86" s="186" t="s">
        <v>2653</v>
      </c>
      <c r="E86" s="187" t="s">
        <v>2522</v>
      </c>
      <c r="F86" s="186" t="s">
        <v>2864</v>
      </c>
      <c r="G86" s="189" t="s">
        <v>2786</v>
      </c>
      <c r="H86" s="194">
        <v>2083367828</v>
      </c>
      <c r="I86" s="195" t="s">
        <v>2873</v>
      </c>
      <c r="J86" s="192" t="s">
        <v>2866</v>
      </c>
      <c r="K86" s="204" t="s">
        <v>2867</v>
      </c>
    </row>
    <row r="87" spans="1:11" ht="37.5">
      <c r="A87" s="182" t="s">
        <v>3016</v>
      </c>
      <c r="B87" s="184" t="s">
        <v>3017</v>
      </c>
      <c r="C87" s="185" t="s">
        <v>2653</v>
      </c>
      <c r="D87" s="186" t="s">
        <v>2653</v>
      </c>
      <c r="E87" s="187" t="s">
        <v>2527</v>
      </c>
      <c r="F87" s="186" t="s">
        <v>2864</v>
      </c>
      <c r="G87" s="189" t="s">
        <v>2771</v>
      </c>
      <c r="H87" s="194">
        <v>6510730543</v>
      </c>
      <c r="I87" s="195" t="s">
        <v>2873</v>
      </c>
      <c r="J87" s="192" t="s">
        <v>2866</v>
      </c>
      <c r="K87" s="204" t="s">
        <v>2867</v>
      </c>
    </row>
    <row r="88" spans="1:11" ht="25">
      <c r="A88" s="182" t="s">
        <v>2948</v>
      </c>
      <c r="B88" s="184" t="s">
        <v>2949</v>
      </c>
      <c r="C88" s="200" t="s">
        <v>2889</v>
      </c>
      <c r="D88" s="186" t="s">
        <v>2653</v>
      </c>
      <c r="E88" s="187" t="s">
        <v>2522</v>
      </c>
      <c r="F88" s="186" t="s">
        <v>2864</v>
      </c>
      <c r="G88" s="189" t="s">
        <v>2787</v>
      </c>
      <c r="H88" s="194">
        <v>8434945637</v>
      </c>
      <c r="I88" s="195" t="s">
        <v>2873</v>
      </c>
      <c r="J88" s="192" t="s">
        <v>2866</v>
      </c>
      <c r="K88" s="204" t="s">
        <v>2867</v>
      </c>
    </row>
    <row r="89" spans="1:11" ht="21">
      <c r="A89" s="182" t="s">
        <v>3018</v>
      </c>
      <c r="B89" s="184" t="s">
        <v>3019</v>
      </c>
      <c r="C89" s="203" t="s">
        <v>2950</v>
      </c>
      <c r="D89" s="186" t="s">
        <v>2653</v>
      </c>
      <c r="E89" s="187" t="s">
        <v>2996</v>
      </c>
      <c r="F89" s="186" t="s">
        <v>2871</v>
      </c>
      <c r="G89" s="186" t="s">
        <v>2865</v>
      </c>
      <c r="H89" s="194">
        <v>8508185579</v>
      </c>
      <c r="I89" s="195" t="s">
        <v>2873</v>
      </c>
      <c r="J89" s="192" t="s">
        <v>2866</v>
      </c>
      <c r="K89" s="204" t="s">
        <v>2867</v>
      </c>
    </row>
    <row r="90" spans="1:11" ht="31.5">
      <c r="A90" s="182" t="s">
        <v>2951</v>
      </c>
      <c r="B90" s="184" t="s">
        <v>2952</v>
      </c>
      <c r="C90" s="197" t="s">
        <v>2878</v>
      </c>
      <c r="D90" s="186" t="s">
        <v>2653</v>
      </c>
      <c r="E90" s="198" t="s">
        <v>2865</v>
      </c>
      <c r="F90" s="186" t="s">
        <v>2865</v>
      </c>
      <c r="G90" s="186" t="s">
        <v>2865</v>
      </c>
      <c r="H90" s="194">
        <v>8820326035</v>
      </c>
      <c r="I90" s="195" t="s">
        <v>2873</v>
      </c>
      <c r="J90" s="192" t="s">
        <v>2866</v>
      </c>
      <c r="K90" s="204" t="s">
        <v>2867</v>
      </c>
    </row>
    <row r="91" spans="1:11" ht="37.5">
      <c r="A91" s="182" t="s">
        <v>756</v>
      </c>
      <c r="B91" s="184" t="s">
        <v>754</v>
      </c>
      <c r="C91" s="185" t="s">
        <v>2653</v>
      </c>
      <c r="D91" s="186" t="s">
        <v>2653</v>
      </c>
      <c r="E91" s="187" t="s">
        <v>2522</v>
      </c>
      <c r="F91" s="186" t="s">
        <v>2871</v>
      </c>
      <c r="G91" s="189" t="s">
        <v>2779</v>
      </c>
      <c r="H91" s="194">
        <v>8587349867</v>
      </c>
      <c r="I91" s="195" t="s">
        <v>2873</v>
      </c>
      <c r="J91" s="192" t="s">
        <v>2866</v>
      </c>
      <c r="K91" s="204" t="s">
        <v>2867</v>
      </c>
    </row>
    <row r="92" spans="1:11" ht="21">
      <c r="A92" s="182" t="s">
        <v>2810</v>
      </c>
      <c r="B92" s="184" t="s">
        <v>3020</v>
      </c>
      <c r="C92" s="189" t="s">
        <v>2894</v>
      </c>
      <c r="D92" s="202" t="s">
        <v>2989</v>
      </c>
      <c r="E92" s="198" t="s">
        <v>2865</v>
      </c>
      <c r="F92" s="186" t="s">
        <v>2865</v>
      </c>
      <c r="G92" s="186" t="s">
        <v>2865</v>
      </c>
      <c r="H92" s="194">
        <v>1895823495</v>
      </c>
      <c r="I92" s="195" t="s">
        <v>2873</v>
      </c>
      <c r="J92" s="192" t="s">
        <v>2866</v>
      </c>
      <c r="K92" s="204" t="s">
        <v>2867</v>
      </c>
    </row>
    <row r="93" spans="1:11" ht="21">
      <c r="A93" s="182" t="s">
        <v>3021</v>
      </c>
      <c r="B93" s="184" t="s">
        <v>3022</v>
      </c>
      <c r="C93" s="203" t="s">
        <v>2950</v>
      </c>
      <c r="D93" s="186" t="s">
        <v>2653</v>
      </c>
      <c r="E93" s="198" t="s">
        <v>2865</v>
      </c>
      <c r="F93" s="186" t="s">
        <v>2865</v>
      </c>
      <c r="G93" s="186" t="s">
        <v>2865</v>
      </c>
      <c r="H93" s="194">
        <v>8649617254</v>
      </c>
      <c r="I93" s="195" t="s">
        <v>2873</v>
      </c>
      <c r="J93" s="192" t="s">
        <v>2866</v>
      </c>
      <c r="K93" s="204" t="s">
        <v>2867</v>
      </c>
    </row>
    <row r="94" spans="1:11" ht="16">
      <c r="A94" s="182" t="s">
        <v>3645</v>
      </c>
      <c r="B94" s="184" t="s">
        <v>3646</v>
      </c>
      <c r="C94" s="189" t="s">
        <v>2894</v>
      </c>
      <c r="D94" s="186" t="s">
        <v>2653</v>
      </c>
      <c r="E94" s="198" t="s">
        <v>2865</v>
      </c>
      <c r="F94" s="186" t="s">
        <v>2865</v>
      </c>
      <c r="G94" s="186" t="s">
        <v>2865</v>
      </c>
      <c r="H94" s="194">
        <v>906042187</v>
      </c>
      <c r="I94" s="201" t="s">
        <v>2882</v>
      </c>
      <c r="J94" s="192" t="s">
        <v>2866</v>
      </c>
      <c r="K94" s="204" t="s">
        <v>2867</v>
      </c>
    </row>
    <row r="95" spans="1:11" ht="37.5">
      <c r="A95" s="182" t="s">
        <v>2953</v>
      </c>
      <c r="B95" s="184" t="s">
        <v>2954</v>
      </c>
      <c r="C95" s="185" t="s">
        <v>2653</v>
      </c>
      <c r="D95" s="186" t="s">
        <v>2653</v>
      </c>
      <c r="E95" s="187" t="s">
        <v>2522</v>
      </c>
      <c r="F95" s="186" t="s">
        <v>2864</v>
      </c>
      <c r="G95" s="189" t="s">
        <v>2789</v>
      </c>
      <c r="H95" s="194">
        <v>8599164541</v>
      </c>
      <c r="I95" s="195" t="s">
        <v>2873</v>
      </c>
      <c r="J95" s="192" t="s">
        <v>2866</v>
      </c>
      <c r="K95" s="204" t="s">
        <v>2867</v>
      </c>
    </row>
    <row r="96" spans="1:11" ht="37.5">
      <c r="A96" s="182" t="s">
        <v>1888</v>
      </c>
      <c r="B96" s="184" t="s">
        <v>1886</v>
      </c>
      <c r="C96" s="202" t="s">
        <v>2900</v>
      </c>
      <c r="D96" s="186" t="s">
        <v>2653</v>
      </c>
      <c r="E96" s="187" t="s">
        <v>2527</v>
      </c>
      <c r="F96" s="186" t="s">
        <v>2871</v>
      </c>
      <c r="G96" s="189" t="s">
        <v>2777</v>
      </c>
      <c r="H96" s="194">
        <v>1446832099</v>
      </c>
      <c r="I96" s="201" t="s">
        <v>2882</v>
      </c>
      <c r="J96" s="192" t="s">
        <v>2866</v>
      </c>
      <c r="K96" s="204" t="s">
        <v>2867</v>
      </c>
    </row>
    <row r="97" spans="1:11" ht="16">
      <c r="A97" s="182" t="s">
        <v>3023</v>
      </c>
      <c r="B97" s="184" t="s">
        <v>3024</v>
      </c>
      <c r="C97" s="189" t="s">
        <v>2894</v>
      </c>
      <c r="D97" s="200" t="s">
        <v>2881</v>
      </c>
      <c r="E97" s="198" t="s">
        <v>2865</v>
      </c>
      <c r="F97" s="186" t="s">
        <v>2865</v>
      </c>
      <c r="G97" s="186" t="s">
        <v>2865</v>
      </c>
      <c r="H97" s="194">
        <v>7903151610</v>
      </c>
      <c r="I97" s="195" t="s">
        <v>2873</v>
      </c>
      <c r="J97" s="192" t="s">
        <v>2866</v>
      </c>
      <c r="K97" s="204" t="s">
        <v>2867</v>
      </c>
    </row>
    <row r="98" spans="1:11" ht="21">
      <c r="A98" s="182" t="s">
        <v>2798</v>
      </c>
      <c r="B98" s="184" t="s">
        <v>2955</v>
      </c>
      <c r="C98" s="189" t="s">
        <v>2894</v>
      </c>
      <c r="D98" s="200" t="s">
        <v>2881</v>
      </c>
      <c r="E98" s="198" t="s">
        <v>2865</v>
      </c>
      <c r="F98" s="186" t="s">
        <v>2865</v>
      </c>
      <c r="G98" s="186" t="s">
        <v>2865</v>
      </c>
      <c r="H98" s="194">
        <v>1022168508</v>
      </c>
      <c r="I98" s="195" t="s">
        <v>2873</v>
      </c>
      <c r="J98" s="192" t="s">
        <v>2866</v>
      </c>
      <c r="K98" s="204" t="s">
        <v>2867</v>
      </c>
    </row>
    <row r="99" spans="1:11" ht="37.5">
      <c r="A99" s="182" t="s">
        <v>2956</v>
      </c>
      <c r="B99" s="184" t="s">
        <v>2957</v>
      </c>
      <c r="C99" s="185" t="s">
        <v>2892</v>
      </c>
      <c r="D99" s="186" t="s">
        <v>2653</v>
      </c>
      <c r="E99" s="187" t="s">
        <v>2522</v>
      </c>
      <c r="F99" s="186" t="s">
        <v>2864</v>
      </c>
      <c r="G99" s="189" t="s">
        <v>2789</v>
      </c>
      <c r="H99" s="194">
        <v>5345761697</v>
      </c>
      <c r="I99" s="201" t="s">
        <v>2882</v>
      </c>
      <c r="J99" s="192" t="s">
        <v>2866</v>
      </c>
      <c r="K99" s="204" t="s">
        <v>2867</v>
      </c>
    </row>
    <row r="100" spans="1:11" ht="37.5">
      <c r="A100" s="182" t="s">
        <v>1805</v>
      </c>
      <c r="B100" s="184" t="s">
        <v>1803</v>
      </c>
      <c r="C100" s="185" t="s">
        <v>2653</v>
      </c>
      <c r="D100" s="186" t="s">
        <v>2653</v>
      </c>
      <c r="E100" s="187" t="s">
        <v>2527</v>
      </c>
      <c r="F100" s="186" t="s">
        <v>2871</v>
      </c>
      <c r="G100" s="189" t="s">
        <v>2772</v>
      </c>
      <c r="H100" s="194">
        <v>7422592246</v>
      </c>
      <c r="I100" s="195" t="s">
        <v>2873</v>
      </c>
      <c r="J100" s="192" t="s">
        <v>2866</v>
      </c>
      <c r="K100" s="204" t="s">
        <v>2867</v>
      </c>
    </row>
    <row r="101" spans="1:11" ht="25">
      <c r="A101" s="182" t="s">
        <v>2958</v>
      </c>
      <c r="B101" s="184" t="s">
        <v>971</v>
      </c>
      <c r="C101" s="185" t="s">
        <v>2653</v>
      </c>
      <c r="D101" s="186" t="s">
        <v>2653</v>
      </c>
      <c r="E101" s="187" t="s">
        <v>2522</v>
      </c>
      <c r="F101" s="186" t="s">
        <v>2871</v>
      </c>
      <c r="G101" s="189" t="s">
        <v>2773</v>
      </c>
      <c r="H101" s="194">
        <v>8314477409</v>
      </c>
      <c r="I101" s="195" t="s">
        <v>2873</v>
      </c>
      <c r="J101" s="192" t="s">
        <v>2866</v>
      </c>
      <c r="K101" s="204" t="s">
        <v>2867</v>
      </c>
    </row>
    <row r="102" spans="1:11" ht="37.5">
      <c r="A102" s="182" t="s">
        <v>1793</v>
      </c>
      <c r="B102" s="184" t="s">
        <v>1791</v>
      </c>
      <c r="C102" s="185" t="s">
        <v>2653</v>
      </c>
      <c r="D102" s="186" t="s">
        <v>2653</v>
      </c>
      <c r="E102" s="187" t="s">
        <v>2527</v>
      </c>
      <c r="F102" s="186" t="s">
        <v>2871</v>
      </c>
      <c r="G102" s="189" t="s">
        <v>2772</v>
      </c>
      <c r="H102" s="194">
        <v>7946144084</v>
      </c>
      <c r="I102" s="195" t="s">
        <v>2873</v>
      </c>
      <c r="J102" s="192" t="s">
        <v>2866</v>
      </c>
      <c r="K102" s="204" t="s">
        <v>2867</v>
      </c>
    </row>
    <row r="103" spans="1:11" ht="37.5">
      <c r="A103" s="182" t="s">
        <v>2959</v>
      </c>
      <c r="B103" s="184" t="s">
        <v>2960</v>
      </c>
      <c r="C103" s="185" t="s">
        <v>2653</v>
      </c>
      <c r="D103" s="186" t="s">
        <v>2653</v>
      </c>
      <c r="E103" s="187" t="s">
        <v>2527</v>
      </c>
      <c r="F103" s="186" t="s">
        <v>2864</v>
      </c>
      <c r="G103" s="189" t="s">
        <v>2795</v>
      </c>
      <c r="H103" s="194">
        <v>8884252636</v>
      </c>
      <c r="I103" s="195" t="s">
        <v>2873</v>
      </c>
      <c r="J103" s="192" t="s">
        <v>2866</v>
      </c>
      <c r="K103" s="204" t="s">
        <v>2867</v>
      </c>
    </row>
    <row r="104" spans="1:11" ht="31.5">
      <c r="A104" s="182" t="s">
        <v>580</v>
      </c>
      <c r="B104" s="184" t="s">
        <v>578</v>
      </c>
      <c r="C104" s="185" t="s">
        <v>2653</v>
      </c>
      <c r="D104" s="186" t="s">
        <v>2653</v>
      </c>
      <c r="E104" s="187" t="s">
        <v>2522</v>
      </c>
      <c r="F104" s="186" t="s">
        <v>2871</v>
      </c>
      <c r="G104" s="189" t="s">
        <v>2775</v>
      </c>
      <c r="H104" s="194">
        <v>1716620959</v>
      </c>
      <c r="I104" s="195" t="s">
        <v>2873</v>
      </c>
      <c r="J104" s="192" t="s">
        <v>2866</v>
      </c>
      <c r="K104" s="204" t="s">
        <v>2867</v>
      </c>
    </row>
    <row r="105" spans="1:11" ht="21">
      <c r="A105" s="182" t="s">
        <v>3025</v>
      </c>
      <c r="B105" s="184" t="s">
        <v>3026</v>
      </c>
      <c r="C105" s="203" t="s">
        <v>2950</v>
      </c>
      <c r="D105" s="186" t="s">
        <v>2653</v>
      </c>
      <c r="E105" s="187" t="s">
        <v>2527</v>
      </c>
      <c r="F105" s="186" t="s">
        <v>2864</v>
      </c>
      <c r="G105" s="189" t="s">
        <v>2788</v>
      </c>
      <c r="H105" s="194">
        <v>2072045837</v>
      </c>
      <c r="I105" s="195" t="s">
        <v>2873</v>
      </c>
      <c r="J105" s="192" t="s">
        <v>2866</v>
      </c>
      <c r="K105" s="204" t="s">
        <v>2867</v>
      </c>
    </row>
    <row r="106" spans="1:11" ht="21">
      <c r="A106" s="182" t="s">
        <v>2961</v>
      </c>
      <c r="B106" s="184">
        <v>2613050766</v>
      </c>
      <c r="C106" s="185" t="s">
        <v>2653</v>
      </c>
      <c r="D106" s="186" t="s">
        <v>2653</v>
      </c>
      <c r="E106" s="187" t="s">
        <v>2527</v>
      </c>
      <c r="F106" s="186" t="s">
        <v>2864</v>
      </c>
      <c r="G106" s="189" t="s">
        <v>2791</v>
      </c>
      <c r="H106" s="194">
        <v>6368643925</v>
      </c>
      <c r="I106" s="195" t="s">
        <v>2873</v>
      </c>
      <c r="J106" s="192" t="s">
        <v>2866</v>
      </c>
      <c r="K106" s="204" t="s">
        <v>2867</v>
      </c>
    </row>
    <row r="107" spans="1:11" ht="37.5">
      <c r="A107" s="182" t="s">
        <v>2962</v>
      </c>
      <c r="B107" s="184" t="s">
        <v>2963</v>
      </c>
      <c r="C107" s="185" t="s">
        <v>2892</v>
      </c>
      <c r="D107" s="186" t="s">
        <v>2653</v>
      </c>
      <c r="E107" s="187" t="s">
        <v>2527</v>
      </c>
      <c r="F107" s="186" t="s">
        <v>2871</v>
      </c>
      <c r="G107" s="189" t="s">
        <v>2872</v>
      </c>
      <c r="H107" s="194">
        <v>7571303387</v>
      </c>
      <c r="I107" s="195" t="s">
        <v>2873</v>
      </c>
      <c r="J107" s="192" t="s">
        <v>2866</v>
      </c>
      <c r="K107" s="204" t="s">
        <v>2867</v>
      </c>
    </row>
    <row r="108" spans="1:11" ht="16">
      <c r="A108" s="182" t="s">
        <v>3647</v>
      </c>
      <c r="B108" s="184" t="s">
        <v>3648</v>
      </c>
      <c r="C108" s="203" t="s">
        <v>2950</v>
      </c>
      <c r="D108" s="186" t="s">
        <v>2653</v>
      </c>
      <c r="E108" s="187" t="s">
        <v>2996</v>
      </c>
      <c r="F108" s="186" t="s">
        <v>2871</v>
      </c>
      <c r="G108" s="186" t="s">
        <v>2865</v>
      </c>
      <c r="H108" s="194">
        <v>6208067863</v>
      </c>
      <c r="I108" s="195" t="s">
        <v>2873</v>
      </c>
      <c r="J108" s="192" t="s">
        <v>2866</v>
      </c>
      <c r="K108" s="204" t="s">
        <v>2867</v>
      </c>
    </row>
    <row r="109" spans="1:11" ht="25">
      <c r="A109" s="182" t="s">
        <v>1077</v>
      </c>
      <c r="B109" s="184" t="s">
        <v>1075</v>
      </c>
      <c r="C109" s="185" t="s">
        <v>2653</v>
      </c>
      <c r="D109" s="186" t="s">
        <v>2653</v>
      </c>
      <c r="E109" s="187" t="s">
        <v>2522</v>
      </c>
      <c r="F109" s="186" t="s">
        <v>2864</v>
      </c>
      <c r="G109" s="189" t="s">
        <v>2787</v>
      </c>
      <c r="H109" s="194">
        <v>8274900995</v>
      </c>
      <c r="I109" s="195" t="s">
        <v>2873</v>
      </c>
      <c r="J109" s="192" t="s">
        <v>2866</v>
      </c>
      <c r="K109" s="204" t="s">
        <v>2867</v>
      </c>
    </row>
    <row r="110" spans="1:11" ht="25">
      <c r="A110" s="182" t="s">
        <v>574</v>
      </c>
      <c r="B110" s="184" t="s">
        <v>572</v>
      </c>
      <c r="C110" s="185" t="s">
        <v>2653</v>
      </c>
      <c r="D110" s="186" t="s">
        <v>2653</v>
      </c>
      <c r="E110" s="187" t="s">
        <v>2522</v>
      </c>
      <c r="F110" s="186" t="s">
        <v>2871</v>
      </c>
      <c r="G110" s="189" t="s">
        <v>2775</v>
      </c>
      <c r="H110" s="194">
        <v>7416269307</v>
      </c>
      <c r="I110" s="195" t="s">
        <v>2873</v>
      </c>
      <c r="J110" s="192" t="s">
        <v>2866</v>
      </c>
      <c r="K110" s="204" t="s">
        <v>2867</v>
      </c>
    </row>
    <row r="111" spans="1:11">
      <c r="A111" s="182" t="s">
        <v>2964</v>
      </c>
      <c r="B111" s="184" t="s">
        <v>2965</v>
      </c>
      <c r="C111" s="203" t="s">
        <v>2950</v>
      </c>
      <c r="D111" s="186" t="s">
        <v>2653</v>
      </c>
      <c r="E111" s="198" t="s">
        <v>2865</v>
      </c>
      <c r="F111" s="186" t="s">
        <v>2865</v>
      </c>
      <c r="G111" s="186" t="s">
        <v>2865</v>
      </c>
      <c r="H111" s="194">
        <v>8338119899</v>
      </c>
      <c r="I111" s="195" t="s">
        <v>2873</v>
      </c>
      <c r="J111" s="192" t="s">
        <v>2866</v>
      </c>
      <c r="K111" s="204" t="s">
        <v>2867</v>
      </c>
    </row>
    <row r="112" spans="1:11" ht="37.5">
      <c r="A112" s="182" t="s">
        <v>216</v>
      </c>
      <c r="B112" s="184" t="s">
        <v>2966</v>
      </c>
      <c r="C112" s="185" t="s">
        <v>2653</v>
      </c>
      <c r="D112" s="186" t="s">
        <v>2653</v>
      </c>
      <c r="E112" s="187" t="s">
        <v>2527</v>
      </c>
      <c r="F112" s="186" t="s">
        <v>2871</v>
      </c>
      <c r="G112" s="189" t="s">
        <v>2798</v>
      </c>
      <c r="H112" s="194">
        <v>6349509646</v>
      </c>
      <c r="I112" s="195" t="s">
        <v>2873</v>
      </c>
      <c r="J112" s="192" t="s">
        <v>2866</v>
      </c>
      <c r="K112" s="204" t="s">
        <v>2867</v>
      </c>
    </row>
    <row r="113" spans="1:11" ht="37.5">
      <c r="A113" s="182" t="s">
        <v>2967</v>
      </c>
      <c r="B113" s="184" t="s">
        <v>2968</v>
      </c>
      <c r="C113" s="185" t="s">
        <v>2653</v>
      </c>
      <c r="D113" s="186" t="s">
        <v>2653</v>
      </c>
      <c r="E113" s="187" t="s">
        <v>2527</v>
      </c>
      <c r="F113" s="186" t="s">
        <v>2864</v>
      </c>
      <c r="G113" s="189" t="s">
        <v>2768</v>
      </c>
      <c r="H113" s="194">
        <v>8152616978</v>
      </c>
      <c r="I113" s="195" t="s">
        <v>2873</v>
      </c>
      <c r="J113" s="192" t="s">
        <v>2866</v>
      </c>
      <c r="K113" s="204" t="s">
        <v>2867</v>
      </c>
    </row>
    <row r="114" spans="1:11" ht="21">
      <c r="A114" s="182" t="s">
        <v>2969</v>
      </c>
      <c r="B114" s="184">
        <v>2613051027</v>
      </c>
      <c r="C114" s="185" t="s">
        <v>2653</v>
      </c>
      <c r="D114" s="186" t="s">
        <v>2653</v>
      </c>
      <c r="E114" s="187" t="s">
        <v>2527</v>
      </c>
      <c r="F114" s="186" t="s">
        <v>2871</v>
      </c>
      <c r="G114" s="189" t="s">
        <v>2798</v>
      </c>
      <c r="H114" s="194">
        <v>8792720014</v>
      </c>
      <c r="I114" s="195" t="s">
        <v>2873</v>
      </c>
      <c r="J114" s="192" t="s">
        <v>2866</v>
      </c>
      <c r="K114" s="204" t="s">
        <v>2867</v>
      </c>
    </row>
    <row r="115" spans="1:11" ht="37.5">
      <c r="A115" s="182" t="s">
        <v>1486</v>
      </c>
      <c r="B115" s="184" t="s">
        <v>1484</v>
      </c>
      <c r="C115" s="185" t="s">
        <v>2653</v>
      </c>
      <c r="D115" s="186" t="s">
        <v>2653</v>
      </c>
      <c r="E115" s="187" t="s">
        <v>2527</v>
      </c>
      <c r="F115" s="186" t="s">
        <v>2864</v>
      </c>
      <c r="G115" s="189" t="s">
        <v>2791</v>
      </c>
      <c r="H115" s="194">
        <v>7869375876</v>
      </c>
      <c r="I115" s="195" t="s">
        <v>2873</v>
      </c>
      <c r="J115" s="192" t="s">
        <v>2866</v>
      </c>
      <c r="K115" s="204" t="s">
        <v>2867</v>
      </c>
    </row>
    <row r="116" spans="1:11" ht="37.5">
      <c r="A116" s="182" t="s">
        <v>1745</v>
      </c>
      <c r="B116" s="184" t="s">
        <v>1743</v>
      </c>
      <c r="C116" s="185" t="s">
        <v>2653</v>
      </c>
      <c r="D116" s="186" t="s">
        <v>2653</v>
      </c>
      <c r="E116" s="187" t="s">
        <v>2527</v>
      </c>
      <c r="F116" s="186" t="s">
        <v>2871</v>
      </c>
      <c r="G116" s="189" t="s">
        <v>2872</v>
      </c>
      <c r="H116" s="194">
        <v>8422037382</v>
      </c>
      <c r="I116" s="195" t="s">
        <v>2873</v>
      </c>
      <c r="J116" s="192" t="s">
        <v>2866</v>
      </c>
      <c r="K116" s="204" t="s">
        <v>2867</v>
      </c>
    </row>
    <row r="117" spans="1:11" ht="25">
      <c r="A117" s="182" t="s">
        <v>532</v>
      </c>
      <c r="B117" s="184" t="s">
        <v>530</v>
      </c>
      <c r="C117" s="185" t="s">
        <v>2892</v>
      </c>
      <c r="D117" s="186" t="s">
        <v>2653</v>
      </c>
      <c r="E117" s="187" t="s">
        <v>2996</v>
      </c>
      <c r="F117" s="186" t="s">
        <v>2871</v>
      </c>
      <c r="G117" s="189" t="s">
        <v>2775</v>
      </c>
      <c r="H117" s="194">
        <v>7897604815</v>
      </c>
      <c r="I117" s="195" t="s">
        <v>2873</v>
      </c>
      <c r="J117" s="192" t="s">
        <v>2866</v>
      </c>
      <c r="K117" s="204" t="s">
        <v>2867</v>
      </c>
    </row>
    <row r="118" spans="1:11" ht="25">
      <c r="A118" s="182" t="s">
        <v>638</v>
      </c>
      <c r="B118" s="184" t="s">
        <v>636</v>
      </c>
      <c r="C118" s="185" t="s">
        <v>2653</v>
      </c>
      <c r="D118" s="186" t="s">
        <v>2653</v>
      </c>
      <c r="E118" s="187" t="s">
        <v>2522</v>
      </c>
      <c r="F118" s="186" t="s">
        <v>2864</v>
      </c>
      <c r="G118" s="189" t="s">
        <v>2793</v>
      </c>
      <c r="H118" s="194">
        <v>8527163054</v>
      </c>
      <c r="I118" s="195" t="s">
        <v>2873</v>
      </c>
      <c r="J118" s="192" t="s">
        <v>2866</v>
      </c>
      <c r="K118" s="204" t="s">
        <v>2867</v>
      </c>
    </row>
    <row r="119" spans="1:11" ht="37.5">
      <c r="A119" s="182" t="s">
        <v>3027</v>
      </c>
      <c r="B119" s="184" t="s">
        <v>842</v>
      </c>
      <c r="C119" s="185" t="s">
        <v>2653</v>
      </c>
      <c r="D119" s="186" t="s">
        <v>2653</v>
      </c>
      <c r="E119" s="187" t="s">
        <v>2522</v>
      </c>
      <c r="F119" s="186" t="s">
        <v>2864</v>
      </c>
      <c r="G119" s="189" t="s">
        <v>2789</v>
      </c>
      <c r="H119" s="194">
        <v>1157965504</v>
      </c>
      <c r="I119" s="195" t="s">
        <v>2873</v>
      </c>
      <c r="J119" s="192" t="s">
        <v>2866</v>
      </c>
      <c r="K119" s="204" t="s">
        <v>2867</v>
      </c>
    </row>
    <row r="120" spans="1:11" ht="31.5">
      <c r="A120" s="182" t="s">
        <v>3028</v>
      </c>
      <c r="B120" s="184">
        <v>2613051084</v>
      </c>
      <c r="C120" s="185" t="s">
        <v>2653</v>
      </c>
      <c r="D120" s="186" t="s">
        <v>2653</v>
      </c>
      <c r="E120" s="187" t="s">
        <v>2522</v>
      </c>
      <c r="F120" s="186" t="s">
        <v>2871</v>
      </c>
      <c r="G120" s="189" t="s">
        <v>2775</v>
      </c>
      <c r="H120" s="194">
        <v>7894030086</v>
      </c>
      <c r="I120" s="195" t="s">
        <v>2873</v>
      </c>
      <c r="J120" s="192" t="s">
        <v>2866</v>
      </c>
      <c r="K120" s="204" t="s">
        <v>2867</v>
      </c>
    </row>
    <row r="121" spans="1:11" ht="31.5">
      <c r="A121" s="182" t="s">
        <v>156</v>
      </c>
      <c r="B121" s="184">
        <v>2613050983</v>
      </c>
      <c r="C121" s="185" t="s">
        <v>2653</v>
      </c>
      <c r="D121" s="186" t="s">
        <v>2653</v>
      </c>
      <c r="E121" s="187" t="s">
        <v>2522</v>
      </c>
      <c r="F121" s="186" t="s">
        <v>2864</v>
      </c>
      <c r="G121" s="189" t="s">
        <v>2787</v>
      </c>
      <c r="H121" s="194">
        <v>8808553274</v>
      </c>
      <c r="I121" s="195" t="s">
        <v>2873</v>
      </c>
      <c r="J121" s="192" t="s">
        <v>2866</v>
      </c>
      <c r="K121" s="204" t="s">
        <v>2867</v>
      </c>
    </row>
    <row r="122" spans="1:11" ht="25">
      <c r="A122" s="182" t="s">
        <v>3029</v>
      </c>
      <c r="B122" s="184" t="s">
        <v>480</v>
      </c>
      <c r="C122" s="185" t="s">
        <v>2653</v>
      </c>
      <c r="D122" s="186" t="s">
        <v>2653</v>
      </c>
      <c r="E122" s="187" t="s">
        <v>2522</v>
      </c>
      <c r="F122" s="186" t="s">
        <v>2871</v>
      </c>
      <c r="G122" s="189" t="s">
        <v>2803</v>
      </c>
      <c r="H122" s="194">
        <v>1599692013</v>
      </c>
      <c r="I122" s="195" t="s">
        <v>2873</v>
      </c>
      <c r="J122" s="192" t="s">
        <v>2866</v>
      </c>
      <c r="K122" s="204" t="s">
        <v>2867</v>
      </c>
    </row>
    <row r="123" spans="1:11" ht="37.5">
      <c r="A123" s="182" t="s">
        <v>744</v>
      </c>
      <c r="B123" s="184" t="s">
        <v>742</v>
      </c>
      <c r="C123" s="185" t="s">
        <v>2653</v>
      </c>
      <c r="D123" s="186" t="s">
        <v>2653</v>
      </c>
      <c r="E123" s="187" t="s">
        <v>2522</v>
      </c>
      <c r="F123" s="186" t="s">
        <v>2871</v>
      </c>
      <c r="G123" s="189" t="s">
        <v>2779</v>
      </c>
      <c r="H123" s="194">
        <v>6313198446</v>
      </c>
      <c r="I123" s="195" t="s">
        <v>2873</v>
      </c>
      <c r="J123" s="192" t="s">
        <v>2866</v>
      </c>
      <c r="K123" s="204" t="s">
        <v>2867</v>
      </c>
    </row>
    <row r="124" spans="1:11" ht="42">
      <c r="A124" s="182" t="s">
        <v>1492</v>
      </c>
      <c r="B124" s="184" t="s">
        <v>1490</v>
      </c>
      <c r="C124" s="185" t="s">
        <v>2653</v>
      </c>
      <c r="D124" s="186" t="s">
        <v>2653</v>
      </c>
      <c r="E124" s="187" t="s">
        <v>2527</v>
      </c>
      <c r="F124" s="186" t="s">
        <v>2864</v>
      </c>
      <c r="G124" s="189" t="s">
        <v>2791</v>
      </c>
      <c r="H124" s="194">
        <v>5603384307</v>
      </c>
      <c r="I124" s="195" t="s">
        <v>2873</v>
      </c>
      <c r="J124" s="192" t="s">
        <v>2866</v>
      </c>
      <c r="K124" s="204" t="s">
        <v>2867</v>
      </c>
    </row>
    <row r="125" spans="1:11" ht="37.5">
      <c r="A125" s="182" t="s">
        <v>3030</v>
      </c>
      <c r="B125" s="184" t="s">
        <v>3031</v>
      </c>
      <c r="C125" s="185" t="s">
        <v>2653</v>
      </c>
      <c r="D125" s="186" t="s">
        <v>2653</v>
      </c>
      <c r="E125" s="187" t="s">
        <v>2527</v>
      </c>
      <c r="F125" s="186" t="s">
        <v>2864</v>
      </c>
      <c r="G125" s="189" t="s">
        <v>2792</v>
      </c>
      <c r="H125" s="194">
        <v>8554811589</v>
      </c>
      <c r="I125" s="195" t="s">
        <v>2873</v>
      </c>
      <c r="J125" s="192" t="s">
        <v>2866</v>
      </c>
      <c r="K125" s="204" t="s">
        <v>2867</v>
      </c>
    </row>
    <row r="126" spans="1:11" ht="63">
      <c r="A126" s="182" t="s">
        <v>3032</v>
      </c>
      <c r="B126" s="184">
        <v>2613050472</v>
      </c>
      <c r="C126" s="185" t="s">
        <v>2653</v>
      </c>
      <c r="D126" s="186" t="s">
        <v>2653</v>
      </c>
      <c r="E126" s="187" t="s">
        <v>2527</v>
      </c>
      <c r="F126" s="186" t="s">
        <v>2871</v>
      </c>
      <c r="G126" s="189" t="s">
        <v>2772</v>
      </c>
      <c r="H126" s="194">
        <v>8811166139</v>
      </c>
      <c r="I126" s="195" t="s">
        <v>2873</v>
      </c>
      <c r="J126" s="192" t="s">
        <v>2866</v>
      </c>
      <c r="K126" s="204" t="s">
        <v>2867</v>
      </c>
    </row>
    <row r="127" spans="1:11" ht="37.5">
      <c r="A127" s="182" t="s">
        <v>3035</v>
      </c>
      <c r="B127" s="184" t="s">
        <v>1785</v>
      </c>
      <c r="C127" s="185" t="s">
        <v>2653</v>
      </c>
      <c r="D127" s="186" t="s">
        <v>2653</v>
      </c>
      <c r="E127" s="187" t="s">
        <v>2527</v>
      </c>
      <c r="F127" s="186" t="s">
        <v>2871</v>
      </c>
      <c r="G127" s="189" t="s">
        <v>2801</v>
      </c>
      <c r="H127" s="194">
        <v>8986211804</v>
      </c>
      <c r="I127" s="195" t="s">
        <v>2873</v>
      </c>
      <c r="J127" s="192" t="s">
        <v>2866</v>
      </c>
      <c r="K127" s="204" t="s">
        <v>2867</v>
      </c>
    </row>
    <row r="128" spans="1:11" ht="21">
      <c r="A128" s="182" t="s">
        <v>3036</v>
      </c>
      <c r="B128" s="184" t="s">
        <v>3037</v>
      </c>
      <c r="C128" s="185" t="s">
        <v>2653</v>
      </c>
      <c r="D128" s="186" t="s">
        <v>2653</v>
      </c>
      <c r="E128" s="198" t="s">
        <v>2865</v>
      </c>
      <c r="F128" s="186" t="s">
        <v>2865</v>
      </c>
      <c r="G128" s="186" t="s">
        <v>2865</v>
      </c>
      <c r="H128" s="194">
        <v>8882509329</v>
      </c>
      <c r="I128" s="195" t="s">
        <v>2873</v>
      </c>
      <c r="J128" s="192" t="s">
        <v>2866</v>
      </c>
      <c r="K128" s="204" t="s">
        <v>2867</v>
      </c>
    </row>
    <row r="129" spans="1:11" ht="25">
      <c r="A129" s="182" t="s">
        <v>3033</v>
      </c>
      <c r="B129" s="184" t="s">
        <v>3034</v>
      </c>
      <c r="C129" s="185" t="s">
        <v>2653</v>
      </c>
      <c r="D129" s="186" t="s">
        <v>2653</v>
      </c>
      <c r="E129" s="187" t="s">
        <v>2522</v>
      </c>
      <c r="F129" s="186" t="s">
        <v>2871</v>
      </c>
      <c r="G129" s="189" t="s">
        <v>2803</v>
      </c>
      <c r="H129" s="194">
        <v>8497804440</v>
      </c>
      <c r="I129" s="195" t="s">
        <v>2873</v>
      </c>
      <c r="J129" s="192" t="s">
        <v>2866</v>
      </c>
      <c r="K129" s="204" t="s">
        <v>2867</v>
      </c>
    </row>
    <row r="130" spans="1:11" ht="37.5">
      <c r="A130" s="182" t="s">
        <v>1498</v>
      </c>
      <c r="B130" s="184" t="s">
        <v>1496</v>
      </c>
      <c r="C130" s="185" t="s">
        <v>2892</v>
      </c>
      <c r="D130" s="186" t="s">
        <v>2653</v>
      </c>
      <c r="E130" s="187" t="s">
        <v>2527</v>
      </c>
      <c r="F130" s="186" t="s">
        <v>2864</v>
      </c>
      <c r="G130" s="189" t="s">
        <v>2790</v>
      </c>
      <c r="H130" s="194">
        <v>8926704467</v>
      </c>
      <c r="I130" s="195" t="s">
        <v>2873</v>
      </c>
      <c r="J130" s="192" t="s">
        <v>2866</v>
      </c>
      <c r="K130" s="204" t="s">
        <v>2867</v>
      </c>
    </row>
    <row r="131" spans="1:11" ht="16">
      <c r="A131" s="182" t="s">
        <v>247</v>
      </c>
      <c r="B131" s="184">
        <v>2613051141</v>
      </c>
      <c r="C131" s="185" t="s">
        <v>2653</v>
      </c>
      <c r="D131" s="186" t="s">
        <v>2653</v>
      </c>
      <c r="E131" s="187" t="s">
        <v>2522</v>
      </c>
      <c r="F131" s="186" t="s">
        <v>2871</v>
      </c>
      <c r="G131" s="189" t="s">
        <v>2797</v>
      </c>
      <c r="H131" s="194">
        <v>7135098894</v>
      </c>
      <c r="I131" s="195" t="s">
        <v>2873</v>
      </c>
      <c r="J131" s="192" t="s">
        <v>2866</v>
      </c>
      <c r="K131" s="204" t="s">
        <v>2867</v>
      </c>
    </row>
    <row r="132" spans="1:11" ht="21">
      <c r="A132" s="182" t="s">
        <v>242</v>
      </c>
      <c r="B132" s="184">
        <v>2613051098</v>
      </c>
      <c r="C132" s="185" t="s">
        <v>2653</v>
      </c>
      <c r="D132" s="186" t="s">
        <v>2653</v>
      </c>
      <c r="E132" s="187" t="s">
        <v>2522</v>
      </c>
      <c r="F132" s="186" t="s">
        <v>2864</v>
      </c>
      <c r="G132" s="189" t="s">
        <v>2770</v>
      </c>
      <c r="H132" s="194">
        <v>818063450</v>
      </c>
      <c r="I132" s="195" t="s">
        <v>2873</v>
      </c>
      <c r="J132" s="192" t="s">
        <v>2866</v>
      </c>
      <c r="K132" s="204" t="s">
        <v>2867</v>
      </c>
    </row>
    <row r="133" spans="1:11" ht="16">
      <c r="A133" s="182" t="s">
        <v>3038</v>
      </c>
      <c r="B133" s="184">
        <v>2613050731</v>
      </c>
      <c r="C133" s="185" t="s">
        <v>2653</v>
      </c>
      <c r="D133" s="186" t="s">
        <v>2653</v>
      </c>
      <c r="E133" s="187" t="s">
        <v>2527</v>
      </c>
      <c r="F133" s="186" t="s">
        <v>2864</v>
      </c>
      <c r="G133" s="189" t="s">
        <v>2795</v>
      </c>
      <c r="H133" s="194">
        <v>1549007254</v>
      </c>
      <c r="I133" s="195" t="s">
        <v>2873</v>
      </c>
      <c r="J133" s="192" t="s">
        <v>2866</v>
      </c>
      <c r="K133" s="204" t="s">
        <v>2867</v>
      </c>
    </row>
    <row r="134" spans="1:11" ht="37.5">
      <c r="A134" s="182" t="s">
        <v>1504</v>
      </c>
      <c r="B134" s="184" t="s">
        <v>1502</v>
      </c>
      <c r="C134" s="185" t="s">
        <v>2653</v>
      </c>
      <c r="D134" s="186" t="s">
        <v>2653</v>
      </c>
      <c r="E134" s="187" t="s">
        <v>2527</v>
      </c>
      <c r="F134" s="186" t="s">
        <v>2864</v>
      </c>
      <c r="G134" s="189" t="s">
        <v>2790</v>
      </c>
      <c r="H134" s="194">
        <v>8888244250</v>
      </c>
      <c r="I134" s="195" t="s">
        <v>2873</v>
      </c>
      <c r="J134" s="192" t="s">
        <v>2866</v>
      </c>
      <c r="K134" s="204" t="s">
        <v>2867</v>
      </c>
    </row>
    <row r="135" spans="1:11" ht="34.5">
      <c r="A135" s="182" t="s">
        <v>3040</v>
      </c>
      <c r="B135" s="184" t="s">
        <v>3041</v>
      </c>
      <c r="C135" s="203" t="s">
        <v>3042</v>
      </c>
      <c r="D135" s="186" t="s">
        <v>2653</v>
      </c>
      <c r="E135" s="187" t="s">
        <v>2996</v>
      </c>
      <c r="F135" s="186" t="s">
        <v>2871</v>
      </c>
      <c r="G135" s="186" t="s">
        <v>2865</v>
      </c>
      <c r="H135" s="194">
        <v>1970103102</v>
      </c>
      <c r="I135" s="195" t="s">
        <v>2873</v>
      </c>
      <c r="J135" s="192" t="s">
        <v>2866</v>
      </c>
      <c r="K135" s="204" t="s">
        <v>2867</v>
      </c>
    </row>
    <row r="136" spans="1:11" ht="25">
      <c r="A136" s="182" t="s">
        <v>3043</v>
      </c>
      <c r="B136" s="184" t="s">
        <v>3044</v>
      </c>
      <c r="C136" s="189" t="s">
        <v>2894</v>
      </c>
      <c r="D136" s="186" t="s">
        <v>2653</v>
      </c>
      <c r="E136" s="198" t="s">
        <v>2865</v>
      </c>
      <c r="F136" s="186" t="s">
        <v>2865</v>
      </c>
      <c r="G136" s="186" t="s">
        <v>2865</v>
      </c>
      <c r="H136" s="194">
        <v>8333210232</v>
      </c>
      <c r="I136" s="195" t="s">
        <v>2873</v>
      </c>
      <c r="J136" s="192" t="s">
        <v>2866</v>
      </c>
      <c r="K136" s="204" t="s">
        <v>2867</v>
      </c>
    </row>
    <row r="137" spans="1:11" ht="16">
      <c r="A137" s="182" t="s">
        <v>3039</v>
      </c>
      <c r="B137" s="184">
        <v>2613051097</v>
      </c>
      <c r="C137" s="185" t="s">
        <v>2653</v>
      </c>
      <c r="D137" s="186" t="s">
        <v>2653</v>
      </c>
      <c r="E137" s="187" t="s">
        <v>2522</v>
      </c>
      <c r="F137" s="186" t="s">
        <v>2864</v>
      </c>
      <c r="G137" s="189" t="s">
        <v>2770</v>
      </c>
      <c r="H137" s="194">
        <v>8979120569</v>
      </c>
      <c r="I137" s="195" t="s">
        <v>2873</v>
      </c>
      <c r="J137" s="192" t="s">
        <v>2866</v>
      </c>
      <c r="K137" s="204" t="s">
        <v>2867</v>
      </c>
    </row>
    <row r="138" spans="1:11">
      <c r="A138" s="182" t="s">
        <v>3045</v>
      </c>
      <c r="B138" s="184" t="s">
        <v>3046</v>
      </c>
      <c r="C138" s="203" t="s">
        <v>2950</v>
      </c>
      <c r="D138" s="186" t="s">
        <v>2653</v>
      </c>
      <c r="E138" s="198" t="s">
        <v>2865</v>
      </c>
      <c r="F138" s="186" t="s">
        <v>2865</v>
      </c>
      <c r="G138" s="186" t="s">
        <v>2865</v>
      </c>
      <c r="H138" s="194">
        <v>8503475889</v>
      </c>
      <c r="I138" s="195" t="s">
        <v>2873</v>
      </c>
      <c r="J138" s="192" t="s">
        <v>2866</v>
      </c>
      <c r="K138" s="204" t="s">
        <v>2867</v>
      </c>
    </row>
    <row r="139" spans="1:11" ht="21">
      <c r="A139" s="182" t="s">
        <v>3047</v>
      </c>
      <c r="B139" s="184" t="s">
        <v>3048</v>
      </c>
      <c r="C139" s="200" t="s">
        <v>2889</v>
      </c>
      <c r="D139" s="186" t="s">
        <v>2653</v>
      </c>
      <c r="E139" s="187" t="s">
        <v>2527</v>
      </c>
      <c r="F139" s="186" t="s">
        <v>2864</v>
      </c>
      <c r="G139" s="186" t="s">
        <v>2865</v>
      </c>
      <c r="H139" s="194">
        <v>6434786470</v>
      </c>
      <c r="I139" s="195" t="s">
        <v>2873</v>
      </c>
      <c r="J139" s="192" t="s">
        <v>2866</v>
      </c>
      <c r="K139" s="204" t="s">
        <v>2867</v>
      </c>
    </row>
    <row r="140" spans="1:11" ht="25">
      <c r="A140" s="182" t="s">
        <v>910</v>
      </c>
      <c r="B140" s="184" t="s">
        <v>908</v>
      </c>
      <c r="C140" s="185" t="s">
        <v>2892</v>
      </c>
      <c r="D140" s="186" t="s">
        <v>2653</v>
      </c>
      <c r="E140" s="187" t="s">
        <v>2522</v>
      </c>
      <c r="F140" s="186" t="s">
        <v>2864</v>
      </c>
      <c r="G140" s="189" t="s">
        <v>2799</v>
      </c>
      <c r="H140" s="194">
        <v>5961295067</v>
      </c>
      <c r="I140" s="195" t="s">
        <v>2873</v>
      </c>
      <c r="J140" s="192" t="s">
        <v>2866</v>
      </c>
      <c r="K140" s="204" t="s">
        <v>2867</v>
      </c>
    </row>
    <row r="141" spans="1:11" ht="16">
      <c r="A141" s="182" t="s">
        <v>3078</v>
      </c>
      <c r="B141" s="184" t="s">
        <v>3079</v>
      </c>
      <c r="C141" s="203" t="s">
        <v>2950</v>
      </c>
      <c r="D141" s="186" t="s">
        <v>2653</v>
      </c>
      <c r="E141" s="187" t="s">
        <v>2522</v>
      </c>
      <c r="F141" s="186" t="s">
        <v>2871</v>
      </c>
      <c r="G141" s="186" t="s">
        <v>2865</v>
      </c>
      <c r="H141" s="194">
        <v>8705533403</v>
      </c>
      <c r="I141" s="195" t="s">
        <v>2873</v>
      </c>
      <c r="J141" s="192" t="s">
        <v>2866</v>
      </c>
      <c r="K141" s="204" t="s">
        <v>2867</v>
      </c>
    </row>
    <row r="142" spans="1:11" ht="25">
      <c r="A142" s="182" t="s">
        <v>562</v>
      </c>
      <c r="B142" s="184" t="s">
        <v>560</v>
      </c>
      <c r="C142" s="185" t="s">
        <v>2653</v>
      </c>
      <c r="D142" s="186" t="s">
        <v>2653</v>
      </c>
      <c r="E142" s="187" t="s">
        <v>2522</v>
      </c>
      <c r="F142" s="186" t="s">
        <v>2871</v>
      </c>
      <c r="G142" s="189" t="s">
        <v>2775</v>
      </c>
      <c r="H142" s="194">
        <v>8101087465</v>
      </c>
      <c r="I142" s="195" t="s">
        <v>2873</v>
      </c>
      <c r="J142" s="192" t="s">
        <v>2866</v>
      </c>
      <c r="K142" s="204" t="s">
        <v>2867</v>
      </c>
    </row>
    <row r="143" spans="1:11">
      <c r="A143" s="182" t="s">
        <v>3080</v>
      </c>
      <c r="B143" s="184" t="s">
        <v>3081</v>
      </c>
      <c r="C143" s="203" t="s">
        <v>2950</v>
      </c>
      <c r="D143" s="186" t="s">
        <v>2653</v>
      </c>
      <c r="E143" s="198" t="s">
        <v>2865</v>
      </c>
      <c r="F143" s="186" t="s">
        <v>2865</v>
      </c>
      <c r="G143" s="186" t="s">
        <v>2865</v>
      </c>
      <c r="H143" s="194">
        <v>8707459679</v>
      </c>
      <c r="I143" s="195" t="s">
        <v>2873</v>
      </c>
      <c r="J143" s="192" t="s">
        <v>2866</v>
      </c>
      <c r="K143" s="204" t="s">
        <v>2867</v>
      </c>
    </row>
    <row r="144" spans="1:11" ht="25">
      <c r="A144" s="182" t="s">
        <v>1398</v>
      </c>
      <c r="B144" s="184" t="s">
        <v>1396</v>
      </c>
      <c r="C144" s="185" t="s">
        <v>2653</v>
      </c>
      <c r="D144" s="186" t="s">
        <v>2653</v>
      </c>
      <c r="E144" s="187" t="s">
        <v>2522</v>
      </c>
      <c r="F144" s="186" t="s">
        <v>2864</v>
      </c>
      <c r="G144" s="189" t="s">
        <v>2786</v>
      </c>
      <c r="H144" s="194">
        <v>8954104565</v>
      </c>
      <c r="I144" s="195" t="s">
        <v>2873</v>
      </c>
      <c r="J144" s="192" t="s">
        <v>2866</v>
      </c>
      <c r="K144" s="204" t="s">
        <v>2867</v>
      </c>
    </row>
    <row r="145" spans="1:11" ht="25">
      <c r="A145" s="182" t="s">
        <v>3049</v>
      </c>
      <c r="B145" s="184" t="s">
        <v>422</v>
      </c>
      <c r="C145" s="185" t="s">
        <v>2653</v>
      </c>
      <c r="D145" s="186" t="s">
        <v>2653</v>
      </c>
      <c r="E145" s="187" t="s">
        <v>2522</v>
      </c>
      <c r="F145" s="186" t="s">
        <v>2864</v>
      </c>
      <c r="G145" s="189" t="s">
        <v>2769</v>
      </c>
      <c r="H145" s="194">
        <v>6414405497</v>
      </c>
      <c r="I145" s="195" t="s">
        <v>2873</v>
      </c>
      <c r="J145" s="192" t="s">
        <v>2866</v>
      </c>
      <c r="K145" s="204" t="s">
        <v>2867</v>
      </c>
    </row>
    <row r="146" spans="1:11" ht="25">
      <c r="A146" s="182" t="s">
        <v>3050</v>
      </c>
      <c r="B146" s="184" t="s">
        <v>3051</v>
      </c>
      <c r="C146" s="185" t="s">
        <v>2653</v>
      </c>
      <c r="D146" s="186" t="s">
        <v>2653</v>
      </c>
      <c r="E146" s="187" t="s">
        <v>2522</v>
      </c>
      <c r="F146" s="186" t="s">
        <v>2864</v>
      </c>
      <c r="G146" s="189" t="s">
        <v>2769</v>
      </c>
      <c r="H146" s="194">
        <v>8135054654</v>
      </c>
      <c r="I146" s="195" t="s">
        <v>2873</v>
      </c>
      <c r="J146" s="192" t="s">
        <v>2866</v>
      </c>
      <c r="K146" s="204" t="s">
        <v>2867</v>
      </c>
    </row>
    <row r="147" spans="1:11" ht="37.5">
      <c r="A147" s="182" t="s">
        <v>1510</v>
      </c>
      <c r="B147" s="184" t="s">
        <v>1508</v>
      </c>
      <c r="C147" s="185" t="s">
        <v>2653</v>
      </c>
      <c r="D147" s="186" t="s">
        <v>2653</v>
      </c>
      <c r="E147" s="187" t="s">
        <v>2527</v>
      </c>
      <c r="F147" s="186" t="s">
        <v>2864</v>
      </c>
      <c r="G147" s="189" t="s">
        <v>2791</v>
      </c>
      <c r="H147" s="194">
        <v>8221022565</v>
      </c>
      <c r="I147" s="195" t="s">
        <v>2873</v>
      </c>
      <c r="J147" s="192" t="s">
        <v>2866</v>
      </c>
      <c r="K147" s="204" t="s">
        <v>2867</v>
      </c>
    </row>
    <row r="148" spans="1:11" ht="21">
      <c r="A148" s="182" t="s">
        <v>3649</v>
      </c>
      <c r="B148" s="184" t="s">
        <v>3650</v>
      </c>
      <c r="C148" s="203" t="s">
        <v>2950</v>
      </c>
      <c r="D148" s="186" t="s">
        <v>2653</v>
      </c>
      <c r="E148" s="198" t="s">
        <v>2865</v>
      </c>
      <c r="F148" s="186" t="s">
        <v>2865</v>
      </c>
      <c r="G148" s="186" t="s">
        <v>2865</v>
      </c>
      <c r="H148" s="194">
        <v>8872088919</v>
      </c>
      <c r="I148" s="195" t="s">
        <v>2873</v>
      </c>
      <c r="J148" s="192" t="s">
        <v>2866</v>
      </c>
      <c r="K148" s="204" t="s">
        <v>2867</v>
      </c>
    </row>
    <row r="149" spans="1:11">
      <c r="A149" s="182" t="s">
        <v>3082</v>
      </c>
      <c r="B149" s="184" t="s">
        <v>3083</v>
      </c>
      <c r="C149" s="203" t="s">
        <v>2950</v>
      </c>
      <c r="D149" s="186" t="s">
        <v>2653</v>
      </c>
      <c r="E149" s="198" t="s">
        <v>2865</v>
      </c>
      <c r="F149" s="186" t="s">
        <v>2865</v>
      </c>
      <c r="G149" s="186" t="s">
        <v>2865</v>
      </c>
      <c r="H149" s="194">
        <v>8026043003</v>
      </c>
      <c r="I149" s="195" t="s">
        <v>2873</v>
      </c>
      <c r="J149" s="192" t="s">
        <v>2866</v>
      </c>
      <c r="K149" s="204" t="s">
        <v>2867</v>
      </c>
    </row>
    <row r="150" spans="1:11" ht="25">
      <c r="A150" s="182" t="s">
        <v>3084</v>
      </c>
      <c r="B150" s="184" t="s">
        <v>3085</v>
      </c>
      <c r="C150" s="185" t="s">
        <v>3086</v>
      </c>
      <c r="D150" s="186" t="s">
        <v>2653</v>
      </c>
      <c r="E150" s="187" t="s">
        <v>2522</v>
      </c>
      <c r="F150" s="186" t="s">
        <v>2871</v>
      </c>
      <c r="G150" s="189" t="s">
        <v>2781</v>
      </c>
      <c r="H150" s="194">
        <v>5953851465</v>
      </c>
      <c r="I150" s="195" t="s">
        <v>2873</v>
      </c>
      <c r="J150" s="192" t="s">
        <v>2866</v>
      </c>
      <c r="K150" s="204" t="s">
        <v>2867</v>
      </c>
    </row>
    <row r="151" spans="1:11" ht="21">
      <c r="A151" s="182" t="s">
        <v>3087</v>
      </c>
      <c r="B151" s="184" t="s">
        <v>3088</v>
      </c>
      <c r="C151" s="203" t="s">
        <v>2950</v>
      </c>
      <c r="D151" s="186" t="s">
        <v>2653</v>
      </c>
      <c r="E151" s="187" t="s">
        <v>2996</v>
      </c>
      <c r="F151" s="186" t="s">
        <v>2871</v>
      </c>
      <c r="G151" s="189" t="s">
        <v>2796</v>
      </c>
      <c r="H151" s="194">
        <v>8818507514</v>
      </c>
      <c r="I151" s="195" t="s">
        <v>2873</v>
      </c>
      <c r="J151" s="192" t="s">
        <v>2866</v>
      </c>
      <c r="K151" s="204" t="s">
        <v>2867</v>
      </c>
    </row>
    <row r="152" spans="1:11" ht="37.5">
      <c r="A152" s="182" t="s">
        <v>1727</v>
      </c>
      <c r="B152" s="184" t="s">
        <v>1725</v>
      </c>
      <c r="C152" s="185" t="s">
        <v>2653</v>
      </c>
      <c r="D152" s="186" t="s">
        <v>2653</v>
      </c>
      <c r="E152" s="187" t="s">
        <v>2527</v>
      </c>
      <c r="F152" s="186" t="s">
        <v>2871</v>
      </c>
      <c r="G152" s="189" t="s">
        <v>2783</v>
      </c>
      <c r="H152" s="194">
        <v>8582331071</v>
      </c>
      <c r="I152" s="195" t="s">
        <v>2873</v>
      </c>
      <c r="J152" s="192" t="s">
        <v>2866</v>
      </c>
      <c r="K152" s="204" t="s">
        <v>2867</v>
      </c>
    </row>
    <row r="153" spans="1:11" ht="25">
      <c r="A153" s="182" t="s">
        <v>3052</v>
      </c>
      <c r="B153" s="184" t="s">
        <v>3053</v>
      </c>
      <c r="C153" s="185" t="s">
        <v>2653</v>
      </c>
      <c r="D153" s="186" t="s">
        <v>2653</v>
      </c>
      <c r="E153" s="187" t="s">
        <v>2522</v>
      </c>
      <c r="F153" s="186" t="s">
        <v>2871</v>
      </c>
      <c r="G153" s="189" t="s">
        <v>2803</v>
      </c>
      <c r="H153" s="194">
        <v>8370013640</v>
      </c>
      <c r="I153" s="195" t="s">
        <v>2873</v>
      </c>
      <c r="J153" s="192" t="s">
        <v>2866</v>
      </c>
      <c r="K153" s="204" t="s">
        <v>2867</v>
      </c>
    </row>
    <row r="154" spans="1:11" ht="37.5">
      <c r="A154" s="182" t="s">
        <v>3054</v>
      </c>
      <c r="B154" s="184" t="s">
        <v>3055</v>
      </c>
      <c r="C154" s="185" t="s">
        <v>2653</v>
      </c>
      <c r="D154" s="186" t="s">
        <v>2653</v>
      </c>
      <c r="E154" s="187" t="s">
        <v>2527</v>
      </c>
      <c r="F154" s="186" t="s">
        <v>2871</v>
      </c>
      <c r="G154" s="189" t="s">
        <v>2801</v>
      </c>
      <c r="H154" s="194">
        <v>8964098890</v>
      </c>
      <c r="I154" s="195" t="s">
        <v>2873</v>
      </c>
      <c r="J154" s="192" t="s">
        <v>2866</v>
      </c>
      <c r="K154" s="204" t="s">
        <v>2867</v>
      </c>
    </row>
    <row r="155" spans="1:11" ht="18.5">
      <c r="A155" s="182" t="s">
        <v>3056</v>
      </c>
      <c r="B155" s="184">
        <v>2613051039</v>
      </c>
      <c r="C155" s="185" t="s">
        <v>2892</v>
      </c>
      <c r="D155" s="186" t="s">
        <v>2653</v>
      </c>
      <c r="E155" s="187" t="s">
        <v>2522</v>
      </c>
      <c r="F155" s="186" t="s">
        <v>2871</v>
      </c>
      <c r="G155" s="189" t="s">
        <v>2797</v>
      </c>
      <c r="H155" s="194">
        <v>8853751295</v>
      </c>
      <c r="I155" s="195" t="s">
        <v>2873</v>
      </c>
      <c r="J155" s="192" t="s">
        <v>2866</v>
      </c>
      <c r="K155" s="204" t="s">
        <v>2867</v>
      </c>
    </row>
    <row r="156" spans="1:11">
      <c r="A156" s="182" t="s">
        <v>3089</v>
      </c>
      <c r="B156" s="184" t="s">
        <v>3090</v>
      </c>
      <c r="C156" s="202" t="s">
        <v>3009</v>
      </c>
      <c r="D156" s="186" t="s">
        <v>2653</v>
      </c>
      <c r="E156" s="198" t="s">
        <v>2865</v>
      </c>
      <c r="F156" s="186" t="s">
        <v>2865</v>
      </c>
      <c r="G156" s="186" t="s">
        <v>2865</v>
      </c>
      <c r="H156" s="194">
        <v>85891566428</v>
      </c>
      <c r="I156" s="195" t="s">
        <v>2873</v>
      </c>
      <c r="J156" s="192" t="s">
        <v>2866</v>
      </c>
      <c r="K156" s="204" t="s">
        <v>2867</v>
      </c>
    </row>
    <row r="157" spans="1:11" ht="21">
      <c r="A157" s="182" t="s">
        <v>3651</v>
      </c>
      <c r="B157" s="184" t="s">
        <v>3652</v>
      </c>
      <c r="C157" s="203" t="s">
        <v>2950</v>
      </c>
      <c r="D157" s="186" t="s">
        <v>2653</v>
      </c>
      <c r="E157" s="198" t="s">
        <v>2865</v>
      </c>
      <c r="F157" s="186" t="s">
        <v>2865</v>
      </c>
      <c r="G157" s="186" t="s">
        <v>2865</v>
      </c>
      <c r="H157" s="194">
        <v>1462128510</v>
      </c>
      <c r="I157" s="195" t="s">
        <v>2873</v>
      </c>
      <c r="J157" s="192" t="s">
        <v>2866</v>
      </c>
      <c r="K157" s="204" t="s">
        <v>2867</v>
      </c>
    </row>
    <row r="158" spans="1:11" ht="37.5">
      <c r="A158" s="182" t="s">
        <v>3057</v>
      </c>
      <c r="B158" s="184" t="s">
        <v>706</v>
      </c>
      <c r="C158" s="185" t="s">
        <v>2653</v>
      </c>
      <c r="D158" s="186" t="s">
        <v>2653</v>
      </c>
      <c r="E158" s="187" t="s">
        <v>2522</v>
      </c>
      <c r="F158" s="186" t="s">
        <v>2871</v>
      </c>
      <c r="G158" s="189" t="s">
        <v>2780</v>
      </c>
      <c r="H158" s="194">
        <v>1285372772</v>
      </c>
      <c r="I158" s="195" t="s">
        <v>2873</v>
      </c>
      <c r="J158" s="192" t="s">
        <v>2866</v>
      </c>
      <c r="K158" s="204" t="s">
        <v>2867</v>
      </c>
    </row>
    <row r="159" spans="1:11" ht="25">
      <c r="A159" s="182" t="s">
        <v>626</v>
      </c>
      <c r="B159" s="184" t="s">
        <v>624</v>
      </c>
      <c r="C159" s="185" t="s">
        <v>2653</v>
      </c>
      <c r="D159" s="186" t="s">
        <v>2653</v>
      </c>
      <c r="E159" s="187" t="s">
        <v>2522</v>
      </c>
      <c r="F159" s="186" t="s">
        <v>2864</v>
      </c>
      <c r="G159" s="189" t="s">
        <v>2787</v>
      </c>
      <c r="H159" s="194">
        <v>2145913026</v>
      </c>
      <c r="I159" s="195" t="s">
        <v>2873</v>
      </c>
      <c r="J159" s="192" t="s">
        <v>2866</v>
      </c>
      <c r="K159" s="204" t="s">
        <v>2867</v>
      </c>
    </row>
    <row r="160" spans="1:11" ht="21">
      <c r="A160" s="182" t="s">
        <v>3058</v>
      </c>
      <c r="B160" s="184" t="s">
        <v>3059</v>
      </c>
      <c r="C160" s="200" t="s">
        <v>2889</v>
      </c>
      <c r="D160" s="186" t="s">
        <v>2653</v>
      </c>
      <c r="E160" s="187" t="s">
        <v>2522</v>
      </c>
      <c r="F160" s="186" t="s">
        <v>2864</v>
      </c>
      <c r="G160" s="186" t="s">
        <v>2865</v>
      </c>
      <c r="H160" s="194">
        <v>6406804796</v>
      </c>
      <c r="I160" s="195" t="s">
        <v>2873</v>
      </c>
      <c r="J160" s="192" t="s">
        <v>2866</v>
      </c>
      <c r="K160" s="204" t="s">
        <v>2867</v>
      </c>
    </row>
    <row r="161" spans="1:11" ht="25">
      <c r="A161" s="182" t="s">
        <v>3060</v>
      </c>
      <c r="B161" s="184" t="s">
        <v>3061</v>
      </c>
      <c r="C161" s="200" t="s">
        <v>2889</v>
      </c>
      <c r="D161" s="186" t="s">
        <v>2653</v>
      </c>
      <c r="E161" s="187" t="s">
        <v>2522</v>
      </c>
      <c r="F161" s="186" t="s">
        <v>2864</v>
      </c>
      <c r="G161" s="189" t="s">
        <v>2794</v>
      </c>
      <c r="H161" s="194">
        <v>6390978444</v>
      </c>
      <c r="I161" s="195" t="s">
        <v>2873</v>
      </c>
      <c r="J161" s="192" t="s">
        <v>2866</v>
      </c>
      <c r="K161" s="204" t="s">
        <v>2867</v>
      </c>
    </row>
    <row r="162" spans="1:11" ht="21">
      <c r="A162" s="182" t="s">
        <v>3091</v>
      </c>
      <c r="B162" s="184" t="s">
        <v>3092</v>
      </c>
      <c r="C162" s="203" t="s">
        <v>2950</v>
      </c>
      <c r="D162" s="186" t="s">
        <v>2653</v>
      </c>
      <c r="E162" s="198" t="s">
        <v>2865</v>
      </c>
      <c r="F162" s="186" t="s">
        <v>2865</v>
      </c>
      <c r="G162" s="186" t="s">
        <v>2865</v>
      </c>
      <c r="H162" s="194">
        <v>8971549871</v>
      </c>
      <c r="I162" s="195" t="s">
        <v>2873</v>
      </c>
      <c r="J162" s="192" t="s">
        <v>2866</v>
      </c>
      <c r="K162" s="204" t="s">
        <v>2867</v>
      </c>
    </row>
    <row r="163" spans="1:11">
      <c r="A163" s="182" t="s">
        <v>3093</v>
      </c>
      <c r="B163" s="184" t="s">
        <v>3094</v>
      </c>
      <c r="C163" s="203" t="s">
        <v>2950</v>
      </c>
      <c r="D163" s="186" t="s">
        <v>2653</v>
      </c>
      <c r="E163" s="198" t="s">
        <v>2865</v>
      </c>
      <c r="F163" s="186" t="s">
        <v>2865</v>
      </c>
      <c r="G163" s="186" t="s">
        <v>2865</v>
      </c>
      <c r="H163" s="194">
        <v>7007788927</v>
      </c>
      <c r="I163" s="195" t="s">
        <v>2873</v>
      </c>
      <c r="J163" s="192" t="s">
        <v>2866</v>
      </c>
      <c r="K163" s="204" t="s">
        <v>2867</v>
      </c>
    </row>
    <row r="164" spans="1:11" ht="25">
      <c r="A164" s="182" t="s">
        <v>3653</v>
      </c>
      <c r="B164" s="184" t="s">
        <v>3654</v>
      </c>
      <c r="C164" s="203" t="s">
        <v>2950</v>
      </c>
      <c r="D164" s="186" t="s">
        <v>2653</v>
      </c>
      <c r="E164" s="187" t="s">
        <v>2527</v>
      </c>
      <c r="F164" s="186" t="s">
        <v>2864</v>
      </c>
      <c r="G164" s="186" t="s">
        <v>2865</v>
      </c>
      <c r="H164" s="194">
        <v>8985796006</v>
      </c>
      <c r="I164" s="195" t="s">
        <v>2873</v>
      </c>
      <c r="J164" s="192" t="s">
        <v>2866</v>
      </c>
      <c r="K164" s="204" t="s">
        <v>2867</v>
      </c>
    </row>
    <row r="165" spans="1:11" ht="37.5">
      <c r="A165" s="182" t="s">
        <v>3095</v>
      </c>
      <c r="B165" s="184" t="s">
        <v>3096</v>
      </c>
      <c r="C165" s="185" t="s">
        <v>2653</v>
      </c>
      <c r="D165" s="186" t="s">
        <v>2653</v>
      </c>
      <c r="E165" s="187" t="s">
        <v>2527</v>
      </c>
      <c r="F165" s="186" t="s">
        <v>2871</v>
      </c>
      <c r="G165" s="189" t="s">
        <v>2778</v>
      </c>
      <c r="H165" s="194">
        <v>7939352638</v>
      </c>
      <c r="I165" s="195" t="s">
        <v>2873</v>
      </c>
      <c r="J165" s="192" t="s">
        <v>2866</v>
      </c>
      <c r="K165" s="204" t="s">
        <v>2867</v>
      </c>
    </row>
    <row r="166" spans="1:11" ht="37.5">
      <c r="A166" s="182" t="s">
        <v>3062</v>
      </c>
      <c r="B166" s="184" t="s">
        <v>1515</v>
      </c>
      <c r="C166" s="185" t="s">
        <v>2653</v>
      </c>
      <c r="D166" s="186" t="s">
        <v>2653</v>
      </c>
      <c r="E166" s="187" t="s">
        <v>2527</v>
      </c>
      <c r="F166" s="186" t="s">
        <v>2871</v>
      </c>
      <c r="G166" s="189" t="s">
        <v>2783</v>
      </c>
      <c r="H166" s="194">
        <v>6779932379</v>
      </c>
      <c r="I166" s="195" t="s">
        <v>2873</v>
      </c>
      <c r="J166" s="192" t="s">
        <v>2866</v>
      </c>
      <c r="K166" s="204" t="s">
        <v>2867</v>
      </c>
    </row>
    <row r="167" spans="1:11" ht="37.5">
      <c r="A167" s="182" t="s">
        <v>3063</v>
      </c>
      <c r="B167" s="184" t="s">
        <v>3064</v>
      </c>
      <c r="C167" s="185" t="s">
        <v>2653</v>
      </c>
      <c r="D167" s="186" t="s">
        <v>2653</v>
      </c>
      <c r="E167" s="187" t="s">
        <v>2527</v>
      </c>
      <c r="F167" s="186" t="s">
        <v>2864</v>
      </c>
      <c r="G167" s="189" t="s">
        <v>2768</v>
      </c>
      <c r="H167" s="194">
        <v>8582602975</v>
      </c>
      <c r="I167" s="195" t="s">
        <v>2873</v>
      </c>
      <c r="J167" s="192" t="s">
        <v>2866</v>
      </c>
      <c r="K167" s="204" t="s">
        <v>2867</v>
      </c>
    </row>
    <row r="168" spans="1:11" ht="37.5">
      <c r="A168" s="182" t="s">
        <v>3065</v>
      </c>
      <c r="B168" s="184" t="s">
        <v>1713</v>
      </c>
      <c r="C168" s="185" t="s">
        <v>2653</v>
      </c>
      <c r="D168" s="186" t="s">
        <v>2653</v>
      </c>
      <c r="E168" s="187" t="s">
        <v>2527</v>
      </c>
      <c r="F168" s="186" t="s">
        <v>2871</v>
      </c>
      <c r="G168" s="189" t="s">
        <v>2801</v>
      </c>
      <c r="H168" s="194">
        <v>6316942802</v>
      </c>
      <c r="I168" s="195" t="s">
        <v>2873</v>
      </c>
      <c r="J168" s="192" t="s">
        <v>2866</v>
      </c>
      <c r="K168" s="204" t="s">
        <v>2867</v>
      </c>
    </row>
    <row r="169" spans="1:11" ht="21">
      <c r="A169" s="182" t="s">
        <v>3097</v>
      </c>
      <c r="B169" s="184" t="s">
        <v>3098</v>
      </c>
      <c r="C169" s="185" t="s">
        <v>2653</v>
      </c>
      <c r="D169" s="186" t="s">
        <v>2653</v>
      </c>
      <c r="E169" s="198" t="s">
        <v>2865</v>
      </c>
      <c r="F169" s="186" t="s">
        <v>2865</v>
      </c>
      <c r="G169" s="186" t="s">
        <v>2865</v>
      </c>
      <c r="H169" s="194">
        <v>82365535433</v>
      </c>
      <c r="I169" s="195" t="s">
        <v>2873</v>
      </c>
      <c r="J169" s="192" t="s">
        <v>2866</v>
      </c>
      <c r="K169" s="204" t="s">
        <v>2867</v>
      </c>
    </row>
    <row r="170" spans="1:11" ht="25">
      <c r="A170" s="182" t="s">
        <v>3099</v>
      </c>
      <c r="B170" s="184" t="s">
        <v>3100</v>
      </c>
      <c r="C170" s="203" t="s">
        <v>2950</v>
      </c>
      <c r="D170" s="186" t="s">
        <v>2653</v>
      </c>
      <c r="E170" s="187" t="s">
        <v>2527</v>
      </c>
      <c r="F170" s="186" t="s">
        <v>2864</v>
      </c>
      <c r="G170" s="189" t="s">
        <v>2795</v>
      </c>
      <c r="H170" s="194">
        <v>1456199023</v>
      </c>
      <c r="I170" s="195" t="s">
        <v>2873</v>
      </c>
      <c r="J170" s="192" t="s">
        <v>2866</v>
      </c>
      <c r="K170" s="204" t="s">
        <v>2867</v>
      </c>
    </row>
    <row r="171" spans="1:11" ht="25">
      <c r="A171" s="182" t="s">
        <v>1152</v>
      </c>
      <c r="B171" s="184" t="s">
        <v>1150</v>
      </c>
      <c r="C171" s="185" t="s">
        <v>2653</v>
      </c>
      <c r="D171" s="186" t="s">
        <v>2653</v>
      </c>
      <c r="E171" s="187" t="s">
        <v>2522</v>
      </c>
      <c r="F171" s="186" t="s">
        <v>2871</v>
      </c>
      <c r="G171" s="189" t="s">
        <v>2796</v>
      </c>
      <c r="H171" s="194">
        <v>8840096607</v>
      </c>
      <c r="I171" s="195" t="s">
        <v>2873</v>
      </c>
      <c r="J171" s="192" t="s">
        <v>2866</v>
      </c>
      <c r="K171" s="204" t="s">
        <v>2867</v>
      </c>
    </row>
    <row r="172" spans="1:11" ht="37.5">
      <c r="A172" s="182" t="s">
        <v>3066</v>
      </c>
      <c r="B172" s="184" t="s">
        <v>3067</v>
      </c>
      <c r="C172" s="185" t="s">
        <v>2653</v>
      </c>
      <c r="D172" s="186" t="s">
        <v>2653</v>
      </c>
      <c r="E172" s="187" t="s">
        <v>2527</v>
      </c>
      <c r="F172" s="186" t="s">
        <v>2864</v>
      </c>
      <c r="G172" s="189" t="s">
        <v>2788</v>
      </c>
      <c r="H172" s="194">
        <v>7394786809</v>
      </c>
      <c r="I172" s="195" t="s">
        <v>2873</v>
      </c>
      <c r="J172" s="192" t="s">
        <v>2866</v>
      </c>
      <c r="K172" s="204" t="s">
        <v>2867</v>
      </c>
    </row>
    <row r="173" spans="1:11" ht="25">
      <c r="A173" s="182" t="s">
        <v>3068</v>
      </c>
      <c r="B173" s="184" t="s">
        <v>3069</v>
      </c>
      <c r="C173" s="200" t="s">
        <v>2889</v>
      </c>
      <c r="D173" s="186" t="s">
        <v>2653</v>
      </c>
      <c r="E173" s="187" t="s">
        <v>2522</v>
      </c>
      <c r="F173" s="186" t="s">
        <v>2864</v>
      </c>
      <c r="G173" s="189" t="s">
        <v>2799</v>
      </c>
      <c r="H173" s="194">
        <v>7973753314</v>
      </c>
      <c r="I173" s="201" t="s">
        <v>2882</v>
      </c>
      <c r="J173" s="192" t="s">
        <v>2866</v>
      </c>
      <c r="K173" s="204" t="s">
        <v>2867</v>
      </c>
    </row>
    <row r="174" spans="1:11" ht="16">
      <c r="A174" s="182" t="s">
        <v>3070</v>
      </c>
      <c r="B174" s="184" t="s">
        <v>3071</v>
      </c>
      <c r="C174" s="200" t="s">
        <v>2889</v>
      </c>
      <c r="D174" s="186" t="s">
        <v>2653</v>
      </c>
      <c r="E174" s="187" t="s">
        <v>2527</v>
      </c>
      <c r="F174" s="186" t="s">
        <v>2864</v>
      </c>
      <c r="G174" s="186" t="s">
        <v>2865</v>
      </c>
      <c r="H174" s="194">
        <v>8480410455</v>
      </c>
      <c r="I174" s="195" t="s">
        <v>2873</v>
      </c>
      <c r="J174" s="193" t="s">
        <v>2869</v>
      </c>
      <c r="K174" s="204" t="s">
        <v>2870</v>
      </c>
    </row>
    <row r="175" spans="1:11" ht="37.5">
      <c r="A175" s="182" t="s">
        <v>3072</v>
      </c>
      <c r="B175" s="184" t="s">
        <v>3073</v>
      </c>
      <c r="C175" s="197" t="s">
        <v>2878</v>
      </c>
      <c r="D175" s="186" t="s">
        <v>2653</v>
      </c>
      <c r="E175" s="198" t="s">
        <v>2865</v>
      </c>
      <c r="F175" s="186" t="s">
        <v>2865</v>
      </c>
      <c r="G175" s="186" t="s">
        <v>2865</v>
      </c>
      <c r="H175" s="194">
        <v>6197866927</v>
      </c>
      <c r="I175" s="195" t="s">
        <v>2873</v>
      </c>
      <c r="J175" s="192" t="s">
        <v>2866</v>
      </c>
      <c r="K175" s="204" t="s">
        <v>2867</v>
      </c>
    </row>
    <row r="176" spans="1:11" ht="25">
      <c r="A176" s="182" t="s">
        <v>568</v>
      </c>
      <c r="B176" s="184" t="s">
        <v>566</v>
      </c>
      <c r="C176" s="185" t="s">
        <v>2653</v>
      </c>
      <c r="D176" s="186" t="s">
        <v>2653</v>
      </c>
      <c r="E176" s="187" t="s">
        <v>2522</v>
      </c>
      <c r="F176" s="186" t="s">
        <v>2871</v>
      </c>
      <c r="G176" s="189" t="s">
        <v>2775</v>
      </c>
      <c r="H176" s="194">
        <v>7802374707</v>
      </c>
      <c r="I176" s="195" t="s">
        <v>2873</v>
      </c>
      <c r="J176" s="192" t="s">
        <v>2866</v>
      </c>
      <c r="K176" s="204" t="s">
        <v>2867</v>
      </c>
    </row>
    <row r="177" spans="1:11" ht="21">
      <c r="A177" s="182" t="s">
        <v>3074</v>
      </c>
      <c r="B177" s="184">
        <v>2613051065</v>
      </c>
      <c r="C177" s="185" t="s">
        <v>2653</v>
      </c>
      <c r="D177" s="186" t="s">
        <v>2653</v>
      </c>
      <c r="E177" s="187" t="s">
        <v>2527</v>
      </c>
      <c r="F177" s="186" t="s">
        <v>2871</v>
      </c>
      <c r="G177" s="189" t="s">
        <v>2798</v>
      </c>
      <c r="H177" s="194">
        <v>8991617116</v>
      </c>
      <c r="I177" s="195" t="s">
        <v>2873</v>
      </c>
      <c r="J177" s="192" t="s">
        <v>2866</v>
      </c>
      <c r="K177" s="204" t="s">
        <v>2867</v>
      </c>
    </row>
    <row r="178" spans="1:11" ht="37.5">
      <c r="A178" s="182" t="s">
        <v>3075</v>
      </c>
      <c r="B178" s="184" t="s">
        <v>1809</v>
      </c>
      <c r="C178" s="185" t="s">
        <v>2653</v>
      </c>
      <c r="D178" s="186" t="s">
        <v>2653</v>
      </c>
      <c r="E178" s="187" t="s">
        <v>2527</v>
      </c>
      <c r="F178" s="186" t="s">
        <v>2871</v>
      </c>
      <c r="G178" s="189" t="s">
        <v>2801</v>
      </c>
      <c r="H178" s="194">
        <v>8868533461</v>
      </c>
      <c r="I178" s="195" t="s">
        <v>2873</v>
      </c>
      <c r="J178" s="192" t="s">
        <v>2866</v>
      </c>
      <c r="K178" s="204" t="s">
        <v>2867</v>
      </c>
    </row>
    <row r="179" spans="1:11" ht="25">
      <c r="A179" s="182" t="s">
        <v>1084</v>
      </c>
      <c r="B179" s="184" t="s">
        <v>1082</v>
      </c>
      <c r="C179" s="185" t="s">
        <v>2653</v>
      </c>
      <c r="D179" s="186" t="s">
        <v>2653</v>
      </c>
      <c r="E179" s="187" t="s">
        <v>2522</v>
      </c>
      <c r="F179" s="186" t="s">
        <v>2864</v>
      </c>
      <c r="G179" s="189" t="s">
        <v>2789</v>
      </c>
      <c r="H179" s="194">
        <v>6754247661</v>
      </c>
      <c r="I179" s="195" t="s">
        <v>2873</v>
      </c>
      <c r="J179" s="192" t="s">
        <v>2866</v>
      </c>
      <c r="K179" s="204" t="s">
        <v>2867</v>
      </c>
    </row>
    <row r="180" spans="1:11" ht="25">
      <c r="A180" s="182" t="s">
        <v>3076</v>
      </c>
      <c r="B180" s="184" t="s">
        <v>385</v>
      </c>
      <c r="C180" s="185" t="s">
        <v>2653</v>
      </c>
      <c r="D180" s="186" t="s">
        <v>2653</v>
      </c>
      <c r="E180" s="187" t="s">
        <v>2522</v>
      </c>
      <c r="F180" s="186" t="s">
        <v>2864</v>
      </c>
      <c r="G180" s="189" t="s">
        <v>2769</v>
      </c>
      <c r="H180" s="194">
        <v>6613490972</v>
      </c>
      <c r="I180" s="195" t="s">
        <v>2873</v>
      </c>
      <c r="J180" s="192" t="s">
        <v>2866</v>
      </c>
      <c r="K180" s="204" t="s">
        <v>2867</v>
      </c>
    </row>
    <row r="181" spans="1:11" ht="37.5">
      <c r="A181" s="182" t="s">
        <v>3101</v>
      </c>
      <c r="B181" s="184" t="s">
        <v>3102</v>
      </c>
      <c r="C181" s="185" t="s">
        <v>2653</v>
      </c>
      <c r="D181" s="186" t="s">
        <v>2653</v>
      </c>
      <c r="E181" s="187" t="s">
        <v>2527</v>
      </c>
      <c r="F181" s="186" t="s">
        <v>2871</v>
      </c>
      <c r="G181" s="189" t="s">
        <v>2778</v>
      </c>
      <c r="H181" s="194">
        <v>8907651947</v>
      </c>
      <c r="I181" s="195" t="s">
        <v>2873</v>
      </c>
      <c r="J181" s="192" t="s">
        <v>2866</v>
      </c>
      <c r="K181" s="204" t="s">
        <v>2867</v>
      </c>
    </row>
    <row r="182" spans="1:11">
      <c r="A182" s="182" t="s">
        <v>3103</v>
      </c>
      <c r="B182" s="184" t="s">
        <v>3104</v>
      </c>
      <c r="C182" s="203" t="s">
        <v>2950</v>
      </c>
      <c r="D182" s="186" t="s">
        <v>2653</v>
      </c>
      <c r="E182" s="198" t="s">
        <v>2865</v>
      </c>
      <c r="F182" s="186" t="s">
        <v>2865</v>
      </c>
      <c r="G182" s="186" t="s">
        <v>2865</v>
      </c>
      <c r="H182" s="194">
        <v>8450637500</v>
      </c>
      <c r="I182" s="195" t="s">
        <v>2873</v>
      </c>
      <c r="J182" s="192" t="s">
        <v>2866</v>
      </c>
      <c r="K182" s="204" t="s">
        <v>2867</v>
      </c>
    </row>
    <row r="183" spans="1:11" ht="37.5">
      <c r="A183" s="182" t="s">
        <v>3077</v>
      </c>
      <c r="B183" s="184" t="s">
        <v>760</v>
      </c>
      <c r="C183" s="185" t="s">
        <v>2653</v>
      </c>
      <c r="D183" s="186" t="s">
        <v>2653</v>
      </c>
      <c r="E183" s="187" t="s">
        <v>2522</v>
      </c>
      <c r="F183" s="186" t="s">
        <v>2871</v>
      </c>
      <c r="G183" s="189" t="s">
        <v>2779</v>
      </c>
      <c r="H183" s="194">
        <v>6333421366</v>
      </c>
      <c r="I183" s="195" t="s">
        <v>2873</v>
      </c>
      <c r="J183" s="192" t="s">
        <v>2866</v>
      </c>
      <c r="K183" s="204" t="s">
        <v>2867</v>
      </c>
    </row>
    <row r="184" spans="1:11" ht="25">
      <c r="A184" s="182" t="s">
        <v>967</v>
      </c>
      <c r="B184" s="184" t="s">
        <v>965</v>
      </c>
      <c r="C184" s="185" t="s">
        <v>2653</v>
      </c>
      <c r="D184" s="186" t="s">
        <v>2653</v>
      </c>
      <c r="E184" s="187" t="s">
        <v>2522</v>
      </c>
      <c r="F184" s="186" t="s">
        <v>2871</v>
      </c>
      <c r="G184" s="189" t="s">
        <v>2773</v>
      </c>
      <c r="H184" s="194">
        <v>7739225754</v>
      </c>
      <c r="I184" s="195" t="s">
        <v>2873</v>
      </c>
      <c r="J184" s="192" t="s">
        <v>2866</v>
      </c>
      <c r="K184" s="204" t="s">
        <v>2867</v>
      </c>
    </row>
    <row r="185" spans="1:11" ht="25">
      <c r="A185" s="182" t="s">
        <v>3105</v>
      </c>
      <c r="B185" s="184" t="s">
        <v>3106</v>
      </c>
      <c r="C185" s="200" t="s">
        <v>2889</v>
      </c>
      <c r="D185" s="186" t="s">
        <v>2653</v>
      </c>
      <c r="E185" s="187" t="s">
        <v>2522</v>
      </c>
      <c r="F185" s="186" t="s">
        <v>2864</v>
      </c>
      <c r="G185" s="189" t="s">
        <v>2769</v>
      </c>
      <c r="H185" s="194">
        <v>6682894029</v>
      </c>
      <c r="I185" s="195" t="s">
        <v>2873</v>
      </c>
      <c r="J185" s="192" t="s">
        <v>2866</v>
      </c>
      <c r="K185" s="204" t="s">
        <v>2867</v>
      </c>
    </row>
    <row r="186" spans="1:11">
      <c r="A186" s="182" t="s">
        <v>3119</v>
      </c>
      <c r="B186" s="184" t="s">
        <v>3120</v>
      </c>
      <c r="C186" s="203" t="s">
        <v>2950</v>
      </c>
      <c r="D186" s="186" t="s">
        <v>2653</v>
      </c>
      <c r="E186" s="198" t="s">
        <v>2865</v>
      </c>
      <c r="F186" s="186" t="s">
        <v>2865</v>
      </c>
      <c r="G186" s="186" t="s">
        <v>2865</v>
      </c>
      <c r="H186" s="194">
        <v>8792004499</v>
      </c>
      <c r="I186" s="195" t="s">
        <v>2873</v>
      </c>
      <c r="J186" s="192" t="s">
        <v>2866</v>
      </c>
      <c r="K186" s="204" t="s">
        <v>2867</v>
      </c>
    </row>
    <row r="187" spans="1:11" ht="25">
      <c r="A187" s="182" t="s">
        <v>3107</v>
      </c>
      <c r="B187" s="184" t="s">
        <v>452</v>
      </c>
      <c r="C187" s="185" t="s">
        <v>2892</v>
      </c>
      <c r="D187" s="186" t="s">
        <v>2653</v>
      </c>
      <c r="E187" s="187" t="s">
        <v>2522</v>
      </c>
      <c r="F187" s="186" t="s">
        <v>2871</v>
      </c>
      <c r="G187" s="189" t="s">
        <v>2803</v>
      </c>
      <c r="H187" s="194">
        <v>5660648607</v>
      </c>
      <c r="I187" s="195" t="s">
        <v>2873</v>
      </c>
      <c r="J187" s="192" t="s">
        <v>2866</v>
      </c>
      <c r="K187" s="204" t="s">
        <v>2867</v>
      </c>
    </row>
    <row r="188" spans="1:11" ht="37.5">
      <c r="A188" s="182" t="s">
        <v>3108</v>
      </c>
      <c r="B188" s="184" t="s">
        <v>3109</v>
      </c>
      <c r="C188" s="185" t="s">
        <v>2653</v>
      </c>
      <c r="D188" s="186" t="s">
        <v>2653</v>
      </c>
      <c r="E188" s="187" t="s">
        <v>2527</v>
      </c>
      <c r="F188" s="186" t="s">
        <v>2864</v>
      </c>
      <c r="G188" s="189" t="s">
        <v>2792</v>
      </c>
      <c r="H188" s="194">
        <v>8910420380</v>
      </c>
      <c r="I188" s="195" t="s">
        <v>2873</v>
      </c>
      <c r="J188" s="192" t="s">
        <v>2866</v>
      </c>
      <c r="K188" s="204" t="s">
        <v>2867</v>
      </c>
    </row>
    <row r="189" spans="1:11" ht="37.5">
      <c r="A189" s="182" t="s">
        <v>1751</v>
      </c>
      <c r="B189" s="184" t="s">
        <v>1749</v>
      </c>
      <c r="C189" s="185" t="s">
        <v>2653</v>
      </c>
      <c r="D189" s="186" t="s">
        <v>2653</v>
      </c>
      <c r="E189" s="187" t="s">
        <v>2527</v>
      </c>
      <c r="F189" s="186" t="s">
        <v>2871</v>
      </c>
      <c r="G189" s="189" t="s">
        <v>2872</v>
      </c>
      <c r="H189" s="194">
        <v>8770042446</v>
      </c>
      <c r="I189" s="195" t="s">
        <v>2873</v>
      </c>
      <c r="J189" s="192" t="s">
        <v>2866</v>
      </c>
      <c r="K189" s="204" t="s">
        <v>2867</v>
      </c>
    </row>
    <row r="190" spans="1:11" ht="31.5">
      <c r="A190" s="182" t="s">
        <v>3110</v>
      </c>
      <c r="B190" s="184" t="s">
        <v>502</v>
      </c>
      <c r="C190" s="185" t="s">
        <v>2653</v>
      </c>
      <c r="D190" s="186" t="s">
        <v>2653</v>
      </c>
      <c r="E190" s="187" t="s">
        <v>2522</v>
      </c>
      <c r="F190" s="186" t="s">
        <v>2871</v>
      </c>
      <c r="G190" s="189" t="s">
        <v>2803</v>
      </c>
      <c r="H190" s="194">
        <v>7661735607</v>
      </c>
      <c r="I190" s="195" t="s">
        <v>2873</v>
      </c>
      <c r="J190" s="192" t="s">
        <v>2866</v>
      </c>
      <c r="K190" s="204" t="s">
        <v>2867</v>
      </c>
    </row>
    <row r="191" spans="1:11" ht="37.5">
      <c r="A191" s="182" t="s">
        <v>3111</v>
      </c>
      <c r="B191" s="184" t="s">
        <v>1856</v>
      </c>
      <c r="C191" s="185" t="s">
        <v>2653</v>
      </c>
      <c r="D191" s="186" t="s">
        <v>2653</v>
      </c>
      <c r="E191" s="187" t="s">
        <v>2527</v>
      </c>
      <c r="F191" s="186" t="s">
        <v>2871</v>
      </c>
      <c r="G191" s="189" t="s">
        <v>2774</v>
      </c>
      <c r="H191" s="194">
        <v>8072382835</v>
      </c>
      <c r="I191" s="195" t="s">
        <v>2873</v>
      </c>
      <c r="J191" s="192" t="s">
        <v>2866</v>
      </c>
      <c r="K191" s="204" t="s">
        <v>2867</v>
      </c>
    </row>
    <row r="192" spans="1:11" ht="26.5">
      <c r="A192" s="182" t="s">
        <v>3121</v>
      </c>
      <c r="B192" s="184" t="s">
        <v>3122</v>
      </c>
      <c r="C192" s="202" t="s">
        <v>3123</v>
      </c>
      <c r="D192" s="186" t="s">
        <v>2653</v>
      </c>
      <c r="E192" s="198" t="s">
        <v>2865</v>
      </c>
      <c r="F192" s="186" t="s">
        <v>2865</v>
      </c>
      <c r="G192" s="186" t="s">
        <v>2865</v>
      </c>
      <c r="H192" s="194">
        <v>6343055135</v>
      </c>
      <c r="I192" s="195" t="s">
        <v>2873</v>
      </c>
      <c r="J192" s="192" t="s">
        <v>2866</v>
      </c>
      <c r="K192" s="204" t="s">
        <v>2867</v>
      </c>
    </row>
    <row r="193" spans="1:11" ht="16">
      <c r="A193" s="182" t="s">
        <v>126</v>
      </c>
      <c r="B193" s="184">
        <v>2613050977</v>
      </c>
      <c r="C193" s="185" t="s">
        <v>2653</v>
      </c>
      <c r="D193" s="186" t="s">
        <v>2653</v>
      </c>
      <c r="E193" s="187" t="s">
        <v>2522</v>
      </c>
      <c r="F193" s="186" t="s">
        <v>2871</v>
      </c>
      <c r="G193" s="189" t="s">
        <v>2775</v>
      </c>
      <c r="H193" s="194">
        <v>7318574582</v>
      </c>
      <c r="I193" s="195" t="s">
        <v>2873</v>
      </c>
      <c r="J193" s="192" t="s">
        <v>2866</v>
      </c>
      <c r="K193" s="204" t="s">
        <v>2867</v>
      </c>
    </row>
    <row r="194" spans="1:11" ht="37.5">
      <c r="A194" s="182" t="s">
        <v>3112</v>
      </c>
      <c r="B194" s="184" t="s">
        <v>1521</v>
      </c>
      <c r="C194" s="185" t="s">
        <v>2653</v>
      </c>
      <c r="D194" s="186" t="s">
        <v>2653</v>
      </c>
      <c r="E194" s="187" t="s">
        <v>2527</v>
      </c>
      <c r="F194" s="186" t="s">
        <v>2864</v>
      </c>
      <c r="G194" s="189" t="s">
        <v>2792</v>
      </c>
      <c r="H194" s="194">
        <v>8806903894</v>
      </c>
      <c r="I194" s="195" t="s">
        <v>2873</v>
      </c>
      <c r="J194" s="192" t="s">
        <v>2866</v>
      </c>
      <c r="K194" s="204" t="s">
        <v>2867</v>
      </c>
    </row>
    <row r="195" spans="1:11" ht="25">
      <c r="A195" s="182" t="s">
        <v>3113</v>
      </c>
      <c r="B195" s="184" t="s">
        <v>3114</v>
      </c>
      <c r="C195" s="197" t="s">
        <v>2878</v>
      </c>
      <c r="D195" s="186" t="s">
        <v>2653</v>
      </c>
      <c r="E195" s="198" t="s">
        <v>2865</v>
      </c>
      <c r="F195" s="186" t="s">
        <v>2865</v>
      </c>
      <c r="G195" s="186" t="s">
        <v>2865</v>
      </c>
      <c r="H195" s="194">
        <v>8372716281</v>
      </c>
      <c r="I195" s="195" t="s">
        <v>2873</v>
      </c>
      <c r="J195" s="192" t="s">
        <v>2866</v>
      </c>
      <c r="K195" s="204" t="s">
        <v>2867</v>
      </c>
    </row>
    <row r="196" spans="1:11" ht="37.5">
      <c r="A196" s="182" t="s">
        <v>1531</v>
      </c>
      <c r="B196" s="184" t="s">
        <v>1529</v>
      </c>
      <c r="C196" s="185" t="s">
        <v>2653</v>
      </c>
      <c r="D196" s="186" t="s">
        <v>2653</v>
      </c>
      <c r="E196" s="187" t="s">
        <v>2527</v>
      </c>
      <c r="F196" s="186" t="s">
        <v>2864</v>
      </c>
      <c r="G196" s="189" t="s">
        <v>2790</v>
      </c>
      <c r="H196" s="194">
        <v>2092690800</v>
      </c>
      <c r="I196" s="195" t="s">
        <v>2873</v>
      </c>
      <c r="J196" s="192" t="s">
        <v>2866</v>
      </c>
      <c r="K196" s="204" t="s">
        <v>2867</v>
      </c>
    </row>
    <row r="197" spans="1:11" ht="25">
      <c r="A197" s="182" t="s">
        <v>1194</v>
      </c>
      <c r="B197" s="184" t="s">
        <v>1192</v>
      </c>
      <c r="C197" s="185" t="s">
        <v>2653</v>
      </c>
      <c r="D197" s="186" t="s">
        <v>2653</v>
      </c>
      <c r="E197" s="187" t="s">
        <v>2522</v>
      </c>
      <c r="F197" s="186" t="s">
        <v>2864</v>
      </c>
      <c r="G197" s="189" t="s">
        <v>2770</v>
      </c>
      <c r="H197" s="194">
        <v>8930821512</v>
      </c>
      <c r="I197" s="195" t="s">
        <v>2873</v>
      </c>
      <c r="J197" s="192" t="s">
        <v>2866</v>
      </c>
      <c r="K197" s="204" t="s">
        <v>2867</v>
      </c>
    </row>
    <row r="198" spans="1:11" ht="37.5">
      <c r="A198" s="182" t="s">
        <v>3124</v>
      </c>
      <c r="B198" s="184" t="s">
        <v>696</v>
      </c>
      <c r="C198" s="185" t="s">
        <v>2653</v>
      </c>
      <c r="D198" s="186" t="s">
        <v>2653</v>
      </c>
      <c r="E198" s="187" t="s">
        <v>2522</v>
      </c>
      <c r="F198" s="186" t="s">
        <v>2871</v>
      </c>
      <c r="G198" s="189" t="s">
        <v>2780</v>
      </c>
      <c r="H198" s="194">
        <v>8166464839</v>
      </c>
      <c r="I198" s="195" t="s">
        <v>2873</v>
      </c>
      <c r="J198" s="192" t="s">
        <v>2866</v>
      </c>
      <c r="K198" s="204" t="s">
        <v>2867</v>
      </c>
    </row>
    <row r="199" spans="1:11" ht="16">
      <c r="A199" s="182" t="s">
        <v>3115</v>
      </c>
      <c r="B199" s="184">
        <v>2613051083</v>
      </c>
      <c r="C199" s="185" t="s">
        <v>2653</v>
      </c>
      <c r="D199" s="186" t="s">
        <v>2653</v>
      </c>
      <c r="E199" s="187" t="s">
        <v>2522</v>
      </c>
      <c r="F199" s="186" t="s">
        <v>2871</v>
      </c>
      <c r="G199" s="189" t="s">
        <v>2775</v>
      </c>
      <c r="H199" s="194">
        <v>6934918249</v>
      </c>
      <c r="I199" s="195" t="s">
        <v>2873</v>
      </c>
      <c r="J199" s="192" t="s">
        <v>2866</v>
      </c>
      <c r="K199" s="204" t="s">
        <v>2867</v>
      </c>
    </row>
    <row r="200" spans="1:11" ht="21">
      <c r="A200" s="182" t="s">
        <v>3125</v>
      </c>
      <c r="B200" s="184" t="s">
        <v>3126</v>
      </c>
      <c r="C200" s="203" t="s">
        <v>2950</v>
      </c>
      <c r="D200" s="186" t="s">
        <v>2653</v>
      </c>
      <c r="E200" s="198" t="s">
        <v>2865</v>
      </c>
      <c r="F200" s="186" t="s">
        <v>2865</v>
      </c>
      <c r="G200" s="186" t="s">
        <v>2865</v>
      </c>
      <c r="H200" s="194">
        <v>6058202882</v>
      </c>
      <c r="I200" s="195" t="s">
        <v>2873</v>
      </c>
      <c r="J200" s="192" t="s">
        <v>2866</v>
      </c>
      <c r="K200" s="204" t="s">
        <v>2867</v>
      </c>
    </row>
    <row r="201" spans="1:11" ht="25">
      <c r="A201" s="182" t="s">
        <v>3127</v>
      </c>
      <c r="B201" s="184" t="s">
        <v>3128</v>
      </c>
      <c r="C201" s="189" t="s">
        <v>2894</v>
      </c>
      <c r="D201" s="186" t="s">
        <v>2653</v>
      </c>
      <c r="E201" s="187" t="s">
        <v>2527</v>
      </c>
      <c r="F201" s="186" t="s">
        <v>2871</v>
      </c>
      <c r="G201" s="186" t="s">
        <v>2865</v>
      </c>
      <c r="H201" s="194">
        <v>7548416522</v>
      </c>
      <c r="I201" s="195" t="s">
        <v>2873</v>
      </c>
      <c r="J201" s="192" t="s">
        <v>2866</v>
      </c>
      <c r="K201" s="204" t="s">
        <v>2867</v>
      </c>
    </row>
    <row r="202" spans="1:11" ht="37.5">
      <c r="A202" s="182" t="s">
        <v>1769</v>
      </c>
      <c r="B202" s="184" t="s">
        <v>1767</v>
      </c>
      <c r="C202" s="185" t="s">
        <v>2653</v>
      </c>
      <c r="D202" s="186" t="s">
        <v>2653</v>
      </c>
      <c r="E202" s="187" t="s">
        <v>2527</v>
      </c>
      <c r="F202" s="186" t="s">
        <v>2871</v>
      </c>
      <c r="G202" s="189" t="s">
        <v>2777</v>
      </c>
      <c r="H202" s="194">
        <v>6056168598</v>
      </c>
      <c r="I202" s="195" t="s">
        <v>2873</v>
      </c>
      <c r="J202" s="192" t="s">
        <v>2866</v>
      </c>
      <c r="K202" s="204" t="s">
        <v>2867</v>
      </c>
    </row>
    <row r="203" spans="1:11" ht="25">
      <c r="A203" s="182" t="s">
        <v>1188</v>
      </c>
      <c r="B203" s="184" t="s">
        <v>1186</v>
      </c>
      <c r="C203" s="185" t="s">
        <v>2653</v>
      </c>
      <c r="D203" s="186" t="s">
        <v>2653</v>
      </c>
      <c r="E203" s="187" t="s">
        <v>2522</v>
      </c>
      <c r="F203" s="186" t="s">
        <v>2864</v>
      </c>
      <c r="G203" s="189" t="s">
        <v>2770</v>
      </c>
      <c r="H203" s="194">
        <v>6678520538</v>
      </c>
      <c r="I203" s="195" t="s">
        <v>2873</v>
      </c>
      <c r="J203" s="192" t="s">
        <v>2866</v>
      </c>
      <c r="K203" s="204" t="s">
        <v>2867</v>
      </c>
    </row>
    <row r="204" spans="1:11" ht="16">
      <c r="A204" s="182" t="s">
        <v>3129</v>
      </c>
      <c r="B204" s="184">
        <v>2613050777</v>
      </c>
      <c r="C204" s="185" t="s">
        <v>2653</v>
      </c>
      <c r="D204" s="186" t="s">
        <v>2653</v>
      </c>
      <c r="E204" s="187" t="s">
        <v>2522</v>
      </c>
      <c r="F204" s="186" t="s">
        <v>2864</v>
      </c>
      <c r="G204" s="189" t="s">
        <v>2794</v>
      </c>
      <c r="H204" s="194">
        <v>8801275558</v>
      </c>
      <c r="I204" s="195" t="s">
        <v>2873</v>
      </c>
      <c r="J204" s="192" t="s">
        <v>2866</v>
      </c>
      <c r="K204" s="204" t="s">
        <v>2867</v>
      </c>
    </row>
    <row r="205" spans="1:11" ht="37.5">
      <c r="A205" s="182" t="s">
        <v>1537</v>
      </c>
      <c r="B205" s="184" t="s">
        <v>1535</v>
      </c>
      <c r="C205" s="185" t="s">
        <v>2653</v>
      </c>
      <c r="D205" s="186" t="s">
        <v>2653</v>
      </c>
      <c r="E205" s="187" t="s">
        <v>2527</v>
      </c>
      <c r="F205" s="186" t="s">
        <v>2864</v>
      </c>
      <c r="G205" s="189" t="s">
        <v>2792</v>
      </c>
      <c r="H205" s="194">
        <v>8744812615</v>
      </c>
      <c r="I205" s="195" t="s">
        <v>2873</v>
      </c>
      <c r="J205" s="192" t="s">
        <v>2866</v>
      </c>
      <c r="K205" s="204" t="s">
        <v>2867</v>
      </c>
    </row>
    <row r="206" spans="1:11" ht="21">
      <c r="A206" s="182" t="s">
        <v>3116</v>
      </c>
      <c r="B206" s="184">
        <v>2613051029</v>
      </c>
      <c r="C206" s="185" t="s">
        <v>2653</v>
      </c>
      <c r="D206" s="186" t="s">
        <v>2653</v>
      </c>
      <c r="E206" s="187" t="s">
        <v>2527</v>
      </c>
      <c r="F206" s="186" t="s">
        <v>2871</v>
      </c>
      <c r="G206" s="189" t="s">
        <v>2798</v>
      </c>
      <c r="H206" s="194">
        <v>866507576</v>
      </c>
      <c r="I206" s="195" t="s">
        <v>2873</v>
      </c>
      <c r="J206" s="192" t="s">
        <v>2866</v>
      </c>
      <c r="K206" s="204" t="s">
        <v>2867</v>
      </c>
    </row>
    <row r="207" spans="1:11" ht="21">
      <c r="A207" s="182" t="s">
        <v>3117</v>
      </c>
      <c r="B207" s="184" t="s">
        <v>3118</v>
      </c>
      <c r="C207" s="200" t="s">
        <v>2889</v>
      </c>
      <c r="D207" s="186" t="s">
        <v>2653</v>
      </c>
      <c r="E207" s="187" t="s">
        <v>2527</v>
      </c>
      <c r="F207" s="186" t="s">
        <v>2864</v>
      </c>
      <c r="G207" s="189" t="s">
        <v>2792</v>
      </c>
      <c r="H207" s="194">
        <v>8903863050</v>
      </c>
      <c r="I207" s="195" t="s">
        <v>2873</v>
      </c>
      <c r="J207" s="192" t="s">
        <v>2866</v>
      </c>
      <c r="K207" s="204" t="s">
        <v>2867</v>
      </c>
    </row>
    <row r="208" spans="1:11" ht="37.5">
      <c r="A208" s="182" t="s">
        <v>3130</v>
      </c>
      <c r="B208" s="184" t="s">
        <v>3131</v>
      </c>
      <c r="C208" s="185" t="s">
        <v>2653</v>
      </c>
      <c r="D208" s="186" t="s">
        <v>2653</v>
      </c>
      <c r="E208" s="187" t="s">
        <v>2527</v>
      </c>
      <c r="F208" s="186" t="s">
        <v>2871</v>
      </c>
      <c r="G208" s="189" t="s">
        <v>2772</v>
      </c>
      <c r="H208" s="194">
        <v>8645473759</v>
      </c>
      <c r="I208" s="195" t="s">
        <v>2873</v>
      </c>
      <c r="J208" s="192" t="s">
        <v>2866</v>
      </c>
      <c r="K208" s="204" t="s">
        <v>2867</v>
      </c>
    </row>
    <row r="209" spans="1:11" ht="16">
      <c r="A209" s="182" t="s">
        <v>3132</v>
      </c>
      <c r="B209" s="184">
        <v>2613050742</v>
      </c>
      <c r="C209" s="185" t="s">
        <v>2653</v>
      </c>
      <c r="D209" s="186" t="s">
        <v>2653</v>
      </c>
      <c r="E209" s="187" t="s">
        <v>2522</v>
      </c>
      <c r="F209" s="186" t="s">
        <v>2871</v>
      </c>
      <c r="G209" s="189" t="s">
        <v>2782</v>
      </c>
      <c r="H209" s="194">
        <v>8011516020</v>
      </c>
      <c r="I209" s="195" t="s">
        <v>2873</v>
      </c>
      <c r="J209" s="192" t="s">
        <v>2866</v>
      </c>
      <c r="K209" s="204" t="s">
        <v>2867</v>
      </c>
    </row>
    <row r="210" spans="1:11" ht="37.5">
      <c r="A210" s="182" t="s">
        <v>750</v>
      </c>
      <c r="B210" s="184" t="s">
        <v>748</v>
      </c>
      <c r="C210" s="185" t="s">
        <v>2653</v>
      </c>
      <c r="D210" s="186" t="s">
        <v>2653</v>
      </c>
      <c r="E210" s="187" t="s">
        <v>2522</v>
      </c>
      <c r="F210" s="186" t="s">
        <v>2871</v>
      </c>
      <c r="G210" s="189" t="s">
        <v>2779</v>
      </c>
      <c r="H210" s="194">
        <v>1147778501</v>
      </c>
      <c r="I210" s="195" t="s">
        <v>2873</v>
      </c>
      <c r="J210" s="192" t="s">
        <v>2866</v>
      </c>
      <c r="K210" s="204" t="s">
        <v>2867</v>
      </c>
    </row>
    <row r="211" spans="1:11">
      <c r="A211" s="182" t="s">
        <v>3133</v>
      </c>
      <c r="B211" s="184" t="s">
        <v>3134</v>
      </c>
      <c r="C211" s="203" t="s">
        <v>2950</v>
      </c>
      <c r="D211" s="186" t="s">
        <v>2653</v>
      </c>
      <c r="E211" s="198" t="s">
        <v>2865</v>
      </c>
      <c r="F211" s="186" t="s">
        <v>2865</v>
      </c>
      <c r="G211" s="186" t="s">
        <v>2865</v>
      </c>
      <c r="H211" s="194">
        <v>8881377459</v>
      </c>
      <c r="I211" s="195" t="s">
        <v>2873</v>
      </c>
      <c r="J211" s="192" t="s">
        <v>2866</v>
      </c>
      <c r="K211" s="204" t="s">
        <v>2867</v>
      </c>
    </row>
    <row r="212" spans="1:11" ht="37.5">
      <c r="A212" s="182" t="s">
        <v>3151</v>
      </c>
      <c r="B212" s="184" t="s">
        <v>3152</v>
      </c>
      <c r="C212" s="185" t="s">
        <v>2653</v>
      </c>
      <c r="D212" s="186" t="s">
        <v>2653</v>
      </c>
      <c r="E212" s="187" t="s">
        <v>2527</v>
      </c>
      <c r="F212" s="186" t="s">
        <v>2864</v>
      </c>
      <c r="G212" s="189" t="s">
        <v>2771</v>
      </c>
      <c r="H212" s="194">
        <v>7084366001</v>
      </c>
      <c r="I212" s="195" t="s">
        <v>2873</v>
      </c>
      <c r="J212" s="192" t="s">
        <v>2866</v>
      </c>
      <c r="K212" s="204" t="s">
        <v>2867</v>
      </c>
    </row>
    <row r="213" spans="1:11" ht="37.5">
      <c r="A213" s="182" t="s">
        <v>3153</v>
      </c>
      <c r="B213" s="184" t="s">
        <v>1719</v>
      </c>
      <c r="C213" s="185" t="s">
        <v>2653</v>
      </c>
      <c r="D213" s="186" t="s">
        <v>2653</v>
      </c>
      <c r="E213" s="187" t="s">
        <v>2527</v>
      </c>
      <c r="F213" s="186" t="s">
        <v>2871</v>
      </c>
      <c r="G213" s="189" t="s">
        <v>2778</v>
      </c>
      <c r="H213" s="194">
        <v>6214860102</v>
      </c>
      <c r="I213" s="195" t="s">
        <v>2873</v>
      </c>
      <c r="J213" s="192" t="s">
        <v>2866</v>
      </c>
      <c r="K213" s="204" t="s">
        <v>2867</v>
      </c>
    </row>
    <row r="214" spans="1:11" ht="25">
      <c r="A214" s="182" t="s">
        <v>1089</v>
      </c>
      <c r="B214" s="184" t="s">
        <v>1087</v>
      </c>
      <c r="C214" s="185" t="s">
        <v>2653</v>
      </c>
      <c r="D214" s="186" t="s">
        <v>2653</v>
      </c>
      <c r="E214" s="187" t="s">
        <v>2522</v>
      </c>
      <c r="F214" s="186" t="s">
        <v>2864</v>
      </c>
      <c r="G214" s="189" t="s">
        <v>2789</v>
      </c>
      <c r="H214" s="194">
        <v>7353672566</v>
      </c>
      <c r="I214" s="195" t="s">
        <v>2873</v>
      </c>
      <c r="J214" s="192" t="s">
        <v>2866</v>
      </c>
      <c r="K214" s="204" t="s">
        <v>2867</v>
      </c>
    </row>
    <row r="215" spans="1:11" ht="21">
      <c r="A215" s="182" t="s">
        <v>2781</v>
      </c>
      <c r="B215" s="184" t="s">
        <v>3135</v>
      </c>
      <c r="C215" s="189" t="s">
        <v>2894</v>
      </c>
      <c r="D215" s="200" t="s">
        <v>2881</v>
      </c>
      <c r="E215" s="198" t="s">
        <v>2865</v>
      </c>
      <c r="F215" s="186" t="s">
        <v>2865</v>
      </c>
      <c r="G215" s="186" t="s">
        <v>2865</v>
      </c>
      <c r="H215" s="194">
        <v>177860273</v>
      </c>
      <c r="I215" s="195" t="s">
        <v>2873</v>
      </c>
      <c r="J215" s="192" t="s">
        <v>2866</v>
      </c>
      <c r="K215" s="204" t="s">
        <v>2867</v>
      </c>
    </row>
    <row r="216" spans="1:11" ht="31.5">
      <c r="A216" s="182" t="s">
        <v>3136</v>
      </c>
      <c r="B216" s="184" t="s">
        <v>941</v>
      </c>
      <c r="C216" s="185" t="s">
        <v>2653</v>
      </c>
      <c r="D216" s="186" t="s">
        <v>2653</v>
      </c>
      <c r="E216" s="187" t="s">
        <v>2522</v>
      </c>
      <c r="F216" s="186" t="s">
        <v>2871</v>
      </c>
      <c r="G216" s="189" t="s">
        <v>2773</v>
      </c>
      <c r="H216" s="194">
        <v>8905936677</v>
      </c>
      <c r="I216" s="195" t="s">
        <v>2873</v>
      </c>
      <c r="J216" s="192" t="s">
        <v>2866</v>
      </c>
      <c r="K216" s="204" t="s">
        <v>2867</v>
      </c>
    </row>
    <row r="217" spans="1:11">
      <c r="A217" s="182" t="s">
        <v>3154</v>
      </c>
      <c r="B217" s="184" t="s">
        <v>3155</v>
      </c>
      <c r="C217" s="203" t="s">
        <v>2950</v>
      </c>
      <c r="D217" s="186" t="s">
        <v>2653</v>
      </c>
      <c r="E217" s="198" t="s">
        <v>2865</v>
      </c>
      <c r="F217" s="186" t="s">
        <v>2865</v>
      </c>
      <c r="G217" s="186" t="s">
        <v>2865</v>
      </c>
      <c r="H217" s="194">
        <v>8995780823</v>
      </c>
      <c r="I217" s="195" t="s">
        <v>2873</v>
      </c>
      <c r="J217" s="192" t="s">
        <v>2866</v>
      </c>
      <c r="K217" s="204" t="s">
        <v>2867</v>
      </c>
    </row>
    <row r="218" spans="1:11" ht="52.5">
      <c r="A218" s="182" t="s">
        <v>3156</v>
      </c>
      <c r="B218" s="184" t="s">
        <v>3157</v>
      </c>
      <c r="C218" s="185" t="s">
        <v>2653</v>
      </c>
      <c r="D218" s="186" t="s">
        <v>2653</v>
      </c>
      <c r="E218" s="187" t="s">
        <v>2527</v>
      </c>
      <c r="F218" s="186" t="s">
        <v>2871</v>
      </c>
      <c r="G218" s="189" t="s">
        <v>2778</v>
      </c>
      <c r="H218" s="194">
        <v>8389852607</v>
      </c>
      <c r="I218" s="195" t="s">
        <v>2873</v>
      </c>
      <c r="J218" s="192" t="s">
        <v>2866</v>
      </c>
      <c r="K218" s="204" t="s">
        <v>2867</v>
      </c>
    </row>
    <row r="219" spans="1:11">
      <c r="A219" s="182" t="s">
        <v>3655</v>
      </c>
      <c r="B219" s="184" t="s">
        <v>3656</v>
      </c>
      <c r="C219" s="203" t="s">
        <v>2950</v>
      </c>
      <c r="D219" s="186" t="s">
        <v>2653</v>
      </c>
      <c r="E219" s="198" t="s">
        <v>2865</v>
      </c>
      <c r="F219" s="186" t="s">
        <v>2865</v>
      </c>
      <c r="G219" s="186" t="s">
        <v>2865</v>
      </c>
      <c r="H219" s="194">
        <v>8569594984</v>
      </c>
      <c r="I219" s="195" t="s">
        <v>2873</v>
      </c>
      <c r="J219" s="192" t="s">
        <v>2866</v>
      </c>
      <c r="K219" s="204" t="s">
        <v>2867</v>
      </c>
    </row>
    <row r="220" spans="1:11" ht="21">
      <c r="A220" s="182" t="s">
        <v>3137</v>
      </c>
      <c r="B220" s="184">
        <v>2613051128</v>
      </c>
      <c r="C220" s="185" t="s">
        <v>2653</v>
      </c>
      <c r="D220" s="186" t="s">
        <v>2653</v>
      </c>
      <c r="E220" s="187" t="s">
        <v>2527</v>
      </c>
      <c r="F220" s="186" t="s">
        <v>2871</v>
      </c>
      <c r="G220" s="189" t="s">
        <v>2801</v>
      </c>
      <c r="H220" s="194">
        <v>6728601269</v>
      </c>
      <c r="I220" s="195" t="s">
        <v>2873</v>
      </c>
      <c r="J220" s="192" t="s">
        <v>2866</v>
      </c>
      <c r="K220" s="204" t="s">
        <v>2867</v>
      </c>
    </row>
    <row r="221" spans="1:11" ht="37.5">
      <c r="A221" s="182" t="s">
        <v>1775</v>
      </c>
      <c r="B221" s="184" t="s">
        <v>1773</v>
      </c>
      <c r="C221" s="185" t="s">
        <v>2653</v>
      </c>
      <c r="D221" s="186" t="s">
        <v>2653</v>
      </c>
      <c r="E221" s="187" t="s">
        <v>2527</v>
      </c>
      <c r="F221" s="186" t="s">
        <v>2871</v>
      </c>
      <c r="G221" s="189" t="s">
        <v>2777</v>
      </c>
      <c r="H221" s="194">
        <v>8002538783</v>
      </c>
      <c r="I221" s="195" t="s">
        <v>2873</v>
      </c>
      <c r="J221" s="192" t="s">
        <v>2866</v>
      </c>
      <c r="K221" s="204" t="s">
        <v>2867</v>
      </c>
    </row>
    <row r="222" spans="1:11" ht="37.5">
      <c r="A222" s="182" t="s">
        <v>3138</v>
      </c>
      <c r="B222" s="184" t="s">
        <v>3139</v>
      </c>
      <c r="C222" s="185" t="s">
        <v>2653</v>
      </c>
      <c r="D222" s="186" t="s">
        <v>2653</v>
      </c>
      <c r="E222" s="187" t="s">
        <v>2527</v>
      </c>
      <c r="F222" s="186" t="s">
        <v>2864</v>
      </c>
      <c r="G222" s="189" t="s">
        <v>2790</v>
      </c>
      <c r="H222" s="194">
        <v>75937280322</v>
      </c>
      <c r="I222" s="195" t="s">
        <v>2873</v>
      </c>
      <c r="J222" s="192" t="s">
        <v>2866</v>
      </c>
      <c r="K222" s="204" t="s">
        <v>2867</v>
      </c>
    </row>
    <row r="223" spans="1:11" ht="25">
      <c r="A223" s="182" t="s">
        <v>3140</v>
      </c>
      <c r="B223" s="184" t="s">
        <v>3141</v>
      </c>
      <c r="C223" s="197" t="s">
        <v>2878</v>
      </c>
      <c r="D223" s="186" t="s">
        <v>2653</v>
      </c>
      <c r="E223" s="198" t="s">
        <v>2865</v>
      </c>
      <c r="F223" s="186" t="s">
        <v>2865</v>
      </c>
      <c r="G223" s="186" t="s">
        <v>2865</v>
      </c>
      <c r="H223" s="194">
        <v>8706151953</v>
      </c>
      <c r="I223" s="195" t="s">
        <v>2873</v>
      </c>
      <c r="J223" s="192" t="s">
        <v>2866</v>
      </c>
      <c r="K223" s="204" t="s">
        <v>2867</v>
      </c>
    </row>
    <row r="224" spans="1:11" ht="37.5">
      <c r="A224" s="182" t="s">
        <v>3158</v>
      </c>
      <c r="B224" s="184" t="s">
        <v>3159</v>
      </c>
      <c r="C224" s="185" t="s">
        <v>2653</v>
      </c>
      <c r="D224" s="186" t="s">
        <v>2653</v>
      </c>
      <c r="E224" s="187" t="s">
        <v>2527</v>
      </c>
      <c r="F224" s="186" t="s">
        <v>2871</v>
      </c>
      <c r="G224" s="189" t="s">
        <v>2778</v>
      </c>
      <c r="H224" s="194">
        <v>7233161372</v>
      </c>
      <c r="I224" s="195" t="s">
        <v>2873</v>
      </c>
      <c r="J224" s="192" t="s">
        <v>2866</v>
      </c>
      <c r="K224" s="204" t="s">
        <v>2867</v>
      </c>
    </row>
    <row r="225" spans="1:11" ht="16">
      <c r="A225" s="182" t="s">
        <v>3160</v>
      </c>
      <c r="B225" s="184" t="s">
        <v>3161</v>
      </c>
      <c r="C225" s="203" t="s">
        <v>2950</v>
      </c>
      <c r="D225" s="186" t="s">
        <v>2653</v>
      </c>
      <c r="E225" s="187" t="s">
        <v>2996</v>
      </c>
      <c r="F225" s="186" t="s">
        <v>2871</v>
      </c>
      <c r="G225" s="189" t="s">
        <v>2796</v>
      </c>
      <c r="H225" s="194">
        <v>8106648121</v>
      </c>
      <c r="I225" s="195" t="s">
        <v>2873</v>
      </c>
      <c r="J225" s="192" t="s">
        <v>2866</v>
      </c>
      <c r="K225" s="204" t="s">
        <v>2867</v>
      </c>
    </row>
    <row r="226" spans="1:11">
      <c r="A226" s="182" t="s">
        <v>3162</v>
      </c>
      <c r="B226" s="184" t="s">
        <v>3163</v>
      </c>
      <c r="C226" s="203" t="s">
        <v>2950</v>
      </c>
      <c r="D226" s="186" t="s">
        <v>2653</v>
      </c>
      <c r="E226" s="198" t="s">
        <v>2865</v>
      </c>
      <c r="F226" s="186" t="s">
        <v>2865</v>
      </c>
      <c r="G226" s="186" t="s">
        <v>2865</v>
      </c>
      <c r="H226" s="194">
        <v>8920158214</v>
      </c>
      <c r="I226" s="195" t="s">
        <v>2873</v>
      </c>
      <c r="J226" s="192" t="s">
        <v>2866</v>
      </c>
      <c r="K226" s="204" t="s">
        <v>2867</v>
      </c>
    </row>
    <row r="227" spans="1:11" ht="25">
      <c r="A227" s="182" t="s">
        <v>3142</v>
      </c>
      <c r="B227" s="184" t="s">
        <v>3143</v>
      </c>
      <c r="C227" s="185" t="s">
        <v>2653</v>
      </c>
      <c r="D227" s="186" t="s">
        <v>2653</v>
      </c>
      <c r="E227" s="187" t="s">
        <v>2522</v>
      </c>
      <c r="F227" s="186" t="s">
        <v>2864</v>
      </c>
      <c r="G227" s="189" t="s">
        <v>2793</v>
      </c>
      <c r="H227" s="194">
        <v>8553915586</v>
      </c>
      <c r="I227" s="195" t="s">
        <v>2873</v>
      </c>
      <c r="J227" s="192" t="s">
        <v>2866</v>
      </c>
      <c r="K227" s="204" t="s">
        <v>2867</v>
      </c>
    </row>
    <row r="228" spans="1:11" ht="16">
      <c r="A228" s="182" t="s">
        <v>3164</v>
      </c>
      <c r="B228" s="184" t="s">
        <v>3165</v>
      </c>
      <c r="C228" s="189" t="s">
        <v>2894</v>
      </c>
      <c r="D228" s="186" t="s">
        <v>2653</v>
      </c>
      <c r="E228" s="198" t="s">
        <v>2865</v>
      </c>
      <c r="F228" s="186" t="s">
        <v>2865</v>
      </c>
      <c r="G228" s="186" t="s">
        <v>2865</v>
      </c>
      <c r="H228" s="194">
        <v>6791246449</v>
      </c>
      <c r="I228" s="195" t="s">
        <v>2873</v>
      </c>
      <c r="J228" s="192" t="s">
        <v>2866</v>
      </c>
      <c r="K228" s="204" t="s">
        <v>2867</v>
      </c>
    </row>
    <row r="229" spans="1:11" ht="37.5">
      <c r="A229" s="182" t="s">
        <v>3166</v>
      </c>
      <c r="B229" s="184" t="s">
        <v>3167</v>
      </c>
      <c r="C229" s="185" t="s">
        <v>2653</v>
      </c>
      <c r="D229" s="186" t="s">
        <v>2653</v>
      </c>
      <c r="E229" s="187" t="s">
        <v>2527</v>
      </c>
      <c r="F229" s="186" t="s">
        <v>2871</v>
      </c>
      <c r="G229" s="189" t="s">
        <v>2772</v>
      </c>
      <c r="H229" s="194">
        <v>818298975</v>
      </c>
      <c r="I229" s="195" t="s">
        <v>2873</v>
      </c>
      <c r="J229" s="192" t="s">
        <v>2866</v>
      </c>
      <c r="K229" s="204" t="s">
        <v>2867</v>
      </c>
    </row>
    <row r="230" spans="1:11" ht="37.5">
      <c r="A230" s="182" t="s">
        <v>1543</v>
      </c>
      <c r="B230" s="184" t="s">
        <v>1541</v>
      </c>
      <c r="C230" s="185" t="s">
        <v>2892</v>
      </c>
      <c r="D230" s="186" t="s">
        <v>2653</v>
      </c>
      <c r="E230" s="187" t="s">
        <v>2527</v>
      </c>
      <c r="F230" s="186" t="s">
        <v>2864</v>
      </c>
      <c r="G230" s="189" t="s">
        <v>2791</v>
      </c>
      <c r="H230" s="194">
        <v>1303026903</v>
      </c>
      <c r="I230" s="195" t="s">
        <v>2873</v>
      </c>
      <c r="J230" s="192" t="s">
        <v>2866</v>
      </c>
      <c r="K230" s="204" t="s">
        <v>2867</v>
      </c>
    </row>
    <row r="231" spans="1:11" ht="25">
      <c r="A231" s="182" t="s">
        <v>896</v>
      </c>
      <c r="B231" s="184" t="s">
        <v>894</v>
      </c>
      <c r="C231" s="185" t="s">
        <v>2653</v>
      </c>
      <c r="D231" s="186" t="s">
        <v>2653</v>
      </c>
      <c r="E231" s="187" t="s">
        <v>2522</v>
      </c>
      <c r="F231" s="186" t="s">
        <v>2864</v>
      </c>
      <c r="G231" s="189" t="s">
        <v>2799</v>
      </c>
      <c r="H231" s="194">
        <v>8559882046</v>
      </c>
      <c r="I231" s="195" t="s">
        <v>2873</v>
      </c>
      <c r="J231" s="192" t="s">
        <v>2866</v>
      </c>
      <c r="K231" s="204" t="s">
        <v>2867</v>
      </c>
    </row>
    <row r="232" spans="1:11" ht="21">
      <c r="A232" s="182" t="s">
        <v>3144</v>
      </c>
      <c r="B232" s="184" t="s">
        <v>3145</v>
      </c>
      <c r="C232" s="203" t="s">
        <v>2950</v>
      </c>
      <c r="D232" s="186" t="s">
        <v>2653</v>
      </c>
      <c r="E232" s="198" t="s">
        <v>2865</v>
      </c>
      <c r="F232" s="186" t="s">
        <v>2865</v>
      </c>
      <c r="G232" s="186" t="s">
        <v>2865</v>
      </c>
      <c r="H232" s="194">
        <v>6087907610</v>
      </c>
      <c r="I232" s="195" t="s">
        <v>2873</v>
      </c>
      <c r="J232" s="192" t="s">
        <v>2866</v>
      </c>
      <c r="K232" s="204" t="s">
        <v>2867</v>
      </c>
    </row>
    <row r="233" spans="1:11" ht="25">
      <c r="A233" s="182" t="s">
        <v>3170</v>
      </c>
      <c r="B233" s="184" t="s">
        <v>3171</v>
      </c>
      <c r="C233" s="203" t="s">
        <v>2950</v>
      </c>
      <c r="D233" s="186" t="s">
        <v>2653</v>
      </c>
      <c r="E233" s="187" t="s">
        <v>2996</v>
      </c>
      <c r="F233" s="186" t="s">
        <v>2871</v>
      </c>
      <c r="G233" s="186" t="s">
        <v>2865</v>
      </c>
      <c r="H233" s="194">
        <v>8644169730</v>
      </c>
      <c r="I233" s="195" t="s">
        <v>2873</v>
      </c>
      <c r="J233" s="192" t="s">
        <v>2866</v>
      </c>
      <c r="K233" s="204" t="s">
        <v>2867</v>
      </c>
    </row>
    <row r="234" spans="1:11" ht="25">
      <c r="A234" s="182" t="s">
        <v>3168</v>
      </c>
      <c r="B234" s="184" t="s">
        <v>3169</v>
      </c>
      <c r="C234" s="203" t="s">
        <v>2950</v>
      </c>
      <c r="D234" s="186" t="s">
        <v>2653</v>
      </c>
      <c r="E234" s="187" t="s">
        <v>2996</v>
      </c>
      <c r="F234" s="186" t="s">
        <v>2864</v>
      </c>
      <c r="G234" s="189" t="s">
        <v>2868</v>
      </c>
      <c r="H234" s="194">
        <v>89671286070</v>
      </c>
      <c r="I234" s="195" t="s">
        <v>2873</v>
      </c>
      <c r="J234" s="192" t="s">
        <v>2866</v>
      </c>
      <c r="K234" s="204" t="s">
        <v>2867</v>
      </c>
    </row>
    <row r="235" spans="1:11">
      <c r="A235" s="182" t="s">
        <v>3146</v>
      </c>
      <c r="B235" s="184" t="s">
        <v>3147</v>
      </c>
      <c r="C235" s="203" t="s">
        <v>2950</v>
      </c>
      <c r="D235" s="186" t="s">
        <v>2653</v>
      </c>
      <c r="E235" s="198" t="s">
        <v>2865</v>
      </c>
      <c r="F235" s="186" t="s">
        <v>2865</v>
      </c>
      <c r="G235" s="186" t="s">
        <v>2865</v>
      </c>
      <c r="H235" s="194">
        <v>1293327970</v>
      </c>
      <c r="I235" s="195" t="s">
        <v>2873</v>
      </c>
      <c r="J235" s="192" t="s">
        <v>2866</v>
      </c>
      <c r="K235" s="204" t="s">
        <v>2867</v>
      </c>
    </row>
    <row r="236" spans="1:11">
      <c r="A236" s="182" t="s">
        <v>3172</v>
      </c>
      <c r="B236" s="184" t="s">
        <v>3173</v>
      </c>
      <c r="C236" s="203" t="s">
        <v>2950</v>
      </c>
      <c r="D236" s="186" t="s">
        <v>2653</v>
      </c>
      <c r="E236" s="198" t="s">
        <v>2865</v>
      </c>
      <c r="F236" s="186" t="s">
        <v>2865</v>
      </c>
      <c r="G236" s="186" t="s">
        <v>2865</v>
      </c>
      <c r="H236" s="194">
        <v>8745387190</v>
      </c>
      <c r="I236" s="195" t="s">
        <v>2873</v>
      </c>
      <c r="J236" s="192" t="s">
        <v>2866</v>
      </c>
      <c r="K236" s="204" t="s">
        <v>2867</v>
      </c>
    </row>
    <row r="237" spans="1:11" ht="31.5">
      <c r="A237" s="182" t="s">
        <v>3148</v>
      </c>
      <c r="B237" s="184" t="s">
        <v>3149</v>
      </c>
      <c r="C237" s="200" t="s">
        <v>2889</v>
      </c>
      <c r="D237" s="186" t="s">
        <v>2653</v>
      </c>
      <c r="E237" s="187" t="s">
        <v>2522</v>
      </c>
      <c r="F237" s="186" t="s">
        <v>2871</v>
      </c>
      <c r="G237" s="189" t="s">
        <v>2782</v>
      </c>
      <c r="H237" s="194">
        <v>1996262783</v>
      </c>
      <c r="I237" s="195" t="s">
        <v>2873</v>
      </c>
      <c r="J237" s="192" t="s">
        <v>2866</v>
      </c>
      <c r="K237" s="204" t="s">
        <v>2867</v>
      </c>
    </row>
    <row r="238" spans="1:11" ht="21">
      <c r="A238" s="182" t="s">
        <v>2779</v>
      </c>
      <c r="B238" s="184" t="s">
        <v>3150</v>
      </c>
      <c r="C238" s="189" t="s">
        <v>2894</v>
      </c>
      <c r="D238" s="200" t="s">
        <v>2881</v>
      </c>
      <c r="E238" s="198" t="s">
        <v>2865</v>
      </c>
      <c r="F238" s="186" t="s">
        <v>2865</v>
      </c>
      <c r="G238" s="186" t="s">
        <v>2865</v>
      </c>
      <c r="H238" s="194">
        <v>8887725056</v>
      </c>
      <c r="I238" s="195" t="s">
        <v>2873</v>
      </c>
      <c r="J238" s="192" t="s">
        <v>2866</v>
      </c>
      <c r="K238" s="204" t="s">
        <v>2867</v>
      </c>
    </row>
    <row r="239" spans="1:11" ht="31.5">
      <c r="A239" s="182" t="s">
        <v>3174</v>
      </c>
      <c r="B239" s="184" t="s">
        <v>3175</v>
      </c>
      <c r="C239" s="203" t="s">
        <v>2950</v>
      </c>
      <c r="D239" s="186" t="s">
        <v>2653</v>
      </c>
      <c r="E239" s="187" t="s">
        <v>2522</v>
      </c>
      <c r="F239" s="186" t="s">
        <v>2864</v>
      </c>
      <c r="G239" s="189" t="s">
        <v>2800</v>
      </c>
      <c r="H239" s="194">
        <v>7606505736</v>
      </c>
      <c r="I239" s="195" t="s">
        <v>2873</v>
      </c>
      <c r="J239" s="192" t="s">
        <v>2866</v>
      </c>
      <c r="K239" s="204" t="s">
        <v>2867</v>
      </c>
    </row>
    <row r="240" spans="1:11" ht="31.5">
      <c r="A240" s="182" t="s">
        <v>3176</v>
      </c>
      <c r="B240" s="184" t="s">
        <v>3177</v>
      </c>
      <c r="C240" s="200" t="s">
        <v>2889</v>
      </c>
      <c r="D240" s="186" t="s">
        <v>2653</v>
      </c>
      <c r="E240" s="187" t="s">
        <v>2527</v>
      </c>
      <c r="F240" s="186" t="s">
        <v>2864</v>
      </c>
      <c r="G240" s="189" t="s">
        <v>2768</v>
      </c>
      <c r="H240" s="194">
        <v>1095235729</v>
      </c>
      <c r="I240" s="195" t="s">
        <v>2873</v>
      </c>
      <c r="J240" s="192" t="s">
        <v>2866</v>
      </c>
      <c r="K240" s="204" t="s">
        <v>2867</v>
      </c>
    </row>
    <row r="241" spans="1:11" ht="31.5">
      <c r="A241" s="182" t="s">
        <v>89</v>
      </c>
      <c r="B241" s="184">
        <v>2613050705</v>
      </c>
      <c r="C241" s="185" t="s">
        <v>2653</v>
      </c>
      <c r="D241" s="186" t="s">
        <v>2653</v>
      </c>
      <c r="E241" s="187" t="s">
        <v>2522</v>
      </c>
      <c r="F241" s="186" t="s">
        <v>2864</v>
      </c>
      <c r="G241" s="189" t="s">
        <v>2770</v>
      </c>
      <c r="H241" s="194">
        <v>8880045278</v>
      </c>
      <c r="I241" s="195" t="s">
        <v>2873</v>
      </c>
      <c r="J241" s="192" t="s">
        <v>2866</v>
      </c>
      <c r="K241" s="204" t="s">
        <v>2867</v>
      </c>
    </row>
    <row r="242" spans="1:11" ht="21">
      <c r="A242" s="182" t="s">
        <v>3180</v>
      </c>
      <c r="B242" s="184" t="s">
        <v>3181</v>
      </c>
      <c r="C242" s="203" t="s">
        <v>2950</v>
      </c>
      <c r="D242" s="186" t="s">
        <v>2653</v>
      </c>
      <c r="E242" s="198" t="s">
        <v>2865</v>
      </c>
      <c r="F242" s="186" t="s">
        <v>2865</v>
      </c>
      <c r="G242" s="186" t="s">
        <v>2865</v>
      </c>
      <c r="H242" s="194">
        <v>1991453121</v>
      </c>
      <c r="I242" s="195" t="s">
        <v>2873</v>
      </c>
      <c r="J242" s="192" t="s">
        <v>2866</v>
      </c>
      <c r="K242" s="204" t="s">
        <v>2867</v>
      </c>
    </row>
    <row r="243" spans="1:11" ht="25">
      <c r="A243" s="182" t="s">
        <v>3178</v>
      </c>
      <c r="B243" s="184" t="s">
        <v>3179</v>
      </c>
      <c r="C243" s="197" t="s">
        <v>2878</v>
      </c>
      <c r="D243" s="186" t="s">
        <v>2653</v>
      </c>
      <c r="E243" s="198" t="s">
        <v>2865</v>
      </c>
      <c r="F243" s="186" t="s">
        <v>2865</v>
      </c>
      <c r="G243" s="186" t="s">
        <v>2865</v>
      </c>
      <c r="H243" s="194">
        <v>7028542573</v>
      </c>
      <c r="I243" s="195" t="s">
        <v>2873</v>
      </c>
      <c r="J243" s="192" t="s">
        <v>2866</v>
      </c>
      <c r="K243" s="204" t="s">
        <v>2867</v>
      </c>
    </row>
    <row r="244" spans="1:11" ht="25">
      <c r="A244" s="182" t="s">
        <v>3182</v>
      </c>
      <c r="B244" s="184" t="s">
        <v>1049</v>
      </c>
      <c r="C244" s="185" t="s">
        <v>2653</v>
      </c>
      <c r="D244" s="186" t="s">
        <v>2653</v>
      </c>
      <c r="E244" s="187" t="s">
        <v>2522</v>
      </c>
      <c r="F244" s="186" t="s">
        <v>2871</v>
      </c>
      <c r="G244" s="189" t="s">
        <v>2782</v>
      </c>
      <c r="H244" s="194">
        <v>7716796606</v>
      </c>
      <c r="I244" s="195" t="s">
        <v>2873</v>
      </c>
      <c r="J244" s="192" t="s">
        <v>2866</v>
      </c>
      <c r="K244" s="204" t="s">
        <v>2867</v>
      </c>
    </row>
    <row r="245" spans="1:11" ht="25">
      <c r="A245" s="182" t="s">
        <v>1392</v>
      </c>
      <c r="B245" s="184" t="s">
        <v>1390</v>
      </c>
      <c r="C245" s="185" t="s">
        <v>2653</v>
      </c>
      <c r="D245" s="186" t="s">
        <v>2653</v>
      </c>
      <c r="E245" s="187" t="s">
        <v>2522</v>
      </c>
      <c r="F245" s="186" t="s">
        <v>2864</v>
      </c>
      <c r="G245" s="189" t="s">
        <v>2786</v>
      </c>
      <c r="H245" s="194">
        <v>7585988162</v>
      </c>
      <c r="I245" s="195" t="s">
        <v>2873</v>
      </c>
      <c r="J245" s="192" t="s">
        <v>2866</v>
      </c>
      <c r="K245" s="204" t="s">
        <v>2867</v>
      </c>
    </row>
    <row r="246" spans="1:11" ht="25">
      <c r="A246" s="182" t="s">
        <v>3183</v>
      </c>
      <c r="B246" s="184" t="s">
        <v>1043</v>
      </c>
      <c r="C246" s="185" t="s">
        <v>2653</v>
      </c>
      <c r="D246" s="186" t="s">
        <v>2653</v>
      </c>
      <c r="E246" s="187" t="s">
        <v>2522</v>
      </c>
      <c r="F246" s="186" t="s">
        <v>2871</v>
      </c>
      <c r="G246" s="189" t="s">
        <v>2782</v>
      </c>
      <c r="H246" s="194">
        <v>6298708357</v>
      </c>
      <c r="I246" s="195" t="s">
        <v>2873</v>
      </c>
      <c r="J246" s="192" t="s">
        <v>2866</v>
      </c>
      <c r="K246" s="204" t="s">
        <v>2867</v>
      </c>
    </row>
    <row r="247" spans="1:11" ht="16">
      <c r="A247" s="182" t="s">
        <v>3184</v>
      </c>
      <c r="B247" s="184" t="s">
        <v>3185</v>
      </c>
      <c r="C247" s="200" t="s">
        <v>2889</v>
      </c>
      <c r="D247" s="186" t="s">
        <v>2653</v>
      </c>
      <c r="E247" s="187" t="s">
        <v>2527</v>
      </c>
      <c r="F247" s="186" t="s">
        <v>2864</v>
      </c>
      <c r="G247" s="189" t="s">
        <v>2791</v>
      </c>
      <c r="H247" s="194">
        <v>8806231828</v>
      </c>
      <c r="I247" s="195" t="s">
        <v>2873</v>
      </c>
      <c r="J247" s="192" t="s">
        <v>2866</v>
      </c>
      <c r="K247" s="204" t="s">
        <v>2867</v>
      </c>
    </row>
    <row r="248" spans="1:11" ht="25">
      <c r="A248" s="182" t="s">
        <v>604</v>
      </c>
      <c r="B248" s="184" t="s">
        <v>602</v>
      </c>
      <c r="C248" s="185" t="s">
        <v>2653</v>
      </c>
      <c r="D248" s="186" t="s">
        <v>2653</v>
      </c>
      <c r="E248" s="187" t="s">
        <v>2522</v>
      </c>
      <c r="F248" s="186" t="s">
        <v>2864</v>
      </c>
      <c r="G248" s="189" t="s">
        <v>2787</v>
      </c>
      <c r="H248" s="194">
        <v>8845236907</v>
      </c>
      <c r="I248" s="195" t="s">
        <v>2873</v>
      </c>
      <c r="J248" s="192" t="s">
        <v>2866</v>
      </c>
      <c r="K248" s="204" t="s">
        <v>2867</v>
      </c>
    </row>
    <row r="249" spans="1:11" ht="25">
      <c r="A249" s="182" t="s">
        <v>3202</v>
      </c>
      <c r="B249" s="184" t="s">
        <v>3203</v>
      </c>
      <c r="C249" s="185" t="s">
        <v>2653</v>
      </c>
      <c r="D249" s="186" t="s">
        <v>2653</v>
      </c>
      <c r="E249" s="187" t="s">
        <v>2522</v>
      </c>
      <c r="F249" s="186" t="s">
        <v>2864</v>
      </c>
      <c r="G249" s="189" t="s">
        <v>2794</v>
      </c>
      <c r="H249" s="194">
        <v>6947413547</v>
      </c>
      <c r="I249" s="195" t="s">
        <v>2873</v>
      </c>
      <c r="J249" s="192" t="s">
        <v>2866</v>
      </c>
      <c r="K249" s="204" t="s">
        <v>2867</v>
      </c>
    </row>
    <row r="250" spans="1:11">
      <c r="A250" s="182" t="s">
        <v>3204</v>
      </c>
      <c r="B250" s="184" t="s">
        <v>3205</v>
      </c>
      <c r="C250" s="203" t="s">
        <v>2950</v>
      </c>
      <c r="D250" s="186" t="s">
        <v>2653</v>
      </c>
      <c r="E250" s="198" t="s">
        <v>2865</v>
      </c>
      <c r="F250" s="186" t="s">
        <v>2865</v>
      </c>
      <c r="G250" s="186" t="s">
        <v>2865</v>
      </c>
      <c r="H250" s="194">
        <v>8881075116</v>
      </c>
      <c r="I250" s="195" t="s">
        <v>2873</v>
      </c>
      <c r="J250" s="193" t="s">
        <v>2869</v>
      </c>
      <c r="K250" s="204" t="s">
        <v>2870</v>
      </c>
    </row>
    <row r="251" spans="1:11" ht="21">
      <c r="A251" s="182" t="s">
        <v>3206</v>
      </c>
      <c r="B251" s="184" t="s">
        <v>3207</v>
      </c>
      <c r="C251" s="203" t="s">
        <v>2950</v>
      </c>
      <c r="D251" s="186" t="s">
        <v>2653</v>
      </c>
      <c r="E251" s="198" t="s">
        <v>2865</v>
      </c>
      <c r="F251" s="186" t="s">
        <v>2865</v>
      </c>
      <c r="G251" s="186" t="s">
        <v>2865</v>
      </c>
      <c r="H251" s="194">
        <v>7632240854</v>
      </c>
      <c r="I251" s="195" t="s">
        <v>2873</v>
      </c>
      <c r="J251" s="192" t="s">
        <v>2866</v>
      </c>
      <c r="K251" s="204" t="s">
        <v>2867</v>
      </c>
    </row>
    <row r="252" spans="1:11" ht="25">
      <c r="A252" s="182" t="s">
        <v>3186</v>
      </c>
      <c r="B252" s="184" t="s">
        <v>3187</v>
      </c>
      <c r="C252" s="185" t="s">
        <v>2653</v>
      </c>
      <c r="D252" s="186" t="s">
        <v>2653</v>
      </c>
      <c r="E252" s="187" t="s">
        <v>2522</v>
      </c>
      <c r="F252" s="186" t="s">
        <v>2864</v>
      </c>
      <c r="G252" s="189" t="s">
        <v>2793</v>
      </c>
      <c r="H252" s="194">
        <v>8984447236</v>
      </c>
      <c r="I252" s="195" t="s">
        <v>2873</v>
      </c>
      <c r="J252" s="192" t="s">
        <v>2866</v>
      </c>
      <c r="K252" s="204" t="s">
        <v>2867</v>
      </c>
    </row>
    <row r="253" spans="1:11" ht="25">
      <c r="A253" s="182" t="s">
        <v>3657</v>
      </c>
      <c r="B253" s="184" t="s">
        <v>3658</v>
      </c>
      <c r="C253" s="185" t="s">
        <v>2653</v>
      </c>
      <c r="D253" s="186" t="s">
        <v>2653</v>
      </c>
      <c r="E253" s="187" t="s">
        <v>2522</v>
      </c>
      <c r="F253" s="186" t="s">
        <v>2864</v>
      </c>
      <c r="G253" s="189" t="s">
        <v>2794</v>
      </c>
      <c r="H253" s="194">
        <v>7877899960</v>
      </c>
      <c r="I253" s="195" t="s">
        <v>2873</v>
      </c>
      <c r="J253" s="192" t="s">
        <v>2866</v>
      </c>
      <c r="K253" s="204" t="s">
        <v>2867</v>
      </c>
    </row>
    <row r="254" spans="1:11" ht="25">
      <c r="A254" s="182" t="s">
        <v>3188</v>
      </c>
      <c r="B254" s="184" t="s">
        <v>3189</v>
      </c>
      <c r="C254" s="200" t="s">
        <v>2889</v>
      </c>
      <c r="D254" s="186" t="s">
        <v>2653</v>
      </c>
      <c r="E254" s="187" t="s">
        <v>2522</v>
      </c>
      <c r="F254" s="186" t="s">
        <v>2864</v>
      </c>
      <c r="G254" s="189" t="s">
        <v>2770</v>
      </c>
      <c r="H254" s="194">
        <v>5999210430</v>
      </c>
      <c r="I254" s="195" t="s">
        <v>2873</v>
      </c>
      <c r="J254" s="192" t="s">
        <v>2866</v>
      </c>
      <c r="K254" s="204" t="s">
        <v>2867</v>
      </c>
    </row>
    <row r="255" spans="1:11" ht="25">
      <c r="A255" s="182" t="s">
        <v>3190</v>
      </c>
      <c r="B255" s="184" t="s">
        <v>3191</v>
      </c>
      <c r="C255" s="185" t="s">
        <v>2653</v>
      </c>
      <c r="D255" s="186" t="s">
        <v>2653</v>
      </c>
      <c r="E255" s="187" t="s">
        <v>2522</v>
      </c>
      <c r="F255" s="186" t="s">
        <v>2864</v>
      </c>
      <c r="G255" s="189" t="s">
        <v>2786</v>
      </c>
      <c r="H255" s="194">
        <v>5566552242</v>
      </c>
      <c r="I255" s="195" t="s">
        <v>2873</v>
      </c>
      <c r="J255" s="192" t="s">
        <v>2866</v>
      </c>
      <c r="K255" s="204" t="s">
        <v>2867</v>
      </c>
    </row>
    <row r="256" spans="1:11" ht="21">
      <c r="A256" s="182" t="s">
        <v>3208</v>
      </c>
      <c r="B256" s="184" t="s">
        <v>3209</v>
      </c>
      <c r="C256" s="203" t="s">
        <v>2950</v>
      </c>
      <c r="D256" s="186" t="s">
        <v>2653</v>
      </c>
      <c r="E256" s="187" t="s">
        <v>2522</v>
      </c>
      <c r="F256" s="186" t="s">
        <v>2864</v>
      </c>
      <c r="G256" s="189" t="s">
        <v>2786</v>
      </c>
      <c r="H256" s="194">
        <v>1270148343</v>
      </c>
      <c r="I256" s="195" t="s">
        <v>2873</v>
      </c>
      <c r="J256" s="192" t="s">
        <v>2866</v>
      </c>
      <c r="K256" s="204" t="s">
        <v>2867</v>
      </c>
    </row>
    <row r="257" spans="1:11" ht="37.5">
      <c r="A257" s="182" t="s">
        <v>2697</v>
      </c>
      <c r="B257" s="184" t="s">
        <v>3192</v>
      </c>
      <c r="C257" s="185" t="s">
        <v>2653</v>
      </c>
      <c r="D257" s="186" t="s">
        <v>2653</v>
      </c>
      <c r="E257" s="187" t="s">
        <v>2527</v>
      </c>
      <c r="F257" s="186" t="s">
        <v>2864</v>
      </c>
      <c r="G257" s="189" t="s">
        <v>2791</v>
      </c>
      <c r="H257" s="194">
        <v>5359953954</v>
      </c>
      <c r="I257" s="195" t="s">
        <v>2873</v>
      </c>
      <c r="J257" s="192" t="s">
        <v>2866</v>
      </c>
      <c r="K257" s="204" t="s">
        <v>2867</v>
      </c>
    </row>
    <row r="258" spans="1:11" ht="37.5">
      <c r="A258" s="182" t="s">
        <v>3193</v>
      </c>
      <c r="B258" s="184" t="s">
        <v>3194</v>
      </c>
      <c r="C258" s="185" t="s">
        <v>2653</v>
      </c>
      <c r="D258" s="186" t="s">
        <v>2653</v>
      </c>
      <c r="E258" s="187" t="s">
        <v>2527</v>
      </c>
      <c r="F258" s="186" t="s">
        <v>2864</v>
      </c>
      <c r="G258" s="189" t="s">
        <v>2795</v>
      </c>
      <c r="H258" s="194">
        <v>8829868611</v>
      </c>
      <c r="I258" s="195" t="s">
        <v>2873</v>
      </c>
      <c r="J258" s="192" t="s">
        <v>2866</v>
      </c>
      <c r="K258" s="204" t="s">
        <v>2867</v>
      </c>
    </row>
    <row r="259" spans="1:11" ht="31.5">
      <c r="A259" s="182" t="s">
        <v>3195</v>
      </c>
      <c r="B259" s="184" t="s">
        <v>3196</v>
      </c>
      <c r="C259" s="200" t="s">
        <v>2889</v>
      </c>
      <c r="D259" s="186" t="s">
        <v>2653</v>
      </c>
      <c r="E259" s="187" t="s">
        <v>2527</v>
      </c>
      <c r="F259" s="186" t="s">
        <v>2864</v>
      </c>
      <c r="G259" s="186" t="s">
        <v>2865</v>
      </c>
      <c r="H259" s="194">
        <v>8777589475</v>
      </c>
      <c r="I259" s="195" t="s">
        <v>2873</v>
      </c>
      <c r="J259" s="192" t="s">
        <v>2866</v>
      </c>
      <c r="K259" s="204" t="s">
        <v>2867</v>
      </c>
    </row>
    <row r="260" spans="1:11" ht="37.5">
      <c r="A260" s="182" t="s">
        <v>3210</v>
      </c>
      <c r="B260" s="184" t="s">
        <v>3211</v>
      </c>
      <c r="C260" s="185" t="s">
        <v>2653</v>
      </c>
      <c r="D260" s="186" t="s">
        <v>2653</v>
      </c>
      <c r="E260" s="187" t="s">
        <v>2527</v>
      </c>
      <c r="F260" s="186" t="s">
        <v>2871</v>
      </c>
      <c r="G260" s="189" t="s">
        <v>2772</v>
      </c>
      <c r="H260" s="194">
        <v>7200072851</v>
      </c>
      <c r="I260" s="201" t="s">
        <v>2882</v>
      </c>
      <c r="J260" s="192" t="s">
        <v>2866</v>
      </c>
      <c r="K260" s="204" t="s">
        <v>2867</v>
      </c>
    </row>
    <row r="261" spans="1:11" ht="16">
      <c r="A261" s="182" t="s">
        <v>3212</v>
      </c>
      <c r="B261" s="184" t="s">
        <v>3213</v>
      </c>
      <c r="C261" s="189" t="s">
        <v>2894</v>
      </c>
      <c r="D261" s="202" t="s">
        <v>2989</v>
      </c>
      <c r="E261" s="198" t="s">
        <v>2865</v>
      </c>
      <c r="F261" s="186" t="s">
        <v>2865</v>
      </c>
      <c r="G261" s="186" t="s">
        <v>2865</v>
      </c>
      <c r="H261" s="194">
        <v>6616508141</v>
      </c>
      <c r="I261" s="195" t="s">
        <v>2873</v>
      </c>
      <c r="J261" s="192" t="s">
        <v>2866</v>
      </c>
      <c r="K261" s="204" t="s">
        <v>2867</v>
      </c>
    </row>
    <row r="262" spans="1:11" ht="37.5">
      <c r="A262" s="182" t="s">
        <v>1870</v>
      </c>
      <c r="B262" s="184" t="s">
        <v>1868</v>
      </c>
      <c r="C262" s="185" t="s">
        <v>2653</v>
      </c>
      <c r="D262" s="186" t="s">
        <v>2653</v>
      </c>
      <c r="E262" s="187" t="s">
        <v>2527</v>
      </c>
      <c r="F262" s="186" t="s">
        <v>2871</v>
      </c>
      <c r="G262" s="189" t="s">
        <v>2872</v>
      </c>
      <c r="H262" s="194">
        <v>7608061781</v>
      </c>
      <c r="I262" s="195" t="s">
        <v>2873</v>
      </c>
      <c r="J262" s="192" t="s">
        <v>2866</v>
      </c>
      <c r="K262" s="204" t="s">
        <v>2867</v>
      </c>
    </row>
    <row r="263" spans="1:11" ht="25">
      <c r="A263" s="182" t="s">
        <v>3214</v>
      </c>
      <c r="B263" s="184" t="s">
        <v>332</v>
      </c>
      <c r="C263" s="185" t="s">
        <v>2653</v>
      </c>
      <c r="D263" s="186" t="s">
        <v>2653</v>
      </c>
      <c r="E263" s="187" t="s">
        <v>2522</v>
      </c>
      <c r="F263" s="186" t="s">
        <v>2864</v>
      </c>
      <c r="G263" s="189" t="s">
        <v>2785</v>
      </c>
      <c r="H263" s="194">
        <v>6478070708</v>
      </c>
      <c r="I263" s="195" t="s">
        <v>2873</v>
      </c>
      <c r="J263" s="192" t="s">
        <v>2866</v>
      </c>
      <c r="K263" s="204" t="s">
        <v>2867</v>
      </c>
    </row>
    <row r="264" spans="1:11" ht="25">
      <c r="A264" s="182" t="s">
        <v>1128</v>
      </c>
      <c r="B264" s="184" t="s">
        <v>1126</v>
      </c>
      <c r="C264" s="185" t="s">
        <v>2653</v>
      </c>
      <c r="D264" s="186" t="s">
        <v>2653</v>
      </c>
      <c r="E264" s="187" t="s">
        <v>2522</v>
      </c>
      <c r="F264" s="186" t="s">
        <v>2871</v>
      </c>
      <c r="G264" s="189" t="s">
        <v>2781</v>
      </c>
      <c r="H264" s="194">
        <v>7331004122</v>
      </c>
      <c r="I264" s="195" t="s">
        <v>2873</v>
      </c>
      <c r="J264" s="192" t="s">
        <v>2866</v>
      </c>
      <c r="K264" s="204" t="s">
        <v>2867</v>
      </c>
    </row>
    <row r="265" spans="1:11" ht="21">
      <c r="A265" s="182" t="s">
        <v>3197</v>
      </c>
      <c r="B265" s="184">
        <v>2613051093</v>
      </c>
      <c r="C265" s="185" t="s">
        <v>2653</v>
      </c>
      <c r="D265" s="186" t="s">
        <v>2653</v>
      </c>
      <c r="E265" s="187" t="s">
        <v>2522</v>
      </c>
      <c r="F265" s="186" t="s">
        <v>2871</v>
      </c>
      <c r="G265" s="189" t="s">
        <v>2773</v>
      </c>
      <c r="H265" s="194">
        <v>8984588273</v>
      </c>
      <c r="I265" s="195" t="s">
        <v>2873</v>
      </c>
      <c r="J265" s="192" t="s">
        <v>2866</v>
      </c>
      <c r="K265" s="204" t="s">
        <v>2867</v>
      </c>
    </row>
    <row r="266" spans="1:11" ht="37.5">
      <c r="A266" s="182" t="s">
        <v>3198</v>
      </c>
      <c r="B266" s="184" t="s">
        <v>1547</v>
      </c>
      <c r="C266" s="185" t="s">
        <v>2653</v>
      </c>
      <c r="D266" s="186" t="s">
        <v>2653</v>
      </c>
      <c r="E266" s="187" t="s">
        <v>2527</v>
      </c>
      <c r="F266" s="186" t="s">
        <v>2864</v>
      </c>
      <c r="G266" s="189" t="s">
        <v>2768</v>
      </c>
      <c r="H266" s="194">
        <v>7805214363</v>
      </c>
      <c r="I266" s="195" t="s">
        <v>2873</v>
      </c>
      <c r="J266" s="192" t="s">
        <v>2866</v>
      </c>
      <c r="K266" s="204" t="s">
        <v>2867</v>
      </c>
    </row>
    <row r="267" spans="1:11" ht="25">
      <c r="A267" s="182" t="s">
        <v>1116</v>
      </c>
      <c r="B267" s="184" t="s">
        <v>1114</v>
      </c>
      <c r="C267" s="185" t="s">
        <v>2653</v>
      </c>
      <c r="D267" s="186" t="s">
        <v>2653</v>
      </c>
      <c r="E267" s="187" t="s">
        <v>2522</v>
      </c>
      <c r="F267" s="186" t="s">
        <v>2871</v>
      </c>
      <c r="G267" s="189" t="s">
        <v>2781</v>
      </c>
      <c r="H267" s="194">
        <v>5437185576</v>
      </c>
      <c r="I267" s="195" t="s">
        <v>2873</v>
      </c>
      <c r="J267" s="192" t="s">
        <v>2866</v>
      </c>
      <c r="K267" s="204" t="s">
        <v>2867</v>
      </c>
    </row>
    <row r="268" spans="1:11" ht="21">
      <c r="A268" s="182" t="s">
        <v>3215</v>
      </c>
      <c r="B268" s="184" t="s">
        <v>3216</v>
      </c>
      <c r="C268" s="189" t="s">
        <v>2894</v>
      </c>
      <c r="D268" s="186" t="s">
        <v>2653</v>
      </c>
      <c r="E268" s="198" t="s">
        <v>2865</v>
      </c>
      <c r="F268" s="186" t="s">
        <v>2865</v>
      </c>
      <c r="G268" s="186" t="s">
        <v>2865</v>
      </c>
      <c r="H268" s="194">
        <v>673852958</v>
      </c>
      <c r="I268" s="195" t="s">
        <v>2873</v>
      </c>
      <c r="J268" s="192" t="s">
        <v>2866</v>
      </c>
      <c r="K268" s="204" t="s">
        <v>2867</v>
      </c>
    </row>
    <row r="269" spans="1:11" ht="25">
      <c r="A269" s="182" t="s">
        <v>3199</v>
      </c>
      <c r="B269" s="184" t="s">
        <v>492</v>
      </c>
      <c r="C269" s="185" t="s">
        <v>2653</v>
      </c>
      <c r="D269" s="186" t="s">
        <v>2653</v>
      </c>
      <c r="E269" s="187" t="s">
        <v>2522</v>
      </c>
      <c r="F269" s="186" t="s">
        <v>2871</v>
      </c>
      <c r="G269" s="189" t="s">
        <v>2803</v>
      </c>
      <c r="H269" s="194">
        <v>1776769773</v>
      </c>
      <c r="I269" s="195" t="s">
        <v>2873</v>
      </c>
      <c r="J269" s="192" t="s">
        <v>2866</v>
      </c>
      <c r="K269" s="204" t="s">
        <v>2867</v>
      </c>
    </row>
    <row r="270" spans="1:11" ht="25">
      <c r="A270" s="182" t="s">
        <v>3200</v>
      </c>
      <c r="B270" s="184" t="s">
        <v>3201</v>
      </c>
      <c r="C270" s="185" t="s">
        <v>2653</v>
      </c>
      <c r="D270" s="186" t="s">
        <v>2653</v>
      </c>
      <c r="E270" s="187" t="s">
        <v>2522</v>
      </c>
      <c r="F270" s="186" t="s">
        <v>2871</v>
      </c>
      <c r="G270" s="189" t="s">
        <v>2802</v>
      </c>
      <c r="H270" s="194">
        <v>5079119192</v>
      </c>
      <c r="I270" s="195" t="s">
        <v>2873</v>
      </c>
      <c r="J270" s="192" t="s">
        <v>2866</v>
      </c>
      <c r="K270" s="204" t="s">
        <v>2867</v>
      </c>
    </row>
    <row r="271" spans="1:11" ht="37.5">
      <c r="A271" s="182" t="s">
        <v>3217</v>
      </c>
      <c r="B271" s="184" t="s">
        <v>1833</v>
      </c>
      <c r="C271" s="185" t="s">
        <v>2653</v>
      </c>
      <c r="D271" s="186" t="s">
        <v>2653</v>
      </c>
      <c r="E271" s="187" t="s">
        <v>2527</v>
      </c>
      <c r="F271" s="186" t="s">
        <v>2871</v>
      </c>
      <c r="G271" s="189" t="s">
        <v>2774</v>
      </c>
      <c r="H271" s="194">
        <v>6149411049</v>
      </c>
      <c r="I271" s="195" t="s">
        <v>2873</v>
      </c>
      <c r="J271" s="192" t="s">
        <v>2866</v>
      </c>
      <c r="K271" s="204" t="s">
        <v>2867</v>
      </c>
    </row>
    <row r="272" spans="1:11" ht="21">
      <c r="A272" s="182" t="s">
        <v>3218</v>
      </c>
      <c r="B272" s="184" t="s">
        <v>3219</v>
      </c>
      <c r="C272" s="203" t="s">
        <v>2950</v>
      </c>
      <c r="D272" s="186" t="s">
        <v>2653</v>
      </c>
      <c r="E272" s="187" t="s">
        <v>2522</v>
      </c>
      <c r="F272" s="186" t="s">
        <v>2864</v>
      </c>
      <c r="G272" s="189" t="s">
        <v>2789</v>
      </c>
      <c r="H272" s="194">
        <v>1309267238</v>
      </c>
      <c r="I272" s="195" t="s">
        <v>2873</v>
      </c>
      <c r="J272" s="192" t="s">
        <v>2866</v>
      </c>
      <c r="K272" s="204" t="s">
        <v>2867</v>
      </c>
    </row>
    <row r="273" spans="1:11" ht="25">
      <c r="A273" s="182" t="s">
        <v>556</v>
      </c>
      <c r="B273" s="184" t="s">
        <v>554</v>
      </c>
      <c r="C273" s="185" t="s">
        <v>2892</v>
      </c>
      <c r="D273" s="186" t="s">
        <v>2653</v>
      </c>
      <c r="E273" s="187" t="s">
        <v>2996</v>
      </c>
      <c r="F273" s="186" t="s">
        <v>2871</v>
      </c>
      <c r="G273" s="189" t="s">
        <v>2775</v>
      </c>
      <c r="H273" s="194">
        <v>7393611572</v>
      </c>
      <c r="I273" s="195" t="s">
        <v>2873</v>
      </c>
      <c r="J273" s="192" t="s">
        <v>2866</v>
      </c>
      <c r="K273" s="204" t="s">
        <v>2867</v>
      </c>
    </row>
    <row r="274" spans="1:11" ht="25">
      <c r="A274" s="182" t="s">
        <v>3220</v>
      </c>
      <c r="B274" s="184" t="s">
        <v>645</v>
      </c>
      <c r="C274" s="185" t="s">
        <v>2653</v>
      </c>
      <c r="D274" s="186" t="s">
        <v>2653</v>
      </c>
      <c r="E274" s="187" t="s">
        <v>2522</v>
      </c>
      <c r="F274" s="186" t="s">
        <v>2864</v>
      </c>
      <c r="G274" s="189" t="s">
        <v>2793</v>
      </c>
      <c r="H274" s="194">
        <v>8219154669</v>
      </c>
      <c r="I274" s="195" t="s">
        <v>2873</v>
      </c>
      <c r="J274" s="192" t="s">
        <v>2866</v>
      </c>
      <c r="K274" s="204" t="s">
        <v>2867</v>
      </c>
    </row>
    <row r="275" spans="1:11" ht="21">
      <c r="A275" s="182" t="s">
        <v>3221</v>
      </c>
      <c r="B275" s="184" t="s">
        <v>3222</v>
      </c>
      <c r="C275" s="203" t="s">
        <v>2950</v>
      </c>
      <c r="D275" s="186" t="s">
        <v>2653</v>
      </c>
      <c r="E275" s="198" t="s">
        <v>2865</v>
      </c>
      <c r="F275" s="186" t="s">
        <v>2865</v>
      </c>
      <c r="G275" s="186" t="s">
        <v>2865</v>
      </c>
      <c r="H275" s="194">
        <v>8363033984</v>
      </c>
      <c r="I275" s="195" t="s">
        <v>2873</v>
      </c>
      <c r="J275" s="192" t="s">
        <v>2866</v>
      </c>
      <c r="K275" s="204" t="s">
        <v>2867</v>
      </c>
    </row>
    <row r="276" spans="1:11" ht="31.5">
      <c r="A276" s="182" t="s">
        <v>1070</v>
      </c>
      <c r="B276" s="184" t="s">
        <v>1068</v>
      </c>
      <c r="C276" s="185" t="s">
        <v>2653</v>
      </c>
      <c r="D276" s="186" t="s">
        <v>2653</v>
      </c>
      <c r="E276" s="187" t="s">
        <v>2522</v>
      </c>
      <c r="F276" s="186" t="s">
        <v>2864</v>
      </c>
      <c r="G276" s="189" t="s">
        <v>2787</v>
      </c>
      <c r="H276" s="194">
        <v>7383664798</v>
      </c>
      <c r="I276" s="195" t="s">
        <v>2873</v>
      </c>
      <c r="J276" s="192" t="s">
        <v>2866</v>
      </c>
      <c r="K276" s="204" t="s">
        <v>2867</v>
      </c>
    </row>
    <row r="277" spans="1:11" ht="21">
      <c r="A277" s="182" t="s">
        <v>3236</v>
      </c>
      <c r="B277" s="184" t="s">
        <v>3237</v>
      </c>
      <c r="C277" s="203" t="s">
        <v>2950</v>
      </c>
      <c r="D277" s="186" t="s">
        <v>2653</v>
      </c>
      <c r="E277" s="187" t="s">
        <v>2996</v>
      </c>
      <c r="F277" s="186" t="s">
        <v>2871</v>
      </c>
      <c r="G277" s="186" t="s">
        <v>2865</v>
      </c>
      <c r="H277" s="194">
        <v>7232882846</v>
      </c>
      <c r="I277" s="195" t="s">
        <v>2873</v>
      </c>
      <c r="J277" s="192" t="s">
        <v>2866</v>
      </c>
      <c r="K277" s="204" t="s">
        <v>2867</v>
      </c>
    </row>
    <row r="278" spans="1:11" ht="37.5">
      <c r="A278" s="182" t="s">
        <v>3223</v>
      </c>
      <c r="B278" s="184" t="s">
        <v>3224</v>
      </c>
      <c r="C278" s="185" t="s">
        <v>2653</v>
      </c>
      <c r="D278" s="186" t="s">
        <v>2653</v>
      </c>
      <c r="E278" s="187" t="s">
        <v>2527</v>
      </c>
      <c r="F278" s="186" t="s">
        <v>2864</v>
      </c>
      <c r="G278" s="189" t="s">
        <v>2790</v>
      </c>
      <c r="H278" s="194">
        <v>8963197983</v>
      </c>
      <c r="I278" s="195" t="s">
        <v>2873</v>
      </c>
      <c r="J278" s="192" t="s">
        <v>2866</v>
      </c>
      <c r="K278" s="204" t="s">
        <v>2867</v>
      </c>
    </row>
    <row r="279" spans="1:11" ht="25">
      <c r="A279" s="182" t="s">
        <v>3225</v>
      </c>
      <c r="B279" s="184" t="s">
        <v>989</v>
      </c>
      <c r="C279" s="185" t="s">
        <v>2653</v>
      </c>
      <c r="D279" s="186" t="s">
        <v>2653</v>
      </c>
      <c r="E279" s="187" t="s">
        <v>2522</v>
      </c>
      <c r="F279" s="186" t="s">
        <v>2871</v>
      </c>
      <c r="G279" s="189" t="s">
        <v>2776</v>
      </c>
      <c r="H279" s="194">
        <v>8315374570</v>
      </c>
      <c r="I279" s="195" t="s">
        <v>2873</v>
      </c>
      <c r="J279" s="192" t="s">
        <v>2866</v>
      </c>
      <c r="K279" s="204" t="s">
        <v>2867</v>
      </c>
    </row>
    <row r="280" spans="1:11" ht="16">
      <c r="A280" s="182" t="s">
        <v>3238</v>
      </c>
      <c r="B280" s="184" t="s">
        <v>3239</v>
      </c>
      <c r="C280" s="189" t="s">
        <v>2894</v>
      </c>
      <c r="D280" s="186" t="s">
        <v>2653</v>
      </c>
      <c r="E280" s="198" t="s">
        <v>2865</v>
      </c>
      <c r="F280" s="186" t="s">
        <v>2865</v>
      </c>
      <c r="G280" s="186" t="s">
        <v>2865</v>
      </c>
      <c r="H280" s="194">
        <v>8840014798</v>
      </c>
      <c r="I280" s="195" t="s">
        <v>2873</v>
      </c>
      <c r="J280" s="192" t="s">
        <v>2866</v>
      </c>
      <c r="K280" s="204" t="s">
        <v>2867</v>
      </c>
    </row>
    <row r="281" spans="1:11" ht="21">
      <c r="A281" s="182" t="s">
        <v>3226</v>
      </c>
      <c r="B281" s="184" t="s">
        <v>3227</v>
      </c>
      <c r="C281" s="203" t="s">
        <v>2950</v>
      </c>
      <c r="D281" s="186" t="s">
        <v>2653</v>
      </c>
      <c r="E281" s="198" t="s">
        <v>2865</v>
      </c>
      <c r="F281" s="186" t="s">
        <v>2865</v>
      </c>
      <c r="G281" s="186" t="s">
        <v>2865</v>
      </c>
      <c r="H281" s="194">
        <v>8701883853</v>
      </c>
      <c r="I281" s="195" t="s">
        <v>2873</v>
      </c>
      <c r="J281" s="192" t="s">
        <v>2866</v>
      </c>
      <c r="K281" s="204" t="s">
        <v>2867</v>
      </c>
    </row>
    <row r="282" spans="1:11" ht="21">
      <c r="A282" s="182" t="s">
        <v>3228</v>
      </c>
      <c r="B282" s="184">
        <v>2613051196</v>
      </c>
      <c r="C282" s="185" t="s">
        <v>2653</v>
      </c>
      <c r="D282" s="186" t="s">
        <v>2653</v>
      </c>
      <c r="E282" s="187" t="s">
        <v>2522</v>
      </c>
      <c r="F282" s="186" t="s">
        <v>2871</v>
      </c>
      <c r="G282" s="189" t="s">
        <v>2796</v>
      </c>
      <c r="H282" s="194">
        <v>948101147</v>
      </c>
      <c r="I282" s="195" t="s">
        <v>2873</v>
      </c>
      <c r="J282" s="192" t="s">
        <v>2866</v>
      </c>
      <c r="K282" s="204" t="s">
        <v>2867</v>
      </c>
    </row>
    <row r="283" spans="1:11" ht="31.5">
      <c r="A283" s="182" t="s">
        <v>2523</v>
      </c>
      <c r="B283" s="184">
        <v>2613051197</v>
      </c>
      <c r="C283" s="185" t="s">
        <v>2653</v>
      </c>
      <c r="D283" s="186" t="s">
        <v>2653</v>
      </c>
      <c r="E283" s="187" t="s">
        <v>2522</v>
      </c>
      <c r="F283" s="186" t="s">
        <v>2871</v>
      </c>
      <c r="G283" s="189" t="s">
        <v>2796</v>
      </c>
      <c r="H283" s="194">
        <v>8995921648</v>
      </c>
      <c r="I283" s="195" t="s">
        <v>2873</v>
      </c>
      <c r="J283" s="192" t="s">
        <v>2866</v>
      </c>
      <c r="K283" s="204" t="s">
        <v>2867</v>
      </c>
    </row>
    <row r="284" spans="1:11" ht="37.5">
      <c r="A284" s="182" t="s">
        <v>1557</v>
      </c>
      <c r="B284" s="184" t="s">
        <v>1555</v>
      </c>
      <c r="C284" s="185" t="s">
        <v>2892</v>
      </c>
      <c r="D284" s="186" t="s">
        <v>2653</v>
      </c>
      <c r="E284" s="187" t="s">
        <v>2527</v>
      </c>
      <c r="F284" s="186" t="s">
        <v>2864</v>
      </c>
      <c r="G284" s="189" t="s">
        <v>2768</v>
      </c>
      <c r="H284" s="194">
        <v>8082066485</v>
      </c>
      <c r="I284" s="195" t="s">
        <v>2873</v>
      </c>
      <c r="J284" s="192" t="s">
        <v>2866</v>
      </c>
      <c r="K284" s="204" t="s">
        <v>2867</v>
      </c>
    </row>
    <row r="285" spans="1:11">
      <c r="A285" s="182" t="s">
        <v>3229</v>
      </c>
      <c r="B285" s="184" t="s">
        <v>3230</v>
      </c>
      <c r="C285" s="203" t="s">
        <v>2950</v>
      </c>
      <c r="D285" s="186" t="s">
        <v>2653</v>
      </c>
      <c r="E285" s="198" t="s">
        <v>2865</v>
      </c>
      <c r="F285" s="186" t="s">
        <v>2865</v>
      </c>
      <c r="G285" s="186" t="s">
        <v>2865</v>
      </c>
      <c r="H285" s="194">
        <v>8892825026</v>
      </c>
      <c r="I285" s="195" t="s">
        <v>2873</v>
      </c>
      <c r="J285" s="192" t="s">
        <v>2866</v>
      </c>
      <c r="K285" s="204" t="s">
        <v>2867</v>
      </c>
    </row>
    <row r="286" spans="1:11" ht="25">
      <c r="A286" s="182" t="s">
        <v>3231</v>
      </c>
      <c r="B286" s="184" t="s">
        <v>3232</v>
      </c>
      <c r="C286" s="200" t="s">
        <v>2889</v>
      </c>
      <c r="D286" s="186" t="s">
        <v>2653</v>
      </c>
      <c r="E286" s="187" t="s">
        <v>2522</v>
      </c>
      <c r="F286" s="186" t="s">
        <v>2871</v>
      </c>
      <c r="G286" s="189" t="s">
        <v>2779</v>
      </c>
      <c r="H286" s="194">
        <v>5585648248</v>
      </c>
      <c r="I286" s="195" t="s">
        <v>2873</v>
      </c>
      <c r="J286" s="192" t="s">
        <v>2866</v>
      </c>
      <c r="K286" s="204" t="s">
        <v>2867</v>
      </c>
    </row>
    <row r="287" spans="1:11" ht="16">
      <c r="A287" s="182" t="s">
        <v>3240</v>
      </c>
      <c r="B287" s="184" t="s">
        <v>3241</v>
      </c>
      <c r="C287" s="200" t="s">
        <v>2889</v>
      </c>
      <c r="D287" s="186" t="s">
        <v>2653</v>
      </c>
      <c r="E287" s="187" t="s">
        <v>2527</v>
      </c>
      <c r="F287" s="186" t="s">
        <v>2864</v>
      </c>
      <c r="G287" s="189" t="s">
        <v>2771</v>
      </c>
      <c r="H287" s="194">
        <v>8657726617</v>
      </c>
      <c r="I287" s="195" t="s">
        <v>2873</v>
      </c>
      <c r="J287" s="192" t="s">
        <v>2866</v>
      </c>
      <c r="K287" s="204" t="s">
        <v>2867</v>
      </c>
    </row>
    <row r="288" spans="1:11" ht="21">
      <c r="A288" s="182" t="s">
        <v>3242</v>
      </c>
      <c r="B288" s="184" t="s">
        <v>3243</v>
      </c>
      <c r="C288" s="203" t="s">
        <v>2950</v>
      </c>
      <c r="D288" s="186" t="s">
        <v>2653</v>
      </c>
      <c r="E288" s="198" t="s">
        <v>2865</v>
      </c>
      <c r="F288" s="186" t="s">
        <v>2865</v>
      </c>
      <c r="G288" s="186" t="s">
        <v>2865</v>
      </c>
      <c r="H288" s="194">
        <v>8860751534</v>
      </c>
      <c r="I288" s="195" t="s">
        <v>2873</v>
      </c>
      <c r="J288" s="192" t="s">
        <v>2866</v>
      </c>
      <c r="K288" s="204" t="s">
        <v>2867</v>
      </c>
    </row>
    <row r="289" spans="1:11" ht="21">
      <c r="A289" s="182" t="s">
        <v>3244</v>
      </c>
      <c r="B289" s="184" t="s">
        <v>3245</v>
      </c>
      <c r="C289" s="189" t="s">
        <v>2894</v>
      </c>
      <c r="D289" s="200" t="s">
        <v>2881</v>
      </c>
      <c r="E289" s="198" t="s">
        <v>2865</v>
      </c>
      <c r="F289" s="186" t="s">
        <v>2865</v>
      </c>
      <c r="G289" s="186" t="s">
        <v>2865</v>
      </c>
      <c r="H289" s="194">
        <v>8577510995</v>
      </c>
      <c r="I289" s="195" t="s">
        <v>2873</v>
      </c>
      <c r="J289" s="192" t="s">
        <v>2866</v>
      </c>
      <c r="K289" s="204" t="s">
        <v>2867</v>
      </c>
    </row>
    <row r="290" spans="1:11" ht="37.5">
      <c r="A290" s="182" t="s">
        <v>1563</v>
      </c>
      <c r="B290" s="184" t="s">
        <v>1610</v>
      </c>
      <c r="C290" s="185" t="s">
        <v>2653</v>
      </c>
      <c r="D290" s="186" t="s">
        <v>2653</v>
      </c>
      <c r="E290" s="187" t="s">
        <v>2527</v>
      </c>
      <c r="F290" s="186" t="s">
        <v>2864</v>
      </c>
      <c r="G290" s="189" t="s">
        <v>2768</v>
      </c>
      <c r="H290" s="194">
        <v>876793650</v>
      </c>
      <c r="I290" s="195" t="s">
        <v>2873</v>
      </c>
      <c r="J290" s="192" t="s">
        <v>2866</v>
      </c>
      <c r="K290" s="204" t="s">
        <v>2867</v>
      </c>
    </row>
    <row r="291" spans="1:11" ht="25">
      <c r="A291" s="182" t="s">
        <v>3233</v>
      </c>
      <c r="B291" s="184" t="s">
        <v>508</v>
      </c>
      <c r="C291" s="185" t="s">
        <v>2653</v>
      </c>
      <c r="D291" s="186" t="s">
        <v>2653</v>
      </c>
      <c r="E291" s="187" t="s">
        <v>2522</v>
      </c>
      <c r="F291" s="186" t="s">
        <v>2871</v>
      </c>
      <c r="G291" s="189" t="s">
        <v>2803</v>
      </c>
      <c r="H291" s="194">
        <v>8662185658</v>
      </c>
      <c r="I291" s="195" t="s">
        <v>2873</v>
      </c>
      <c r="J291" s="192" t="s">
        <v>2866</v>
      </c>
      <c r="K291" s="204" t="s">
        <v>2867</v>
      </c>
    </row>
    <row r="292" spans="1:11" ht="21">
      <c r="A292" s="182" t="s">
        <v>3246</v>
      </c>
      <c r="B292" s="184" t="s">
        <v>3247</v>
      </c>
      <c r="C292" s="203" t="s">
        <v>2950</v>
      </c>
      <c r="D292" s="186" t="s">
        <v>2653</v>
      </c>
      <c r="E292" s="198" t="s">
        <v>2865</v>
      </c>
      <c r="F292" s="186" t="s">
        <v>2865</v>
      </c>
      <c r="G292" s="186" t="s">
        <v>2865</v>
      </c>
      <c r="H292" s="194">
        <v>8635946744</v>
      </c>
      <c r="I292" s="195" t="s">
        <v>2873</v>
      </c>
      <c r="J292" s="192" t="s">
        <v>2866</v>
      </c>
      <c r="K292" s="204" t="s">
        <v>2867</v>
      </c>
    </row>
    <row r="293" spans="1:11" ht="37.5">
      <c r="A293" s="182" t="s">
        <v>1572</v>
      </c>
      <c r="B293" s="184" t="s">
        <v>1570</v>
      </c>
      <c r="C293" s="185" t="s">
        <v>2653</v>
      </c>
      <c r="D293" s="186" t="s">
        <v>2653</v>
      </c>
      <c r="E293" s="187" t="s">
        <v>2527</v>
      </c>
      <c r="F293" s="186" t="s">
        <v>2864</v>
      </c>
      <c r="G293" s="189" t="s">
        <v>2790</v>
      </c>
      <c r="H293" s="194">
        <v>8040973361</v>
      </c>
      <c r="I293" s="195" t="s">
        <v>2873</v>
      </c>
      <c r="J293" s="192" t="s">
        <v>2866</v>
      </c>
      <c r="K293" s="204" t="s">
        <v>2867</v>
      </c>
    </row>
    <row r="294" spans="1:11" ht="16">
      <c r="A294" s="182" t="s">
        <v>3248</v>
      </c>
      <c r="B294" s="184" t="s">
        <v>3249</v>
      </c>
      <c r="C294" s="203" t="s">
        <v>2950</v>
      </c>
      <c r="D294" s="186" t="s">
        <v>2653</v>
      </c>
      <c r="E294" s="187" t="s">
        <v>2522</v>
      </c>
      <c r="F294" s="186" t="s">
        <v>2871</v>
      </c>
      <c r="G294" s="186" t="s">
        <v>2865</v>
      </c>
      <c r="H294" s="194">
        <v>8982477822</v>
      </c>
      <c r="I294" s="195" t="s">
        <v>2873</v>
      </c>
      <c r="J294" s="192" t="s">
        <v>2866</v>
      </c>
      <c r="K294" s="204" t="s">
        <v>2867</v>
      </c>
    </row>
    <row r="295" spans="1:11" ht="37.5">
      <c r="A295" s="182" t="s">
        <v>3234</v>
      </c>
      <c r="B295" s="184" t="s">
        <v>3235</v>
      </c>
      <c r="C295" s="185" t="s">
        <v>2653</v>
      </c>
      <c r="D295" s="186" t="s">
        <v>2653</v>
      </c>
      <c r="E295" s="187" t="s">
        <v>2527</v>
      </c>
      <c r="F295" s="186" t="s">
        <v>2864</v>
      </c>
      <c r="G295" s="189" t="s">
        <v>2792</v>
      </c>
      <c r="H295" s="194">
        <v>8981757290</v>
      </c>
      <c r="I295" s="195" t="s">
        <v>2873</v>
      </c>
      <c r="J295" s="192" t="s">
        <v>2866</v>
      </c>
      <c r="K295" s="204" t="s">
        <v>2867</v>
      </c>
    </row>
    <row r="296" spans="1:11" ht="25">
      <c r="A296" s="182" t="s">
        <v>1364</v>
      </c>
      <c r="B296" s="184" t="s">
        <v>1362</v>
      </c>
      <c r="C296" s="185" t="s">
        <v>2653</v>
      </c>
      <c r="D296" s="186" t="s">
        <v>2653</v>
      </c>
      <c r="E296" s="187" t="s">
        <v>2522</v>
      </c>
      <c r="F296" s="186" t="s">
        <v>2871</v>
      </c>
      <c r="G296" s="189" t="s">
        <v>2797</v>
      </c>
      <c r="H296" s="194">
        <v>242669383</v>
      </c>
      <c r="I296" s="195" t="s">
        <v>2873</v>
      </c>
      <c r="J296" s="192" t="s">
        <v>2866</v>
      </c>
      <c r="K296" s="204" t="s">
        <v>2867</v>
      </c>
    </row>
    <row r="297" spans="1:11" ht="37.5">
      <c r="A297" s="182" t="s">
        <v>3253</v>
      </c>
      <c r="B297" s="184" t="s">
        <v>3254</v>
      </c>
      <c r="C297" s="185" t="s">
        <v>2653</v>
      </c>
      <c r="D297" s="186" t="s">
        <v>2653</v>
      </c>
      <c r="E297" s="187" t="s">
        <v>2527</v>
      </c>
      <c r="F297" s="186" t="s">
        <v>2871</v>
      </c>
      <c r="G297" s="189" t="s">
        <v>2772</v>
      </c>
      <c r="H297" s="194">
        <v>7946346903</v>
      </c>
      <c r="I297" s="195" t="s">
        <v>2873</v>
      </c>
      <c r="J297" s="192" t="s">
        <v>2866</v>
      </c>
      <c r="K297" s="204" t="s">
        <v>2867</v>
      </c>
    </row>
    <row r="298" spans="1:11" ht="31.5">
      <c r="A298" s="182" t="s">
        <v>3250</v>
      </c>
      <c r="B298" s="184">
        <v>2613051104</v>
      </c>
      <c r="C298" s="185" t="s">
        <v>2653</v>
      </c>
      <c r="D298" s="186" t="s">
        <v>2653</v>
      </c>
      <c r="E298" s="187" t="s">
        <v>2527</v>
      </c>
      <c r="F298" s="186" t="s">
        <v>2864</v>
      </c>
      <c r="G298" s="189" t="s">
        <v>2790</v>
      </c>
      <c r="H298" s="194">
        <v>8735876089</v>
      </c>
      <c r="I298" s="195" t="s">
        <v>2873</v>
      </c>
      <c r="J298" s="192" t="s">
        <v>2866</v>
      </c>
      <c r="K298" s="204" t="s">
        <v>2867</v>
      </c>
    </row>
    <row r="299" spans="1:11">
      <c r="A299" s="182" t="s">
        <v>3255</v>
      </c>
      <c r="B299" s="184" t="s">
        <v>3256</v>
      </c>
      <c r="C299" s="203" t="s">
        <v>2950</v>
      </c>
      <c r="D299" s="186" t="s">
        <v>2653</v>
      </c>
      <c r="E299" s="198" t="s">
        <v>2865</v>
      </c>
      <c r="F299" s="186" t="s">
        <v>2865</v>
      </c>
      <c r="G299" s="186" t="s">
        <v>2865</v>
      </c>
      <c r="H299" s="194">
        <v>6888418132</v>
      </c>
      <c r="I299" s="195" t="s">
        <v>2873</v>
      </c>
      <c r="J299" s="192" t="s">
        <v>2866</v>
      </c>
      <c r="K299" s="204" t="s">
        <v>2867</v>
      </c>
    </row>
    <row r="300" spans="1:11" ht="24" customHeight="1">
      <c r="A300" s="182" t="s">
        <v>3257</v>
      </c>
      <c r="B300" s="184" t="s">
        <v>3258</v>
      </c>
      <c r="C300" s="189" t="s">
        <v>2894</v>
      </c>
      <c r="D300" s="200" t="s">
        <v>2881</v>
      </c>
      <c r="E300" s="198" t="s">
        <v>2865</v>
      </c>
      <c r="F300" s="186" t="s">
        <v>2865</v>
      </c>
      <c r="G300" s="186" t="s">
        <v>2865</v>
      </c>
      <c r="H300" s="194">
        <v>6484369559</v>
      </c>
      <c r="I300" s="195" t="s">
        <v>2873</v>
      </c>
      <c r="J300" s="192" t="s">
        <v>2866</v>
      </c>
      <c r="K300" s="204" t="s">
        <v>2867</v>
      </c>
    </row>
    <row r="301" spans="1:11" ht="21">
      <c r="A301" s="182" t="s">
        <v>3251</v>
      </c>
      <c r="B301" s="184">
        <v>2613050947</v>
      </c>
      <c r="C301" s="185" t="s">
        <v>2653</v>
      </c>
      <c r="D301" s="186" t="s">
        <v>2653</v>
      </c>
      <c r="E301" s="187" t="s">
        <v>2522</v>
      </c>
      <c r="F301" s="186" t="s">
        <v>2871</v>
      </c>
      <c r="G301" s="189" t="s">
        <v>2776</v>
      </c>
      <c r="H301" s="194">
        <v>7789753956</v>
      </c>
      <c r="I301" s="195" t="s">
        <v>2873</v>
      </c>
      <c r="J301" s="192" t="s">
        <v>2866</v>
      </c>
      <c r="K301" s="204" t="s">
        <v>2867</v>
      </c>
    </row>
    <row r="302" spans="1:11" ht="37.5">
      <c r="A302" s="182" t="s">
        <v>1587</v>
      </c>
      <c r="B302" s="184" t="s">
        <v>1585</v>
      </c>
      <c r="C302" s="185" t="s">
        <v>2653</v>
      </c>
      <c r="D302" s="186" t="s">
        <v>2653</v>
      </c>
      <c r="E302" s="187" t="s">
        <v>2527</v>
      </c>
      <c r="F302" s="186" t="s">
        <v>2864</v>
      </c>
      <c r="G302" s="189" t="s">
        <v>2792</v>
      </c>
      <c r="H302" s="194">
        <v>8986567572</v>
      </c>
      <c r="I302" s="195" t="s">
        <v>2873</v>
      </c>
      <c r="J302" s="192" t="s">
        <v>2866</v>
      </c>
      <c r="K302" s="204" t="s">
        <v>2867</v>
      </c>
    </row>
    <row r="303" spans="1:11" ht="37.5">
      <c r="A303" s="182" t="s">
        <v>3252</v>
      </c>
      <c r="B303" s="184" t="s">
        <v>730</v>
      </c>
      <c r="C303" s="185" t="s">
        <v>2653</v>
      </c>
      <c r="D303" s="186" t="s">
        <v>2653</v>
      </c>
      <c r="E303" s="187" t="s">
        <v>2522</v>
      </c>
      <c r="F303" s="186" t="s">
        <v>2871</v>
      </c>
      <c r="G303" s="189" t="s">
        <v>2779</v>
      </c>
      <c r="H303" s="194">
        <v>1644090081</v>
      </c>
      <c r="I303" s="195" t="s">
        <v>2873</v>
      </c>
      <c r="J303" s="192" t="s">
        <v>2866</v>
      </c>
      <c r="K303" s="204" t="s">
        <v>2867</v>
      </c>
    </row>
    <row r="304" spans="1:11" ht="25">
      <c r="A304" s="182" t="s">
        <v>1342</v>
      </c>
      <c r="B304" s="184" t="s">
        <v>1340</v>
      </c>
      <c r="C304" s="185" t="s">
        <v>2653</v>
      </c>
      <c r="D304" s="186" t="s">
        <v>2653</v>
      </c>
      <c r="E304" s="187" t="s">
        <v>2522</v>
      </c>
      <c r="F304" s="186" t="s">
        <v>2864</v>
      </c>
      <c r="G304" s="189" t="s">
        <v>2793</v>
      </c>
      <c r="H304" s="194">
        <v>7758849785</v>
      </c>
      <c r="I304" s="195" t="s">
        <v>2873</v>
      </c>
      <c r="J304" s="192" t="s">
        <v>2866</v>
      </c>
      <c r="K304" s="204" t="s">
        <v>2867</v>
      </c>
    </row>
    <row r="305" spans="1:11" ht="21">
      <c r="A305" s="182" t="s">
        <v>3264</v>
      </c>
      <c r="B305" s="184" t="s">
        <v>3265</v>
      </c>
      <c r="C305" s="203" t="s">
        <v>2950</v>
      </c>
      <c r="D305" s="186" t="s">
        <v>2653</v>
      </c>
      <c r="E305" s="198" t="s">
        <v>2865</v>
      </c>
      <c r="F305" s="186" t="s">
        <v>2865</v>
      </c>
      <c r="G305" s="186" t="s">
        <v>2865</v>
      </c>
      <c r="H305" s="194">
        <v>8053751057</v>
      </c>
      <c r="I305" s="195" t="s">
        <v>2873</v>
      </c>
      <c r="J305" s="192" t="s">
        <v>2866</v>
      </c>
      <c r="K305" s="204" t="s">
        <v>2867</v>
      </c>
    </row>
    <row r="306" spans="1:11" ht="24" customHeight="1">
      <c r="A306" s="182" t="s">
        <v>3259</v>
      </c>
      <c r="B306" s="184" t="s">
        <v>3260</v>
      </c>
      <c r="C306" s="185" t="s">
        <v>2653</v>
      </c>
      <c r="D306" s="186" t="s">
        <v>2653</v>
      </c>
      <c r="E306" s="187" t="s">
        <v>2522</v>
      </c>
      <c r="F306" s="186" t="s">
        <v>2864</v>
      </c>
      <c r="G306" s="189" t="s">
        <v>2789</v>
      </c>
      <c r="H306" s="194">
        <v>7847555532</v>
      </c>
      <c r="I306" s="195" t="s">
        <v>2873</v>
      </c>
      <c r="J306" s="192" t="s">
        <v>2866</v>
      </c>
      <c r="K306" s="204" t="s">
        <v>2867</v>
      </c>
    </row>
    <row r="307" spans="1:11" ht="37.5">
      <c r="A307" s="182" t="s">
        <v>3261</v>
      </c>
      <c r="B307" s="184" t="s">
        <v>1815</v>
      </c>
      <c r="C307" s="185" t="s">
        <v>2653</v>
      </c>
      <c r="D307" s="186" t="s">
        <v>2653</v>
      </c>
      <c r="E307" s="187" t="s">
        <v>2527</v>
      </c>
      <c r="F307" s="186" t="s">
        <v>2871</v>
      </c>
      <c r="G307" s="189" t="s">
        <v>2774</v>
      </c>
      <c r="H307" s="194">
        <v>1225935783</v>
      </c>
      <c r="I307" s="195" t="s">
        <v>2873</v>
      </c>
      <c r="J307" s="192" t="s">
        <v>2866</v>
      </c>
      <c r="K307" s="204" t="s">
        <v>2867</v>
      </c>
    </row>
    <row r="308" spans="1:11" ht="21">
      <c r="A308" s="182" t="s">
        <v>3266</v>
      </c>
      <c r="B308" s="184" t="s">
        <v>3267</v>
      </c>
      <c r="C308" s="203" t="s">
        <v>2950</v>
      </c>
      <c r="D308" s="186" t="s">
        <v>2653</v>
      </c>
      <c r="E308" s="198" t="s">
        <v>2865</v>
      </c>
      <c r="F308" s="186" t="s">
        <v>2865</v>
      </c>
      <c r="G308" s="186" t="s">
        <v>2865</v>
      </c>
      <c r="H308" s="194">
        <v>7017248947</v>
      </c>
      <c r="I308" s="195" t="s">
        <v>2873</v>
      </c>
      <c r="J308" s="192" t="s">
        <v>2866</v>
      </c>
      <c r="K308" s="204" t="s">
        <v>2867</v>
      </c>
    </row>
    <row r="309" spans="1:11" ht="24" customHeight="1">
      <c r="A309" s="182" t="s">
        <v>872</v>
      </c>
      <c r="B309" s="184" t="s">
        <v>870</v>
      </c>
      <c r="C309" s="185" t="s">
        <v>2653</v>
      </c>
      <c r="D309" s="186" t="s">
        <v>2653</v>
      </c>
      <c r="E309" s="187" t="s">
        <v>2522</v>
      </c>
      <c r="F309" s="186" t="s">
        <v>2864</v>
      </c>
      <c r="G309" s="189" t="s">
        <v>2799</v>
      </c>
      <c r="H309" s="194">
        <v>8509332979</v>
      </c>
      <c r="I309" s="195" t="s">
        <v>2873</v>
      </c>
      <c r="J309" s="192" t="s">
        <v>2866</v>
      </c>
      <c r="K309" s="204" t="s">
        <v>2867</v>
      </c>
    </row>
    <row r="310" spans="1:11" ht="21">
      <c r="A310" s="182" t="s">
        <v>3659</v>
      </c>
      <c r="B310" s="184" t="s">
        <v>3660</v>
      </c>
      <c r="C310" s="203" t="s">
        <v>2950</v>
      </c>
      <c r="D310" s="186" t="s">
        <v>2653</v>
      </c>
      <c r="E310" s="187" t="s">
        <v>2527</v>
      </c>
      <c r="F310" s="186" t="s">
        <v>2864</v>
      </c>
      <c r="G310" s="186" t="s">
        <v>2865</v>
      </c>
      <c r="H310" s="194">
        <v>667478264</v>
      </c>
      <c r="I310" s="195" t="s">
        <v>2873</v>
      </c>
      <c r="J310" s="192" t="s">
        <v>2866</v>
      </c>
      <c r="K310" s="204" t="s">
        <v>2867</v>
      </c>
    </row>
    <row r="311" spans="1:11" ht="25">
      <c r="A311" s="182" t="s">
        <v>1420</v>
      </c>
      <c r="B311" s="184" t="s">
        <v>1418</v>
      </c>
      <c r="C311" s="202" t="s">
        <v>2900</v>
      </c>
      <c r="D311" s="186" t="s">
        <v>2653</v>
      </c>
      <c r="E311" s="187" t="s">
        <v>2522</v>
      </c>
      <c r="F311" s="186" t="s">
        <v>2864</v>
      </c>
      <c r="G311" s="189" t="s">
        <v>2786</v>
      </c>
      <c r="H311" s="194">
        <v>6538999701</v>
      </c>
      <c r="I311" s="195" t="s">
        <v>2873</v>
      </c>
      <c r="J311" s="192" t="s">
        <v>2866</v>
      </c>
      <c r="K311" s="204" t="s">
        <v>2867</v>
      </c>
    </row>
    <row r="312" spans="1:11" ht="21">
      <c r="A312" s="182" t="s">
        <v>3268</v>
      </c>
      <c r="B312" s="184" t="s">
        <v>3269</v>
      </c>
      <c r="C312" s="203" t="s">
        <v>2950</v>
      </c>
      <c r="D312" s="186" t="s">
        <v>2653</v>
      </c>
      <c r="E312" s="187" t="s">
        <v>2522</v>
      </c>
      <c r="F312" s="186" t="s">
        <v>2864</v>
      </c>
      <c r="G312" s="189" t="s">
        <v>2799</v>
      </c>
      <c r="H312" s="194">
        <v>8860153873</v>
      </c>
      <c r="I312" s="195" t="s">
        <v>2873</v>
      </c>
      <c r="J312" s="192" t="s">
        <v>2866</v>
      </c>
      <c r="K312" s="204" t="s">
        <v>2867</v>
      </c>
    </row>
    <row r="313" spans="1:11" ht="31.5">
      <c r="A313" s="182" t="s">
        <v>3262</v>
      </c>
      <c r="B313" s="184" t="s">
        <v>1354</v>
      </c>
      <c r="C313" s="185" t="s">
        <v>2653</v>
      </c>
      <c r="D313" s="186" t="s">
        <v>2653</v>
      </c>
      <c r="E313" s="187" t="s">
        <v>2522</v>
      </c>
      <c r="F313" s="186" t="s">
        <v>2864</v>
      </c>
      <c r="G313" s="189" t="s">
        <v>2793</v>
      </c>
      <c r="H313" s="194">
        <v>8567608861</v>
      </c>
      <c r="I313" s="195" t="s">
        <v>2873</v>
      </c>
      <c r="J313" s="192" t="s">
        <v>2866</v>
      </c>
      <c r="K313" s="204" t="s">
        <v>2867</v>
      </c>
    </row>
    <row r="314" spans="1:11" ht="16">
      <c r="A314" s="182" t="s">
        <v>3270</v>
      </c>
      <c r="B314" s="184" t="s">
        <v>3271</v>
      </c>
      <c r="C314" s="189" t="s">
        <v>2894</v>
      </c>
      <c r="D314" s="202" t="s">
        <v>2989</v>
      </c>
      <c r="E314" s="198" t="s">
        <v>2865</v>
      </c>
      <c r="F314" s="186" t="s">
        <v>2865</v>
      </c>
      <c r="G314" s="186" t="s">
        <v>2865</v>
      </c>
      <c r="H314" s="194">
        <v>8335840061</v>
      </c>
      <c r="I314" s="195" t="s">
        <v>2873</v>
      </c>
      <c r="J314" s="192" t="s">
        <v>2866</v>
      </c>
      <c r="K314" s="204" t="s">
        <v>2867</v>
      </c>
    </row>
    <row r="315" spans="1:11" ht="16" customHeight="1">
      <c r="A315" s="182" t="s">
        <v>3272</v>
      </c>
      <c r="B315" s="184" t="s">
        <v>3273</v>
      </c>
      <c r="C315" s="185" t="s">
        <v>2653</v>
      </c>
      <c r="D315" s="186" t="s">
        <v>2653</v>
      </c>
      <c r="E315" s="198" t="s">
        <v>2865</v>
      </c>
      <c r="F315" s="186" t="s">
        <v>2865</v>
      </c>
      <c r="G315" s="186" t="s">
        <v>2865</v>
      </c>
      <c r="H315" s="194">
        <v>8910561274</v>
      </c>
      <c r="I315" s="195" t="s">
        <v>2873</v>
      </c>
      <c r="J315" s="192" t="s">
        <v>2866</v>
      </c>
      <c r="K315" s="204" t="s">
        <v>2867</v>
      </c>
    </row>
    <row r="316" spans="1:11" ht="25">
      <c r="A316" s="182" t="s">
        <v>3274</v>
      </c>
      <c r="B316" s="184" t="s">
        <v>1380</v>
      </c>
      <c r="C316" s="185" t="s">
        <v>2653</v>
      </c>
      <c r="D316" s="186" t="s">
        <v>2653</v>
      </c>
      <c r="E316" s="187" t="s">
        <v>2522</v>
      </c>
      <c r="F316" s="186" t="s">
        <v>2871</v>
      </c>
      <c r="G316" s="189" t="s">
        <v>2797</v>
      </c>
      <c r="H316" s="194">
        <v>8557831115</v>
      </c>
      <c r="I316" s="195" t="s">
        <v>2873</v>
      </c>
      <c r="J316" s="192" t="s">
        <v>2866</v>
      </c>
      <c r="K316" s="204" t="s">
        <v>2867</v>
      </c>
    </row>
    <row r="317" spans="1:11" ht="25">
      <c r="A317" s="182" t="s">
        <v>1410</v>
      </c>
      <c r="B317" s="184" t="s">
        <v>1408</v>
      </c>
      <c r="C317" s="185" t="s">
        <v>2653</v>
      </c>
      <c r="D317" s="186" t="s">
        <v>2653</v>
      </c>
      <c r="E317" s="187" t="s">
        <v>2522</v>
      </c>
      <c r="F317" s="186" t="s">
        <v>2864</v>
      </c>
      <c r="G317" s="189" t="s">
        <v>2786</v>
      </c>
      <c r="H317" s="194">
        <v>5902362810</v>
      </c>
      <c r="I317" s="195" t="s">
        <v>2873</v>
      </c>
      <c r="J317" s="192" t="s">
        <v>2866</v>
      </c>
      <c r="K317" s="204" t="s">
        <v>2867</v>
      </c>
    </row>
    <row r="318" spans="1:11" ht="37.5">
      <c r="A318" s="182" t="s">
        <v>3263</v>
      </c>
      <c r="B318" s="184" t="s">
        <v>1862</v>
      </c>
      <c r="C318" s="185" t="s">
        <v>2653</v>
      </c>
      <c r="D318" s="186" t="s">
        <v>2653</v>
      </c>
      <c r="E318" s="187" t="s">
        <v>2527</v>
      </c>
      <c r="F318" s="186" t="s">
        <v>2871</v>
      </c>
      <c r="G318" s="189" t="s">
        <v>2774</v>
      </c>
      <c r="H318" s="194">
        <v>6681264239</v>
      </c>
      <c r="I318" s="195" t="s">
        <v>2873</v>
      </c>
      <c r="J318" s="192" t="s">
        <v>2866</v>
      </c>
      <c r="K318" s="204" t="s">
        <v>2867</v>
      </c>
    </row>
    <row r="319" spans="1:11" ht="21">
      <c r="A319" s="182" t="s">
        <v>3278</v>
      </c>
      <c r="B319" s="184" t="s">
        <v>3279</v>
      </c>
      <c r="C319" s="203" t="s">
        <v>2950</v>
      </c>
      <c r="D319" s="186" t="s">
        <v>2653</v>
      </c>
      <c r="E319" s="187" t="s">
        <v>2996</v>
      </c>
      <c r="F319" s="186" t="s">
        <v>2871</v>
      </c>
      <c r="G319" s="186" t="s">
        <v>2865</v>
      </c>
      <c r="H319" s="194">
        <v>8824594131</v>
      </c>
      <c r="I319" s="195" t="s">
        <v>2873</v>
      </c>
      <c r="J319" s="192" t="s">
        <v>2866</v>
      </c>
      <c r="K319" s="204" t="s">
        <v>2867</v>
      </c>
    </row>
    <row r="320" spans="1:11" ht="25">
      <c r="A320" s="182" t="s">
        <v>3275</v>
      </c>
      <c r="B320" s="184" t="s">
        <v>3276</v>
      </c>
      <c r="C320" s="200" t="s">
        <v>2889</v>
      </c>
      <c r="D320" s="186" t="s">
        <v>2653</v>
      </c>
      <c r="E320" s="187" t="s">
        <v>2522</v>
      </c>
      <c r="F320" s="186" t="s">
        <v>2871</v>
      </c>
      <c r="G320" s="189" t="s">
        <v>2797</v>
      </c>
      <c r="H320" s="194">
        <v>925988149</v>
      </c>
      <c r="I320" s="195" t="s">
        <v>2873</v>
      </c>
      <c r="J320" s="192" t="s">
        <v>2866</v>
      </c>
      <c r="K320" s="204" t="s">
        <v>2867</v>
      </c>
    </row>
    <row r="321" spans="1:11" ht="21" customHeight="1">
      <c r="A321" s="182" t="s">
        <v>3280</v>
      </c>
      <c r="B321" s="184" t="s">
        <v>3281</v>
      </c>
      <c r="C321" s="202" t="s">
        <v>3009</v>
      </c>
      <c r="D321" s="186" t="s">
        <v>2653</v>
      </c>
      <c r="E321" s="198" t="s">
        <v>2865</v>
      </c>
      <c r="F321" s="186" t="s">
        <v>2865</v>
      </c>
      <c r="G321" s="186" t="s">
        <v>2865</v>
      </c>
      <c r="H321" s="194">
        <v>85782209164</v>
      </c>
      <c r="I321" s="195" t="s">
        <v>2873</v>
      </c>
      <c r="J321" s="192" t="s">
        <v>2866</v>
      </c>
      <c r="K321" s="204" t="s">
        <v>2867</v>
      </c>
    </row>
    <row r="322" spans="1:11" ht="16">
      <c r="A322" s="182" t="s">
        <v>2802</v>
      </c>
      <c r="B322" s="184" t="s">
        <v>3277</v>
      </c>
      <c r="C322" s="189" t="s">
        <v>2894</v>
      </c>
      <c r="D322" s="200" t="s">
        <v>2881</v>
      </c>
      <c r="E322" s="198" t="s">
        <v>2865</v>
      </c>
      <c r="F322" s="186" t="s">
        <v>2865</v>
      </c>
      <c r="G322" s="186" t="s">
        <v>2865</v>
      </c>
      <c r="H322" s="194">
        <v>8493065957</v>
      </c>
      <c r="I322" s="195" t="s">
        <v>2873</v>
      </c>
      <c r="J322" s="192" t="s">
        <v>2866</v>
      </c>
      <c r="K322" s="204" t="s">
        <v>2867</v>
      </c>
    </row>
    <row r="323" spans="1:11" ht="25">
      <c r="A323" s="182" t="s">
        <v>3282</v>
      </c>
      <c r="B323" s="184" t="s">
        <v>3283</v>
      </c>
      <c r="C323" s="203" t="s">
        <v>2950</v>
      </c>
      <c r="D323" s="186" t="s">
        <v>2653</v>
      </c>
      <c r="E323" s="187" t="s">
        <v>2522</v>
      </c>
      <c r="F323" s="186" t="s">
        <v>2864</v>
      </c>
      <c r="G323" s="189" t="s">
        <v>2794</v>
      </c>
      <c r="H323" s="194">
        <v>8618185509</v>
      </c>
      <c r="I323" s="195" t="s">
        <v>2873</v>
      </c>
      <c r="J323" s="192" t="s">
        <v>2866</v>
      </c>
      <c r="K323" s="204" t="s">
        <v>2867</v>
      </c>
    </row>
    <row r="324" spans="1:11" ht="31.5" customHeight="1">
      <c r="A324" s="182" t="s">
        <v>3284</v>
      </c>
      <c r="B324" s="184" t="s">
        <v>3285</v>
      </c>
      <c r="C324" s="185" t="s">
        <v>2653</v>
      </c>
      <c r="D324" s="186" t="s">
        <v>2653</v>
      </c>
      <c r="E324" s="187" t="s">
        <v>2522</v>
      </c>
      <c r="F324" s="186" t="s">
        <v>2864</v>
      </c>
      <c r="G324" s="189" t="s">
        <v>2794</v>
      </c>
      <c r="H324" s="194">
        <v>353310138</v>
      </c>
      <c r="I324" s="195" t="s">
        <v>2873</v>
      </c>
      <c r="J324" s="192" t="s">
        <v>2866</v>
      </c>
      <c r="K324" s="204" t="s">
        <v>2867</v>
      </c>
    </row>
    <row r="325" spans="1:11" ht="25">
      <c r="A325" s="182" t="s">
        <v>612</v>
      </c>
      <c r="B325" s="184" t="s">
        <v>610</v>
      </c>
      <c r="C325" s="185" t="s">
        <v>2653</v>
      </c>
      <c r="D325" s="186" t="s">
        <v>2653</v>
      </c>
      <c r="E325" s="187" t="s">
        <v>2522</v>
      </c>
      <c r="F325" s="186" t="s">
        <v>2864</v>
      </c>
      <c r="G325" s="189" t="s">
        <v>2787</v>
      </c>
      <c r="H325" s="194">
        <v>876886692</v>
      </c>
      <c r="I325" s="195" t="s">
        <v>2873</v>
      </c>
      <c r="J325" s="192" t="s">
        <v>2866</v>
      </c>
      <c r="K325" s="204" t="s">
        <v>2867</v>
      </c>
    </row>
    <row r="326" spans="1:11" ht="37.5">
      <c r="A326" s="182" t="s">
        <v>1594</v>
      </c>
      <c r="B326" s="184" t="s">
        <v>1592</v>
      </c>
      <c r="C326" s="185" t="s">
        <v>2653</v>
      </c>
      <c r="D326" s="186" t="s">
        <v>2653</v>
      </c>
      <c r="E326" s="187" t="s">
        <v>2527</v>
      </c>
      <c r="F326" s="186" t="s">
        <v>2864</v>
      </c>
      <c r="G326" s="189" t="s">
        <v>2788</v>
      </c>
      <c r="H326" s="194">
        <v>8542957975</v>
      </c>
      <c r="I326" s="195" t="s">
        <v>2873</v>
      </c>
      <c r="J326" s="192" t="s">
        <v>2866</v>
      </c>
      <c r="K326" s="204" t="s">
        <v>2867</v>
      </c>
    </row>
    <row r="327" spans="1:11" ht="24" customHeight="1">
      <c r="A327" s="182" t="s">
        <v>3286</v>
      </c>
      <c r="B327" s="184">
        <v>2613050474</v>
      </c>
      <c r="C327" s="185" t="s">
        <v>2653</v>
      </c>
      <c r="D327" s="186" t="s">
        <v>2653</v>
      </c>
      <c r="E327" s="187" t="s">
        <v>2522</v>
      </c>
      <c r="F327" s="186" t="s">
        <v>2871</v>
      </c>
      <c r="G327" s="189" t="s">
        <v>2773</v>
      </c>
      <c r="H327" s="194">
        <v>8439960026</v>
      </c>
      <c r="I327" s="195" t="s">
        <v>2873</v>
      </c>
      <c r="J327" s="192" t="s">
        <v>2866</v>
      </c>
      <c r="K327" s="204" t="s">
        <v>2867</v>
      </c>
    </row>
    <row r="328" spans="1:11" ht="37.5">
      <c r="A328" s="182" t="s">
        <v>1841</v>
      </c>
      <c r="B328" s="184" t="s">
        <v>1839</v>
      </c>
      <c r="C328" s="185" t="s">
        <v>2653</v>
      </c>
      <c r="D328" s="186" t="s">
        <v>2653</v>
      </c>
      <c r="E328" s="187" t="s">
        <v>2527</v>
      </c>
      <c r="F328" s="186" t="s">
        <v>2871</v>
      </c>
      <c r="G328" s="189" t="s">
        <v>2783</v>
      </c>
      <c r="H328" s="194">
        <v>5024552023</v>
      </c>
      <c r="I328" s="195" t="s">
        <v>2873</v>
      </c>
      <c r="J328" s="192" t="s">
        <v>2866</v>
      </c>
      <c r="K328" s="204" t="s">
        <v>2867</v>
      </c>
    </row>
    <row r="329" spans="1:11" ht="25">
      <c r="A329" s="182" t="s">
        <v>3287</v>
      </c>
      <c r="B329" s="184" t="s">
        <v>542</v>
      </c>
      <c r="C329" s="185" t="s">
        <v>2653</v>
      </c>
      <c r="D329" s="186" t="s">
        <v>2653</v>
      </c>
      <c r="E329" s="187" t="s">
        <v>2522</v>
      </c>
      <c r="F329" s="186" t="s">
        <v>2871</v>
      </c>
      <c r="G329" s="189" t="s">
        <v>2775</v>
      </c>
      <c r="H329" s="194">
        <v>7444867996</v>
      </c>
      <c r="I329" s="195" t="s">
        <v>2873</v>
      </c>
      <c r="J329" s="192" t="s">
        <v>2866</v>
      </c>
      <c r="K329" s="204" t="s">
        <v>2867</v>
      </c>
    </row>
    <row r="330" spans="1:11" ht="16" customHeight="1">
      <c r="A330" s="182" t="s">
        <v>3287</v>
      </c>
      <c r="B330" s="184" t="s">
        <v>3288</v>
      </c>
      <c r="C330" s="185" t="s">
        <v>2653</v>
      </c>
      <c r="D330" s="186" t="s">
        <v>2653</v>
      </c>
      <c r="E330" s="187" t="s">
        <v>2996</v>
      </c>
      <c r="F330" s="186" t="s">
        <v>2871</v>
      </c>
      <c r="G330" s="186" t="s">
        <v>2865</v>
      </c>
      <c r="H330" s="194">
        <v>7916375082</v>
      </c>
      <c r="I330" s="195" t="s">
        <v>2873</v>
      </c>
      <c r="J330" s="192" t="s">
        <v>2866</v>
      </c>
      <c r="K330" s="204" t="s">
        <v>2867</v>
      </c>
    </row>
    <row r="331" spans="1:11" ht="25">
      <c r="A331" s="182" t="s">
        <v>3289</v>
      </c>
      <c r="B331" s="184" t="s">
        <v>415</v>
      </c>
      <c r="C331" s="185" t="s">
        <v>2653</v>
      </c>
      <c r="D331" s="186" t="s">
        <v>2653</v>
      </c>
      <c r="E331" s="187" t="s">
        <v>2522</v>
      </c>
      <c r="F331" s="186" t="s">
        <v>2864</v>
      </c>
      <c r="G331" s="189" t="s">
        <v>2769</v>
      </c>
      <c r="H331" s="194">
        <v>8627734137</v>
      </c>
      <c r="I331" s="195" t="s">
        <v>2873</v>
      </c>
      <c r="J331" s="192" t="s">
        <v>2866</v>
      </c>
      <c r="K331" s="204" t="s">
        <v>2867</v>
      </c>
    </row>
    <row r="332" spans="1:11" ht="37.5">
      <c r="A332" s="182" t="s">
        <v>1600</v>
      </c>
      <c r="B332" s="184" t="s">
        <v>1598</v>
      </c>
      <c r="C332" s="185" t="s">
        <v>2653</v>
      </c>
      <c r="D332" s="186" t="s">
        <v>2653</v>
      </c>
      <c r="E332" s="187" t="s">
        <v>2527</v>
      </c>
      <c r="F332" s="186" t="s">
        <v>2864</v>
      </c>
      <c r="G332" s="189" t="s">
        <v>2790</v>
      </c>
      <c r="H332" s="194">
        <v>8636010531</v>
      </c>
      <c r="I332" s="195" t="s">
        <v>2873</v>
      </c>
      <c r="J332" s="192" t="s">
        <v>2866</v>
      </c>
      <c r="K332" s="204" t="s">
        <v>2867</v>
      </c>
    </row>
    <row r="333" spans="1:11" ht="31.5" customHeight="1">
      <c r="A333" s="182" t="s">
        <v>3290</v>
      </c>
      <c r="B333" s="184" t="s">
        <v>3291</v>
      </c>
      <c r="C333" s="200" t="s">
        <v>2889</v>
      </c>
      <c r="D333" s="186" t="s">
        <v>2653</v>
      </c>
      <c r="E333" s="187" t="s">
        <v>2527</v>
      </c>
      <c r="F333" s="186" t="s">
        <v>2864</v>
      </c>
      <c r="G333" s="186" t="s">
        <v>2865</v>
      </c>
      <c r="H333" s="194">
        <v>8914035348</v>
      </c>
      <c r="I333" s="195" t="s">
        <v>2873</v>
      </c>
      <c r="J333" s="192" t="s">
        <v>2866</v>
      </c>
      <c r="K333" s="204" t="s">
        <v>2867</v>
      </c>
    </row>
    <row r="334" spans="1:11" ht="37.5">
      <c r="A334" s="182" t="s">
        <v>3292</v>
      </c>
      <c r="B334" s="184" t="s">
        <v>3293</v>
      </c>
      <c r="C334" s="185" t="s">
        <v>2653</v>
      </c>
      <c r="D334" s="186" t="s">
        <v>2653</v>
      </c>
      <c r="E334" s="187" t="s">
        <v>2527</v>
      </c>
      <c r="F334" s="186" t="s">
        <v>2864</v>
      </c>
      <c r="G334" s="189" t="s">
        <v>2790</v>
      </c>
      <c r="H334" s="194">
        <v>7531338178</v>
      </c>
      <c r="I334" s="195" t="s">
        <v>2873</v>
      </c>
      <c r="J334" s="192" t="s">
        <v>2866</v>
      </c>
      <c r="K334" s="204" t="s">
        <v>2867</v>
      </c>
    </row>
    <row r="335" spans="1:11" ht="25">
      <c r="A335" s="182" t="s">
        <v>3330</v>
      </c>
      <c r="B335" s="184" t="s">
        <v>3331</v>
      </c>
      <c r="C335" s="189" t="s">
        <v>2894</v>
      </c>
      <c r="D335" s="200" t="s">
        <v>2881</v>
      </c>
      <c r="E335" s="198" t="s">
        <v>2865</v>
      </c>
      <c r="F335" s="186" t="s">
        <v>2865</v>
      </c>
      <c r="G335" s="186" t="s">
        <v>2865</v>
      </c>
      <c r="H335" s="194">
        <v>7855865603</v>
      </c>
      <c r="I335" s="195" t="s">
        <v>2873</v>
      </c>
      <c r="J335" s="192" t="s">
        <v>2866</v>
      </c>
      <c r="K335" s="204" t="s">
        <v>2867</v>
      </c>
    </row>
    <row r="336" spans="1:11" ht="24" customHeight="1">
      <c r="A336" s="182" t="s">
        <v>142</v>
      </c>
      <c r="B336" s="184">
        <v>2613050981</v>
      </c>
      <c r="C336" s="185" t="s">
        <v>2653</v>
      </c>
      <c r="D336" s="186" t="s">
        <v>2653</v>
      </c>
      <c r="E336" s="187" t="s">
        <v>2522</v>
      </c>
      <c r="F336" s="186" t="s">
        <v>2864</v>
      </c>
      <c r="G336" s="189" t="s">
        <v>2787</v>
      </c>
      <c r="H336" s="194">
        <v>7838124778</v>
      </c>
      <c r="I336" s="195" t="s">
        <v>2873</v>
      </c>
      <c r="J336" s="192" t="s">
        <v>2866</v>
      </c>
      <c r="K336" s="204" t="s">
        <v>2867</v>
      </c>
    </row>
    <row r="337" spans="1:11" ht="25">
      <c r="A337" s="182" t="s">
        <v>3294</v>
      </c>
      <c r="B337" s="184" t="s">
        <v>3295</v>
      </c>
      <c r="C337" s="185" t="s">
        <v>2653</v>
      </c>
      <c r="D337" s="186" t="s">
        <v>2653</v>
      </c>
      <c r="E337" s="187" t="s">
        <v>2522</v>
      </c>
      <c r="F337" s="186" t="s">
        <v>2871</v>
      </c>
      <c r="G337" s="189" t="s">
        <v>2802</v>
      </c>
      <c r="H337" s="194">
        <v>1225702082</v>
      </c>
      <c r="I337" s="195" t="s">
        <v>2873</v>
      </c>
      <c r="J337" s="192" t="s">
        <v>2866</v>
      </c>
      <c r="K337" s="204" t="s">
        <v>2867</v>
      </c>
    </row>
    <row r="338" spans="1:11" ht="25">
      <c r="A338" s="182" t="s">
        <v>1158</v>
      </c>
      <c r="B338" s="184" t="s">
        <v>1156</v>
      </c>
      <c r="C338" s="185" t="s">
        <v>2653</v>
      </c>
      <c r="D338" s="186" t="s">
        <v>2653</v>
      </c>
      <c r="E338" s="187" t="s">
        <v>2522</v>
      </c>
      <c r="F338" s="186" t="s">
        <v>2871</v>
      </c>
      <c r="G338" s="189" t="s">
        <v>2796</v>
      </c>
      <c r="H338" s="194">
        <v>8680012322</v>
      </c>
      <c r="I338" s="195" t="s">
        <v>2873</v>
      </c>
      <c r="J338" s="192" t="s">
        <v>2866</v>
      </c>
      <c r="K338" s="204" t="s">
        <v>2867</v>
      </c>
    </row>
    <row r="339" spans="1:11" ht="25">
      <c r="A339" s="182" t="s">
        <v>1206</v>
      </c>
      <c r="B339" s="184" t="s">
        <v>1204</v>
      </c>
      <c r="C339" s="185" t="s">
        <v>2653</v>
      </c>
      <c r="D339" s="186" t="s">
        <v>2653</v>
      </c>
      <c r="E339" s="187" t="s">
        <v>2522</v>
      </c>
      <c r="F339" s="186" t="s">
        <v>2864</v>
      </c>
      <c r="G339" s="189" t="s">
        <v>2770</v>
      </c>
      <c r="H339" s="194">
        <v>8634599437</v>
      </c>
      <c r="I339" s="195" t="s">
        <v>2873</v>
      </c>
      <c r="J339" s="192" t="s">
        <v>2866</v>
      </c>
      <c r="K339" s="204" t="s">
        <v>2867</v>
      </c>
    </row>
    <row r="340" spans="1:11">
      <c r="A340" s="182" t="s">
        <v>3332</v>
      </c>
      <c r="B340" s="184" t="s">
        <v>3333</v>
      </c>
      <c r="C340" s="203" t="s">
        <v>2950</v>
      </c>
      <c r="D340" s="200" t="s">
        <v>2881</v>
      </c>
      <c r="E340" s="198" t="s">
        <v>2865</v>
      </c>
      <c r="F340" s="186" t="s">
        <v>2865</v>
      </c>
      <c r="G340" s="186" t="s">
        <v>2865</v>
      </c>
      <c r="H340" s="194">
        <v>8931943907</v>
      </c>
      <c r="I340" s="195" t="s">
        <v>2873</v>
      </c>
      <c r="J340" s="192" t="s">
        <v>2866</v>
      </c>
      <c r="K340" s="204" t="s">
        <v>2867</v>
      </c>
    </row>
    <row r="341" spans="1:11" ht="16">
      <c r="A341" s="182" t="s">
        <v>3661</v>
      </c>
      <c r="B341" s="184" t="s">
        <v>3662</v>
      </c>
      <c r="C341" s="200" t="s">
        <v>2889</v>
      </c>
      <c r="D341" s="186" t="s">
        <v>2653</v>
      </c>
      <c r="E341" s="187" t="s">
        <v>2527</v>
      </c>
      <c r="F341" s="186" t="s">
        <v>2864</v>
      </c>
      <c r="G341" s="186" t="s">
        <v>2865</v>
      </c>
      <c r="H341" s="194">
        <v>43242344</v>
      </c>
      <c r="I341" s="195" t="s">
        <v>2873</v>
      </c>
      <c r="J341" s="193" t="s">
        <v>2869</v>
      </c>
      <c r="K341" s="204" t="s">
        <v>2870</v>
      </c>
    </row>
    <row r="342" spans="1:11" ht="21" customHeight="1">
      <c r="A342" s="182" t="s">
        <v>3334</v>
      </c>
      <c r="B342" s="184" t="s">
        <v>3335</v>
      </c>
      <c r="C342" s="203" t="s">
        <v>2950</v>
      </c>
      <c r="D342" s="186" t="s">
        <v>2653</v>
      </c>
      <c r="E342" s="198" t="s">
        <v>2865</v>
      </c>
      <c r="F342" s="186" t="s">
        <v>2865</v>
      </c>
      <c r="G342" s="186" t="s">
        <v>2865</v>
      </c>
      <c r="H342" s="194">
        <v>8141705124</v>
      </c>
      <c r="I342" s="195" t="s">
        <v>2873</v>
      </c>
      <c r="J342" s="192" t="s">
        <v>2866</v>
      </c>
      <c r="K342" s="204" t="s">
        <v>2867</v>
      </c>
    </row>
    <row r="343" spans="1:11" ht="25">
      <c r="A343" s="182" t="s">
        <v>598</v>
      </c>
      <c r="B343" s="184" t="s">
        <v>596</v>
      </c>
      <c r="C343" s="185" t="s">
        <v>2653</v>
      </c>
      <c r="D343" s="186" t="s">
        <v>2653</v>
      </c>
      <c r="E343" s="187" t="s">
        <v>2522</v>
      </c>
      <c r="F343" s="186" t="s">
        <v>2871</v>
      </c>
      <c r="G343" s="189" t="s">
        <v>2775</v>
      </c>
      <c r="H343" s="194">
        <v>8028883139</v>
      </c>
      <c r="I343" s="195" t="s">
        <v>2873</v>
      </c>
      <c r="J343" s="192" t="s">
        <v>2866</v>
      </c>
      <c r="K343" s="204" t="s">
        <v>2867</v>
      </c>
    </row>
    <row r="344" spans="1:11" ht="21">
      <c r="A344" s="182" t="s">
        <v>3296</v>
      </c>
      <c r="B344" s="184" t="s">
        <v>3297</v>
      </c>
      <c r="C344" s="203" t="s">
        <v>2950</v>
      </c>
      <c r="D344" s="186" t="s">
        <v>2653</v>
      </c>
      <c r="E344" s="198" t="s">
        <v>2865</v>
      </c>
      <c r="F344" s="186" t="s">
        <v>2865</v>
      </c>
      <c r="G344" s="186" t="s">
        <v>2865</v>
      </c>
      <c r="H344" s="194">
        <v>8977673506</v>
      </c>
      <c r="I344" s="195" t="s">
        <v>2873</v>
      </c>
      <c r="J344" s="192" t="s">
        <v>2866</v>
      </c>
      <c r="K344" s="204" t="s">
        <v>2867</v>
      </c>
    </row>
    <row r="345" spans="1:11" ht="21" customHeight="1">
      <c r="A345" s="182" t="s">
        <v>3336</v>
      </c>
      <c r="B345" s="184" t="s">
        <v>3337</v>
      </c>
      <c r="C345" s="203" t="s">
        <v>2950</v>
      </c>
      <c r="D345" s="186" t="s">
        <v>2653</v>
      </c>
      <c r="E345" s="198" t="s">
        <v>2865</v>
      </c>
      <c r="F345" s="186" t="s">
        <v>2865</v>
      </c>
      <c r="G345" s="186" t="s">
        <v>2865</v>
      </c>
      <c r="H345" s="194">
        <v>8698701457</v>
      </c>
      <c r="I345" s="195" t="s">
        <v>2873</v>
      </c>
      <c r="J345" s="192" t="s">
        <v>2866</v>
      </c>
      <c r="K345" s="204" t="s">
        <v>2867</v>
      </c>
    </row>
    <row r="346" spans="1:11" ht="21">
      <c r="A346" s="182" t="s">
        <v>3338</v>
      </c>
      <c r="B346" s="184" t="s">
        <v>3339</v>
      </c>
      <c r="C346" s="203" t="s">
        <v>2950</v>
      </c>
      <c r="D346" s="186" t="s">
        <v>2653</v>
      </c>
      <c r="E346" s="198" t="s">
        <v>2865</v>
      </c>
      <c r="F346" s="186" t="s">
        <v>2865</v>
      </c>
      <c r="G346" s="186" t="s">
        <v>2865</v>
      </c>
      <c r="H346" s="194">
        <v>7772648029</v>
      </c>
      <c r="I346" s="195" t="s">
        <v>2873</v>
      </c>
      <c r="J346" s="192" t="s">
        <v>2866</v>
      </c>
      <c r="K346" s="204" t="s">
        <v>2867</v>
      </c>
    </row>
    <row r="347" spans="1:11" ht="18.5">
      <c r="A347" s="182" t="s">
        <v>137</v>
      </c>
      <c r="B347" s="184">
        <v>2613050980</v>
      </c>
      <c r="C347" s="185" t="s">
        <v>2892</v>
      </c>
      <c r="D347" s="186" t="s">
        <v>2653</v>
      </c>
      <c r="E347" s="187" t="s">
        <v>2996</v>
      </c>
      <c r="F347" s="186" t="s">
        <v>2864</v>
      </c>
      <c r="G347" s="189" t="s">
        <v>2868</v>
      </c>
      <c r="H347" s="194">
        <v>8769931416</v>
      </c>
      <c r="I347" s="195" t="s">
        <v>2873</v>
      </c>
      <c r="J347" s="192" t="s">
        <v>2866</v>
      </c>
      <c r="K347" s="204" t="s">
        <v>2867</v>
      </c>
    </row>
    <row r="348" spans="1:11" ht="21" customHeight="1">
      <c r="A348" s="182" t="s">
        <v>2794</v>
      </c>
      <c r="B348" s="184" t="s">
        <v>3298</v>
      </c>
      <c r="C348" s="189" t="s">
        <v>3299</v>
      </c>
      <c r="D348" s="200" t="s">
        <v>2881</v>
      </c>
      <c r="E348" s="198" t="s">
        <v>2865</v>
      </c>
      <c r="F348" s="186" t="s">
        <v>2865</v>
      </c>
      <c r="G348" s="186" t="s">
        <v>2865</v>
      </c>
      <c r="H348" s="194">
        <v>5069694267</v>
      </c>
      <c r="I348" s="195" t="s">
        <v>2873</v>
      </c>
      <c r="J348" s="192" t="s">
        <v>2866</v>
      </c>
      <c r="K348" s="204" t="s">
        <v>2867</v>
      </c>
    </row>
    <row r="349" spans="1:11" ht="42">
      <c r="A349" s="182" t="s">
        <v>3300</v>
      </c>
      <c r="B349" s="184" t="s">
        <v>3301</v>
      </c>
      <c r="C349" s="197" t="s">
        <v>2878</v>
      </c>
      <c r="D349" s="186" t="s">
        <v>2653</v>
      </c>
      <c r="E349" s="198" t="s">
        <v>2865</v>
      </c>
      <c r="F349" s="186" t="s">
        <v>2865</v>
      </c>
      <c r="G349" s="186" t="s">
        <v>2865</v>
      </c>
      <c r="H349" s="194">
        <v>8944309777</v>
      </c>
      <c r="I349" s="195" t="s">
        <v>2873</v>
      </c>
      <c r="J349" s="192" t="s">
        <v>2866</v>
      </c>
      <c r="K349" s="204" t="s">
        <v>2867</v>
      </c>
    </row>
    <row r="350" spans="1:11" ht="25">
      <c r="A350" s="182" t="s">
        <v>961</v>
      </c>
      <c r="B350" s="184" t="s">
        <v>959</v>
      </c>
      <c r="C350" s="185" t="s">
        <v>3086</v>
      </c>
      <c r="D350" s="186" t="s">
        <v>2653</v>
      </c>
      <c r="E350" s="187" t="s">
        <v>2522</v>
      </c>
      <c r="F350" s="186" t="s">
        <v>2871</v>
      </c>
      <c r="G350" s="189" t="s">
        <v>2773</v>
      </c>
      <c r="H350" s="194">
        <v>8651168274</v>
      </c>
      <c r="I350" s="195" t="s">
        <v>2873</v>
      </c>
      <c r="J350" s="192" t="s">
        <v>2866</v>
      </c>
      <c r="K350" s="204" t="s">
        <v>2867</v>
      </c>
    </row>
    <row r="351" spans="1:11" ht="24" customHeight="1">
      <c r="A351" s="182" t="s">
        <v>276</v>
      </c>
      <c r="B351" s="184" t="s">
        <v>3302</v>
      </c>
      <c r="C351" s="185" t="s">
        <v>2653</v>
      </c>
      <c r="D351" s="186" t="s">
        <v>2653</v>
      </c>
      <c r="E351" s="198" t="s">
        <v>2865</v>
      </c>
      <c r="F351" s="186" t="s">
        <v>2865</v>
      </c>
      <c r="G351" s="186" t="s">
        <v>2865</v>
      </c>
      <c r="H351" s="194">
        <v>8204310249</v>
      </c>
      <c r="I351" s="195" t="s">
        <v>2873</v>
      </c>
      <c r="J351" s="192" t="s">
        <v>2866</v>
      </c>
      <c r="K351" s="204" t="s">
        <v>2867</v>
      </c>
    </row>
    <row r="352" spans="1:11" ht="21">
      <c r="A352" s="182" t="s">
        <v>3663</v>
      </c>
      <c r="B352" s="184" t="s">
        <v>3664</v>
      </c>
      <c r="C352" s="185" t="s">
        <v>2653</v>
      </c>
      <c r="D352" s="186" t="s">
        <v>2653</v>
      </c>
      <c r="E352" s="198" t="s">
        <v>2865</v>
      </c>
      <c r="F352" s="186" t="s">
        <v>2865</v>
      </c>
      <c r="G352" s="186" t="s">
        <v>2865</v>
      </c>
      <c r="H352" s="194">
        <v>8567709039</v>
      </c>
      <c r="I352" s="195" t="s">
        <v>2873</v>
      </c>
      <c r="J352" s="192" t="s">
        <v>2866</v>
      </c>
      <c r="K352" s="204" t="s">
        <v>2867</v>
      </c>
    </row>
    <row r="353" spans="1:11" ht="21">
      <c r="A353" s="182" t="s">
        <v>3663</v>
      </c>
      <c r="B353" s="184" t="s">
        <v>3665</v>
      </c>
      <c r="C353" s="185" t="s">
        <v>2653</v>
      </c>
      <c r="D353" s="186" t="s">
        <v>2653</v>
      </c>
      <c r="E353" s="198" t="s">
        <v>2865</v>
      </c>
      <c r="F353" s="186" t="s">
        <v>2865</v>
      </c>
      <c r="G353" s="186" t="s">
        <v>2865</v>
      </c>
      <c r="H353" s="194">
        <v>6387948804</v>
      </c>
      <c r="I353" s="195" t="s">
        <v>2873</v>
      </c>
      <c r="J353" s="192" t="s">
        <v>2866</v>
      </c>
      <c r="K353" s="204" t="s">
        <v>2867</v>
      </c>
    </row>
    <row r="354" spans="1:11" ht="21" customHeight="1">
      <c r="A354" s="182" t="s">
        <v>3340</v>
      </c>
      <c r="B354" s="184" t="s">
        <v>3341</v>
      </c>
      <c r="C354" s="185" t="s">
        <v>2653</v>
      </c>
      <c r="D354" s="186" t="s">
        <v>2653</v>
      </c>
      <c r="E354" s="187" t="s">
        <v>2527</v>
      </c>
      <c r="F354" s="186" t="s">
        <v>2864</v>
      </c>
      <c r="G354" s="189" t="s">
        <v>2771</v>
      </c>
      <c r="H354" s="194">
        <v>8193747325</v>
      </c>
      <c r="I354" s="195" t="s">
        <v>2873</v>
      </c>
      <c r="J354" s="192" t="s">
        <v>2866</v>
      </c>
      <c r="K354" s="204" t="s">
        <v>2867</v>
      </c>
    </row>
    <row r="355" spans="1:11" ht="16">
      <c r="A355" s="182" t="s">
        <v>2807</v>
      </c>
      <c r="B355" s="184" t="s">
        <v>3342</v>
      </c>
      <c r="C355" s="189" t="s">
        <v>2894</v>
      </c>
      <c r="D355" s="202" t="s">
        <v>2989</v>
      </c>
      <c r="E355" s="198" t="s">
        <v>2865</v>
      </c>
      <c r="F355" s="186" t="s">
        <v>2865</v>
      </c>
      <c r="G355" s="186" t="s">
        <v>2865</v>
      </c>
      <c r="H355" s="194">
        <v>811705210</v>
      </c>
      <c r="I355" s="195" t="s">
        <v>2873</v>
      </c>
      <c r="J355" s="192" t="s">
        <v>2866</v>
      </c>
      <c r="K355" s="204" t="s">
        <v>2867</v>
      </c>
    </row>
    <row r="356" spans="1:11" ht="37.5">
      <c r="A356" s="182" t="s">
        <v>3343</v>
      </c>
      <c r="B356" s="184" t="s">
        <v>685</v>
      </c>
      <c r="C356" s="185" t="s">
        <v>2653</v>
      </c>
      <c r="D356" s="186" t="s">
        <v>2653</v>
      </c>
      <c r="E356" s="187" t="s">
        <v>2522</v>
      </c>
      <c r="F356" s="186" t="s">
        <v>2871</v>
      </c>
      <c r="G356" s="189" t="s">
        <v>2780</v>
      </c>
      <c r="H356" s="194">
        <v>6304085868</v>
      </c>
      <c r="I356" s="195" t="s">
        <v>2873</v>
      </c>
      <c r="J356" s="192" t="s">
        <v>2866</v>
      </c>
      <c r="K356" s="204" t="s">
        <v>2867</v>
      </c>
    </row>
    <row r="357" spans="1:11" ht="37.5">
      <c r="A357" s="182" t="s">
        <v>3344</v>
      </c>
      <c r="B357" s="184" t="s">
        <v>3345</v>
      </c>
      <c r="C357" s="185" t="s">
        <v>2653</v>
      </c>
      <c r="D357" s="186" t="s">
        <v>2653</v>
      </c>
      <c r="E357" s="187" t="s">
        <v>2527</v>
      </c>
      <c r="F357" s="186" t="s">
        <v>2871</v>
      </c>
      <c r="G357" s="189" t="s">
        <v>2778</v>
      </c>
      <c r="H357" s="194">
        <v>8858516289</v>
      </c>
      <c r="I357" s="195" t="s">
        <v>2873</v>
      </c>
      <c r="J357" s="192" t="s">
        <v>2866</v>
      </c>
      <c r="K357" s="204" t="s">
        <v>2867</v>
      </c>
    </row>
    <row r="358" spans="1:11" ht="31.5">
      <c r="A358" s="182" t="s">
        <v>3666</v>
      </c>
      <c r="B358" s="184" t="s">
        <v>3667</v>
      </c>
      <c r="C358" s="203" t="s">
        <v>2950</v>
      </c>
      <c r="D358" s="186" t="s">
        <v>2653</v>
      </c>
      <c r="E358" s="187" t="s">
        <v>2527</v>
      </c>
      <c r="F358" s="186" t="s">
        <v>2864</v>
      </c>
      <c r="G358" s="189" t="s">
        <v>3668</v>
      </c>
      <c r="H358" s="194">
        <v>6804246369</v>
      </c>
      <c r="I358" s="195" t="s">
        <v>2873</v>
      </c>
      <c r="J358" s="192" t="s">
        <v>2866</v>
      </c>
      <c r="K358" s="204" t="s">
        <v>2867</v>
      </c>
    </row>
    <row r="359" spans="1:11" ht="37.5">
      <c r="A359" s="182" t="s">
        <v>3346</v>
      </c>
      <c r="B359" s="184" t="s">
        <v>1761</v>
      </c>
      <c r="C359" s="185" t="s">
        <v>2653</v>
      </c>
      <c r="D359" s="186" t="s">
        <v>2653</v>
      </c>
      <c r="E359" s="187" t="s">
        <v>2527</v>
      </c>
      <c r="F359" s="186" t="s">
        <v>2871</v>
      </c>
      <c r="G359" s="189" t="s">
        <v>2778</v>
      </c>
      <c r="H359" s="194">
        <v>7452836329</v>
      </c>
      <c r="I359" s="195" t="s">
        <v>2873</v>
      </c>
      <c r="J359" s="192" t="s">
        <v>2866</v>
      </c>
      <c r="K359" s="204" t="s">
        <v>2867</v>
      </c>
    </row>
    <row r="360" spans="1:11" ht="37.5">
      <c r="A360" s="182" t="s">
        <v>3303</v>
      </c>
      <c r="B360" s="184" t="s">
        <v>1880</v>
      </c>
      <c r="C360" s="185" t="s">
        <v>2653</v>
      </c>
      <c r="D360" s="186" t="s">
        <v>2653</v>
      </c>
      <c r="E360" s="187" t="s">
        <v>2527</v>
      </c>
      <c r="F360" s="186" t="s">
        <v>2871</v>
      </c>
      <c r="G360" s="189" t="s">
        <v>2774</v>
      </c>
      <c r="H360" s="194">
        <v>7050833942</v>
      </c>
      <c r="I360" s="195" t="s">
        <v>2873</v>
      </c>
      <c r="J360" s="192" t="s">
        <v>2866</v>
      </c>
      <c r="K360" s="204" t="s">
        <v>2867</v>
      </c>
    </row>
    <row r="361" spans="1:11" ht="25">
      <c r="A361" s="182" t="s">
        <v>3304</v>
      </c>
      <c r="B361" s="184" t="s">
        <v>3305</v>
      </c>
      <c r="C361" s="197" t="s">
        <v>2878</v>
      </c>
      <c r="D361" s="186" t="s">
        <v>2653</v>
      </c>
      <c r="E361" s="198" t="s">
        <v>2865</v>
      </c>
      <c r="F361" s="186" t="s">
        <v>2865</v>
      </c>
      <c r="G361" s="186" t="s">
        <v>2865</v>
      </c>
      <c r="H361" s="194">
        <v>5173513036</v>
      </c>
      <c r="I361" s="195" t="s">
        <v>2873</v>
      </c>
      <c r="J361" s="192" t="s">
        <v>2866</v>
      </c>
      <c r="K361" s="204" t="s">
        <v>2867</v>
      </c>
    </row>
    <row r="362" spans="1:11" ht="21">
      <c r="A362" s="182" t="s">
        <v>2770</v>
      </c>
      <c r="B362" s="184" t="s">
        <v>3306</v>
      </c>
      <c r="C362" s="189" t="s">
        <v>2894</v>
      </c>
      <c r="D362" s="200" t="s">
        <v>2881</v>
      </c>
      <c r="E362" s="198" t="s">
        <v>2865</v>
      </c>
      <c r="F362" s="186" t="s">
        <v>2865</v>
      </c>
      <c r="G362" s="186" t="s">
        <v>2865</v>
      </c>
      <c r="H362" s="194">
        <v>2136234207</v>
      </c>
      <c r="I362" s="195" t="s">
        <v>2873</v>
      </c>
      <c r="J362" s="192" t="s">
        <v>2866</v>
      </c>
      <c r="K362" s="204" t="s">
        <v>2867</v>
      </c>
    </row>
    <row r="363" spans="1:11" ht="16" customHeight="1">
      <c r="A363" s="182" t="s">
        <v>1606</v>
      </c>
      <c r="B363" s="184" t="s">
        <v>1604</v>
      </c>
      <c r="C363" s="185" t="s">
        <v>2653</v>
      </c>
      <c r="D363" s="186" t="s">
        <v>2653</v>
      </c>
      <c r="E363" s="187" t="s">
        <v>2527</v>
      </c>
      <c r="F363" s="186" t="s">
        <v>2864</v>
      </c>
      <c r="G363" s="189" t="s">
        <v>2792</v>
      </c>
      <c r="H363" s="194">
        <v>8972506795</v>
      </c>
      <c r="I363" s="195" t="s">
        <v>2873</v>
      </c>
      <c r="J363" s="192" t="s">
        <v>2866</v>
      </c>
      <c r="K363" s="204" t="s">
        <v>2867</v>
      </c>
    </row>
    <row r="364" spans="1:11" ht="25">
      <c r="A364" s="182" t="s">
        <v>1170</v>
      </c>
      <c r="B364" s="184" t="s">
        <v>1168</v>
      </c>
      <c r="C364" s="185" t="s">
        <v>2653</v>
      </c>
      <c r="D364" s="186" t="s">
        <v>2653</v>
      </c>
      <c r="E364" s="187" t="s">
        <v>2522</v>
      </c>
      <c r="F364" s="186" t="s">
        <v>2871</v>
      </c>
      <c r="G364" s="189" t="s">
        <v>2796</v>
      </c>
      <c r="H364" s="194">
        <v>7314006520</v>
      </c>
      <c r="I364" s="195" t="s">
        <v>2873</v>
      </c>
      <c r="J364" s="192" t="s">
        <v>2866</v>
      </c>
      <c r="K364" s="204" t="s">
        <v>2867</v>
      </c>
    </row>
    <row r="365" spans="1:11" ht="21">
      <c r="A365" s="182" t="s">
        <v>3349</v>
      </c>
      <c r="B365" s="184" t="s">
        <v>3350</v>
      </c>
      <c r="C365" s="185" t="s">
        <v>2653</v>
      </c>
      <c r="D365" s="186" t="s">
        <v>2653</v>
      </c>
      <c r="E365" s="198" t="s">
        <v>2865</v>
      </c>
      <c r="F365" s="186" t="s">
        <v>2865</v>
      </c>
      <c r="G365" s="186" t="s">
        <v>2865</v>
      </c>
      <c r="H365" s="194">
        <v>8920703455</v>
      </c>
      <c r="I365" s="195" t="s">
        <v>2873</v>
      </c>
      <c r="J365" s="192" t="s">
        <v>2866</v>
      </c>
      <c r="K365" s="204" t="s">
        <v>2867</v>
      </c>
    </row>
    <row r="366" spans="1:11" ht="31.5">
      <c r="A366" s="182" t="s">
        <v>2788</v>
      </c>
      <c r="B366" s="184" t="s">
        <v>3307</v>
      </c>
      <c r="C366" s="189" t="s">
        <v>2894</v>
      </c>
      <c r="D366" s="200" t="s">
        <v>2881</v>
      </c>
      <c r="E366" s="187" t="s">
        <v>2527</v>
      </c>
      <c r="F366" s="186" t="s">
        <v>2864</v>
      </c>
      <c r="G366" s="189" t="s">
        <v>2788</v>
      </c>
      <c r="H366" s="194">
        <v>7141900206</v>
      </c>
      <c r="I366" s="195" t="s">
        <v>2873</v>
      </c>
      <c r="J366" s="192" t="s">
        <v>2866</v>
      </c>
      <c r="K366" s="204" t="s">
        <v>2867</v>
      </c>
    </row>
    <row r="367" spans="1:11" ht="21">
      <c r="A367" s="182" t="s">
        <v>3308</v>
      </c>
      <c r="B367" s="184" t="s">
        <v>3309</v>
      </c>
      <c r="C367" s="203" t="s">
        <v>2950</v>
      </c>
      <c r="D367" s="186" t="s">
        <v>2653</v>
      </c>
      <c r="E367" s="198" t="s">
        <v>2865</v>
      </c>
      <c r="F367" s="186" t="s">
        <v>2865</v>
      </c>
      <c r="G367" s="186" t="s">
        <v>2865</v>
      </c>
      <c r="H367" s="194">
        <v>8987167814</v>
      </c>
      <c r="I367" s="195" t="s">
        <v>2873</v>
      </c>
      <c r="J367" s="192" t="s">
        <v>2866</v>
      </c>
      <c r="K367" s="204" t="s">
        <v>2867</v>
      </c>
    </row>
    <row r="368" spans="1:11" ht="21">
      <c r="A368" s="182" t="s">
        <v>3347</v>
      </c>
      <c r="B368" s="184" t="s">
        <v>3348</v>
      </c>
      <c r="C368" s="189" t="s">
        <v>2894</v>
      </c>
      <c r="D368" s="200" t="s">
        <v>2881</v>
      </c>
      <c r="E368" s="198" t="s">
        <v>2865</v>
      </c>
      <c r="F368" s="186" t="s">
        <v>2865</v>
      </c>
      <c r="G368" s="186" t="s">
        <v>2865</v>
      </c>
      <c r="H368" s="194">
        <v>6932521780</v>
      </c>
      <c r="I368" s="195" t="s">
        <v>2873</v>
      </c>
      <c r="J368" s="192" t="s">
        <v>2866</v>
      </c>
      <c r="K368" s="204" t="s">
        <v>2867</v>
      </c>
    </row>
    <row r="369" spans="1:11" ht="24" customHeight="1">
      <c r="A369" s="182" t="s">
        <v>3310</v>
      </c>
      <c r="B369" s="184" t="s">
        <v>3311</v>
      </c>
      <c r="C369" s="203" t="s">
        <v>2950</v>
      </c>
      <c r="D369" s="186" t="s">
        <v>2653</v>
      </c>
      <c r="E369" s="198" t="s">
        <v>2865</v>
      </c>
      <c r="F369" s="186" t="s">
        <v>2865</v>
      </c>
      <c r="G369" s="186" t="s">
        <v>2865</v>
      </c>
      <c r="H369" s="194">
        <v>6098384136</v>
      </c>
      <c r="I369" s="195" t="s">
        <v>2873</v>
      </c>
      <c r="J369" s="192" t="s">
        <v>2866</v>
      </c>
      <c r="K369" s="204" t="s">
        <v>2867</v>
      </c>
    </row>
    <row r="370" spans="1:11" ht="31.5">
      <c r="A370" s="182" t="s">
        <v>3310</v>
      </c>
      <c r="B370" s="184" t="s">
        <v>3312</v>
      </c>
      <c r="C370" s="203" t="s">
        <v>2950</v>
      </c>
      <c r="D370" s="186" t="s">
        <v>2653</v>
      </c>
      <c r="E370" s="198" t="s">
        <v>2865</v>
      </c>
      <c r="F370" s="186" t="s">
        <v>2865</v>
      </c>
      <c r="G370" s="186" t="s">
        <v>2865</v>
      </c>
      <c r="H370" s="194">
        <v>85880294459</v>
      </c>
      <c r="I370" s="195" t="s">
        <v>2873</v>
      </c>
      <c r="J370" s="192" t="s">
        <v>2866</v>
      </c>
      <c r="K370" s="204" t="s">
        <v>2867</v>
      </c>
    </row>
    <row r="371" spans="1:11" ht="37.5">
      <c r="A371" s="182" t="s">
        <v>1709</v>
      </c>
      <c r="B371" s="184" t="s">
        <v>1707</v>
      </c>
      <c r="C371" s="185" t="s">
        <v>2892</v>
      </c>
      <c r="D371" s="186" t="s">
        <v>2653</v>
      </c>
      <c r="E371" s="187" t="s">
        <v>2527</v>
      </c>
      <c r="F371" s="186" t="s">
        <v>2871</v>
      </c>
      <c r="G371" s="189" t="s">
        <v>2772</v>
      </c>
      <c r="H371" s="194">
        <v>8050475993</v>
      </c>
      <c r="I371" s="195" t="s">
        <v>2873</v>
      </c>
      <c r="J371" s="192" t="s">
        <v>2866</v>
      </c>
      <c r="K371" s="204" t="s">
        <v>2867</v>
      </c>
    </row>
    <row r="372" spans="1:11" ht="24" customHeight="1">
      <c r="A372" s="182" t="s">
        <v>1564</v>
      </c>
      <c r="B372" s="184" t="s">
        <v>1561</v>
      </c>
      <c r="C372" s="202" t="s">
        <v>2900</v>
      </c>
      <c r="D372" s="186" t="s">
        <v>2653</v>
      </c>
      <c r="E372" s="187" t="s">
        <v>2527</v>
      </c>
      <c r="F372" s="186" t="s">
        <v>2864</v>
      </c>
      <c r="G372" s="189" t="s">
        <v>2795</v>
      </c>
      <c r="H372" s="194">
        <v>1420948858</v>
      </c>
      <c r="I372" s="195" t="s">
        <v>2873</v>
      </c>
      <c r="J372" s="192" t="s">
        <v>2866</v>
      </c>
      <c r="K372" s="204" t="s">
        <v>2867</v>
      </c>
    </row>
    <row r="373" spans="1:11" ht="21">
      <c r="A373" s="182" t="s">
        <v>3313</v>
      </c>
      <c r="B373" s="184">
        <v>2613050948</v>
      </c>
      <c r="C373" s="185" t="s">
        <v>2653</v>
      </c>
      <c r="D373" s="186" t="s">
        <v>2653</v>
      </c>
      <c r="E373" s="187" t="s">
        <v>2522</v>
      </c>
      <c r="F373" s="186" t="s">
        <v>2871</v>
      </c>
      <c r="G373" s="189" t="s">
        <v>2776</v>
      </c>
      <c r="H373" s="194">
        <v>8932495103</v>
      </c>
      <c r="I373" s="195" t="s">
        <v>2873</v>
      </c>
      <c r="J373" s="192" t="s">
        <v>2866</v>
      </c>
      <c r="K373" s="204" t="s">
        <v>2867</v>
      </c>
    </row>
    <row r="374" spans="1:11" ht="31.5">
      <c r="A374" s="182" t="s">
        <v>1176</v>
      </c>
      <c r="B374" s="184" t="s">
        <v>1174</v>
      </c>
      <c r="C374" s="185" t="s">
        <v>2892</v>
      </c>
      <c r="D374" s="186" t="s">
        <v>2653</v>
      </c>
      <c r="E374" s="187" t="s">
        <v>2522</v>
      </c>
      <c r="F374" s="186" t="s">
        <v>2871</v>
      </c>
      <c r="G374" s="189" t="s">
        <v>2796</v>
      </c>
      <c r="H374" s="194">
        <v>1263617446</v>
      </c>
      <c r="I374" s="195" t="s">
        <v>2873</v>
      </c>
      <c r="J374" s="192" t="s">
        <v>2866</v>
      </c>
      <c r="K374" s="204" t="s">
        <v>2867</v>
      </c>
    </row>
    <row r="375" spans="1:11" ht="21" customHeight="1">
      <c r="A375" s="182" t="s">
        <v>3351</v>
      </c>
      <c r="B375" s="184" t="s">
        <v>3352</v>
      </c>
      <c r="C375" s="203" t="s">
        <v>2950</v>
      </c>
      <c r="D375" s="186" t="s">
        <v>2653</v>
      </c>
      <c r="E375" s="198" t="s">
        <v>2865</v>
      </c>
      <c r="F375" s="186" t="s">
        <v>2865</v>
      </c>
      <c r="G375" s="186" t="s">
        <v>2865</v>
      </c>
      <c r="H375" s="194">
        <v>6503324257</v>
      </c>
      <c r="I375" s="195" t="s">
        <v>2873</v>
      </c>
      <c r="J375" s="192" t="s">
        <v>2866</v>
      </c>
      <c r="K375" s="204" t="s">
        <v>2867</v>
      </c>
    </row>
    <row r="376" spans="1:11" ht="37.5">
      <c r="A376" s="182" t="s">
        <v>1436</v>
      </c>
      <c r="B376" s="184" t="s">
        <v>1851</v>
      </c>
      <c r="C376" s="185" t="s">
        <v>2653</v>
      </c>
      <c r="D376" s="186" t="s">
        <v>2653</v>
      </c>
      <c r="E376" s="187" t="s">
        <v>2527</v>
      </c>
      <c r="F376" s="186" t="s">
        <v>2871</v>
      </c>
      <c r="G376" s="189" t="s">
        <v>2783</v>
      </c>
      <c r="H376" s="194">
        <v>6455076845</v>
      </c>
      <c r="I376" s="195" t="s">
        <v>2873</v>
      </c>
      <c r="J376" s="192" t="s">
        <v>2866</v>
      </c>
      <c r="K376" s="204" t="s">
        <v>2867</v>
      </c>
    </row>
    <row r="377" spans="1:11" ht="37.5">
      <c r="A377" s="182" t="s">
        <v>3314</v>
      </c>
      <c r="B377" s="184" t="s">
        <v>1892</v>
      </c>
      <c r="C377" s="185" t="s">
        <v>2653</v>
      </c>
      <c r="D377" s="186" t="s">
        <v>2653</v>
      </c>
      <c r="E377" s="187" t="s">
        <v>2527</v>
      </c>
      <c r="F377" s="186" t="s">
        <v>2871</v>
      </c>
      <c r="G377" s="189" t="s">
        <v>2777</v>
      </c>
      <c r="H377" s="194">
        <v>5545093825</v>
      </c>
      <c r="I377" s="195" t="s">
        <v>2873</v>
      </c>
      <c r="J377" s="192" t="s">
        <v>2866</v>
      </c>
      <c r="K377" s="204" t="s">
        <v>2867</v>
      </c>
    </row>
    <row r="378" spans="1:11" ht="21" customHeight="1">
      <c r="A378" s="182" t="s">
        <v>997</v>
      </c>
      <c r="B378" s="184" t="s">
        <v>995</v>
      </c>
      <c r="C378" s="185" t="s">
        <v>2892</v>
      </c>
      <c r="D378" s="186" t="s">
        <v>2653</v>
      </c>
      <c r="E378" s="187" t="s">
        <v>2996</v>
      </c>
      <c r="F378" s="186" t="s">
        <v>2871</v>
      </c>
      <c r="G378" s="189" t="s">
        <v>2776</v>
      </c>
      <c r="H378" s="194">
        <v>7254132404</v>
      </c>
      <c r="I378" s="195" t="s">
        <v>2873</v>
      </c>
      <c r="J378" s="192" t="s">
        <v>2866</v>
      </c>
      <c r="K378" s="204" t="s">
        <v>2867</v>
      </c>
    </row>
    <row r="379" spans="1:11" ht="21">
      <c r="A379" s="182" t="s">
        <v>2780</v>
      </c>
      <c r="B379" s="184" t="s">
        <v>3315</v>
      </c>
      <c r="C379" s="189" t="s">
        <v>2894</v>
      </c>
      <c r="D379" s="200" t="s">
        <v>2881</v>
      </c>
      <c r="E379" s="198" t="s">
        <v>2865</v>
      </c>
      <c r="F379" s="186" t="s">
        <v>2865</v>
      </c>
      <c r="G379" s="186" t="s">
        <v>2865</v>
      </c>
      <c r="H379" s="194">
        <v>228149213</v>
      </c>
      <c r="I379" s="195" t="s">
        <v>2873</v>
      </c>
      <c r="J379" s="192" t="s">
        <v>2866</v>
      </c>
      <c r="K379" s="204" t="s">
        <v>2867</v>
      </c>
    </row>
    <row r="380" spans="1:11" ht="37.5">
      <c r="A380" s="182" t="s">
        <v>1757</v>
      </c>
      <c r="B380" s="184" t="s">
        <v>1755</v>
      </c>
      <c r="C380" s="185" t="s">
        <v>2653</v>
      </c>
      <c r="D380" s="186" t="s">
        <v>2653</v>
      </c>
      <c r="E380" s="187" t="s">
        <v>2527</v>
      </c>
      <c r="F380" s="186" t="s">
        <v>2871</v>
      </c>
      <c r="G380" s="189" t="s">
        <v>2777</v>
      </c>
      <c r="H380" s="194">
        <v>7932944707</v>
      </c>
      <c r="I380" s="195" t="s">
        <v>2873</v>
      </c>
      <c r="J380" s="192" t="s">
        <v>2866</v>
      </c>
      <c r="K380" s="204" t="s">
        <v>2867</v>
      </c>
    </row>
    <row r="381" spans="1:11" ht="42">
      <c r="A381" s="182" t="s">
        <v>3316</v>
      </c>
      <c r="B381" s="184" t="s">
        <v>3317</v>
      </c>
      <c r="C381" s="197" t="s">
        <v>2878</v>
      </c>
      <c r="D381" s="186" t="s">
        <v>2653</v>
      </c>
      <c r="E381" s="198" t="s">
        <v>2865</v>
      </c>
      <c r="F381" s="186" t="s">
        <v>2865</v>
      </c>
      <c r="G381" s="186" t="s">
        <v>2865</v>
      </c>
      <c r="H381" s="194">
        <v>8905081261</v>
      </c>
      <c r="I381" s="195" t="s">
        <v>2873</v>
      </c>
      <c r="J381" s="192" t="s">
        <v>2866</v>
      </c>
      <c r="K381" s="204" t="s">
        <v>2867</v>
      </c>
    </row>
    <row r="382" spans="1:11" ht="21">
      <c r="A382" s="182" t="s">
        <v>2785</v>
      </c>
      <c r="B382" s="184" t="s">
        <v>3318</v>
      </c>
      <c r="C382" s="189" t="s">
        <v>2894</v>
      </c>
      <c r="D382" s="200" t="s">
        <v>2881</v>
      </c>
      <c r="E382" s="198" t="s">
        <v>2865</v>
      </c>
      <c r="F382" s="186" t="s">
        <v>2865</v>
      </c>
      <c r="G382" s="186" t="s">
        <v>2865</v>
      </c>
      <c r="H382" s="194">
        <v>8938450640</v>
      </c>
      <c r="I382" s="195" t="s">
        <v>2873</v>
      </c>
      <c r="J382" s="192" t="s">
        <v>2866</v>
      </c>
      <c r="K382" s="204" t="s">
        <v>2867</v>
      </c>
    </row>
    <row r="383" spans="1:11" ht="37.5">
      <c r="A383" s="182" t="s">
        <v>1697</v>
      </c>
      <c r="B383" s="184" t="s">
        <v>3319</v>
      </c>
      <c r="C383" s="185" t="s">
        <v>2653</v>
      </c>
      <c r="D383" s="186" t="s">
        <v>2653</v>
      </c>
      <c r="E383" s="187" t="s">
        <v>2527</v>
      </c>
      <c r="F383" s="186" t="s">
        <v>2864</v>
      </c>
      <c r="G383" s="189" t="s">
        <v>2795</v>
      </c>
      <c r="H383" s="194">
        <v>1693640001</v>
      </c>
      <c r="I383" s="195" t="s">
        <v>2873</v>
      </c>
      <c r="J383" s="192" t="s">
        <v>2866</v>
      </c>
      <c r="K383" s="204" t="s">
        <v>2867</v>
      </c>
    </row>
    <row r="384" spans="1:11" ht="21" customHeight="1">
      <c r="A384" s="182" t="s">
        <v>3320</v>
      </c>
      <c r="B384" s="184" t="s">
        <v>3321</v>
      </c>
      <c r="C384" s="185" t="s">
        <v>2653</v>
      </c>
      <c r="D384" s="186" t="s">
        <v>2653</v>
      </c>
      <c r="E384" s="187" t="s">
        <v>2527</v>
      </c>
      <c r="F384" s="186" t="s">
        <v>2864</v>
      </c>
      <c r="G384" s="189" t="s">
        <v>2788</v>
      </c>
      <c r="H384" s="194">
        <v>926241122</v>
      </c>
      <c r="I384" s="195" t="s">
        <v>2873</v>
      </c>
      <c r="J384" s="192" t="s">
        <v>2866</v>
      </c>
      <c r="K384" s="204" t="s">
        <v>2867</v>
      </c>
    </row>
    <row r="385" spans="1:11" ht="31.5">
      <c r="A385" s="182" t="s">
        <v>3322</v>
      </c>
      <c r="B385" s="184" t="s">
        <v>3323</v>
      </c>
      <c r="C385" s="185" t="s">
        <v>2892</v>
      </c>
      <c r="D385" s="186" t="s">
        <v>2653</v>
      </c>
      <c r="E385" s="187" t="s">
        <v>2522</v>
      </c>
      <c r="F385" s="186" t="s">
        <v>2864</v>
      </c>
      <c r="G385" s="189" t="s">
        <v>2799</v>
      </c>
      <c r="H385" s="194">
        <v>6667647330</v>
      </c>
      <c r="I385" s="195" t="s">
        <v>2873</v>
      </c>
      <c r="J385" s="192" t="s">
        <v>2866</v>
      </c>
      <c r="K385" s="204" t="s">
        <v>2867</v>
      </c>
    </row>
    <row r="386" spans="1:11" ht="37.5">
      <c r="A386" s="182" t="s">
        <v>3324</v>
      </c>
      <c r="B386" s="184" t="s">
        <v>1821</v>
      </c>
      <c r="C386" s="185" t="s">
        <v>2653</v>
      </c>
      <c r="D386" s="186" t="s">
        <v>2653</v>
      </c>
      <c r="E386" s="187" t="s">
        <v>2527</v>
      </c>
      <c r="F386" s="186" t="s">
        <v>2871</v>
      </c>
      <c r="G386" s="189" t="s">
        <v>2774</v>
      </c>
      <c r="H386" s="194">
        <v>8225378318</v>
      </c>
      <c r="I386" s="195" t="s">
        <v>2873</v>
      </c>
      <c r="J386" s="192" t="s">
        <v>2866</v>
      </c>
      <c r="K386" s="204" t="s">
        <v>2867</v>
      </c>
    </row>
    <row r="387" spans="1:11" ht="24" customHeight="1">
      <c r="A387" s="182" t="s">
        <v>3353</v>
      </c>
      <c r="B387" s="184" t="s">
        <v>3354</v>
      </c>
      <c r="C387" s="203" t="s">
        <v>2950</v>
      </c>
      <c r="D387" s="186" t="s">
        <v>2653</v>
      </c>
      <c r="E387" s="198" t="s">
        <v>2865</v>
      </c>
      <c r="F387" s="186" t="s">
        <v>2865</v>
      </c>
      <c r="G387" s="186" t="s">
        <v>2865</v>
      </c>
      <c r="H387" s="194">
        <v>6620269413</v>
      </c>
      <c r="I387" s="195" t="s">
        <v>2873</v>
      </c>
      <c r="J387" s="192" t="s">
        <v>2866</v>
      </c>
      <c r="K387" s="204" t="s">
        <v>2867</v>
      </c>
    </row>
    <row r="388" spans="1:11" ht="21">
      <c r="A388" s="182" t="s">
        <v>3355</v>
      </c>
      <c r="B388" s="184" t="s">
        <v>3356</v>
      </c>
      <c r="C388" s="189" t="s">
        <v>2894</v>
      </c>
      <c r="D388" s="186" t="s">
        <v>2653</v>
      </c>
      <c r="E388" s="198" t="s">
        <v>2865</v>
      </c>
      <c r="F388" s="186" t="s">
        <v>2865</v>
      </c>
      <c r="G388" s="186" t="s">
        <v>2865</v>
      </c>
      <c r="H388" s="194">
        <v>6206649907</v>
      </c>
      <c r="I388" s="195" t="s">
        <v>2873</v>
      </c>
      <c r="J388" s="192" t="s">
        <v>2866</v>
      </c>
      <c r="K388" s="204" t="s">
        <v>2867</v>
      </c>
    </row>
    <row r="389" spans="1:11" ht="25">
      <c r="A389" s="182" t="s">
        <v>3357</v>
      </c>
      <c r="B389" s="184" t="s">
        <v>350</v>
      </c>
      <c r="C389" s="185" t="s">
        <v>2653</v>
      </c>
      <c r="D389" s="186" t="s">
        <v>2653</v>
      </c>
      <c r="E389" s="187" t="s">
        <v>2522</v>
      </c>
      <c r="F389" s="186" t="s">
        <v>2864</v>
      </c>
      <c r="G389" s="189" t="s">
        <v>2785</v>
      </c>
      <c r="H389" s="194">
        <v>5531128311</v>
      </c>
      <c r="I389" s="195" t="s">
        <v>2873</v>
      </c>
      <c r="J389" s="192" t="s">
        <v>2866</v>
      </c>
      <c r="K389" s="204" t="s">
        <v>2867</v>
      </c>
    </row>
    <row r="390" spans="1:11" ht="21" customHeight="1">
      <c r="A390" s="182" t="s">
        <v>3325</v>
      </c>
      <c r="B390" s="184" t="s">
        <v>653</v>
      </c>
      <c r="C390" s="185" t="s">
        <v>2653</v>
      </c>
      <c r="D390" s="186" t="s">
        <v>2653</v>
      </c>
      <c r="E390" s="187" t="s">
        <v>2522</v>
      </c>
      <c r="F390" s="186" t="s">
        <v>2864</v>
      </c>
      <c r="G390" s="189" t="s">
        <v>2793</v>
      </c>
      <c r="H390" s="194">
        <v>5252466341</v>
      </c>
      <c r="I390" s="195" t="s">
        <v>2873</v>
      </c>
      <c r="J390" s="192" t="s">
        <v>2866</v>
      </c>
      <c r="K390" s="204" t="s">
        <v>2867</v>
      </c>
    </row>
    <row r="391" spans="1:11" ht="37.5">
      <c r="A391" s="182" t="s">
        <v>3358</v>
      </c>
      <c r="B391" s="184" t="s">
        <v>1617</v>
      </c>
      <c r="C391" s="185" t="s">
        <v>2892</v>
      </c>
      <c r="D391" s="186" t="s">
        <v>2653</v>
      </c>
      <c r="E391" s="187" t="s">
        <v>2527</v>
      </c>
      <c r="F391" s="186" t="s">
        <v>2864</v>
      </c>
      <c r="G391" s="189" t="s">
        <v>2771</v>
      </c>
      <c r="H391" s="194">
        <v>5258172895</v>
      </c>
      <c r="I391" s="195" t="s">
        <v>2873</v>
      </c>
      <c r="J391" s="192" t="s">
        <v>2866</v>
      </c>
      <c r="K391" s="204" t="s">
        <v>2867</v>
      </c>
    </row>
    <row r="392" spans="1:11" ht="25">
      <c r="A392" s="182" t="s">
        <v>884</v>
      </c>
      <c r="B392" s="184" t="s">
        <v>882</v>
      </c>
      <c r="C392" s="185" t="s">
        <v>2653</v>
      </c>
      <c r="D392" s="186" t="s">
        <v>2653</v>
      </c>
      <c r="E392" s="187" t="s">
        <v>2522</v>
      </c>
      <c r="F392" s="186" t="s">
        <v>2864</v>
      </c>
      <c r="G392" s="189" t="s">
        <v>2799</v>
      </c>
      <c r="H392" s="194">
        <v>8987357736</v>
      </c>
      <c r="I392" s="195" t="s">
        <v>2873</v>
      </c>
      <c r="J392" s="192" t="s">
        <v>2866</v>
      </c>
      <c r="K392" s="204" t="s">
        <v>2867</v>
      </c>
    </row>
    <row r="393" spans="1:11" ht="21" customHeight="1">
      <c r="A393" s="182" t="s">
        <v>340</v>
      </c>
      <c r="B393" s="184" t="s">
        <v>338</v>
      </c>
      <c r="C393" s="185" t="s">
        <v>2653</v>
      </c>
      <c r="D393" s="186" t="s">
        <v>2653</v>
      </c>
      <c r="E393" s="187" t="s">
        <v>2522</v>
      </c>
      <c r="F393" s="186" t="s">
        <v>2864</v>
      </c>
      <c r="G393" s="189" t="s">
        <v>2785</v>
      </c>
      <c r="H393" s="194">
        <v>6443249460</v>
      </c>
      <c r="I393" s="195" t="s">
        <v>2873</v>
      </c>
      <c r="J393" s="192" t="s">
        <v>2866</v>
      </c>
      <c r="K393" s="204" t="s">
        <v>2867</v>
      </c>
    </row>
    <row r="394" spans="1:11" ht="31.5">
      <c r="A394" s="182" t="s">
        <v>3326</v>
      </c>
      <c r="B394" s="184" t="s">
        <v>3327</v>
      </c>
      <c r="C394" s="200" t="s">
        <v>2889</v>
      </c>
      <c r="D394" s="186" t="s">
        <v>2653</v>
      </c>
      <c r="E394" s="187" t="s">
        <v>2996</v>
      </c>
      <c r="F394" s="186" t="s">
        <v>2871</v>
      </c>
      <c r="G394" s="186" t="s">
        <v>2865</v>
      </c>
      <c r="H394" s="194">
        <v>8157796403</v>
      </c>
      <c r="I394" s="195" t="s">
        <v>2873</v>
      </c>
      <c r="J394" s="192" t="s">
        <v>2866</v>
      </c>
      <c r="K394" s="204" t="s">
        <v>2867</v>
      </c>
    </row>
    <row r="395" spans="1:11" ht="25">
      <c r="A395" s="182" t="s">
        <v>3359</v>
      </c>
      <c r="B395" s="184" t="s">
        <v>3360</v>
      </c>
      <c r="C395" s="185" t="s">
        <v>2892</v>
      </c>
      <c r="D395" s="186" t="s">
        <v>2653</v>
      </c>
      <c r="E395" s="187" t="s">
        <v>2522</v>
      </c>
      <c r="F395" s="186" t="s">
        <v>2871</v>
      </c>
      <c r="G395" s="189" t="s">
        <v>2781</v>
      </c>
      <c r="H395" s="194">
        <v>471594811</v>
      </c>
      <c r="I395" s="195" t="s">
        <v>2873</v>
      </c>
      <c r="J395" s="192" t="s">
        <v>2866</v>
      </c>
      <c r="K395" s="204" t="s">
        <v>2867</v>
      </c>
    </row>
    <row r="396" spans="1:11" ht="21" customHeight="1">
      <c r="A396" s="182" t="s">
        <v>1104</v>
      </c>
      <c r="B396" s="184" t="s">
        <v>1102</v>
      </c>
      <c r="C396" s="185" t="s">
        <v>2653</v>
      </c>
      <c r="D396" s="186" t="s">
        <v>2653</v>
      </c>
      <c r="E396" s="187" t="s">
        <v>2522</v>
      </c>
      <c r="F396" s="186" t="s">
        <v>2871</v>
      </c>
      <c r="G396" s="189" t="s">
        <v>2781</v>
      </c>
      <c r="H396" s="194">
        <v>8623202790</v>
      </c>
      <c r="I396" s="195" t="s">
        <v>2873</v>
      </c>
      <c r="J396" s="192" t="s">
        <v>2866</v>
      </c>
      <c r="K396" s="204" t="s">
        <v>2867</v>
      </c>
    </row>
    <row r="397" spans="1:11">
      <c r="A397" s="182" t="s">
        <v>3361</v>
      </c>
      <c r="B397" s="184" t="s">
        <v>3362</v>
      </c>
      <c r="C397" s="203" t="s">
        <v>2950</v>
      </c>
      <c r="D397" s="186" t="s">
        <v>2653</v>
      </c>
      <c r="E397" s="198" t="s">
        <v>2865</v>
      </c>
      <c r="F397" s="186" t="s">
        <v>2865</v>
      </c>
      <c r="G397" s="186" t="s">
        <v>2865</v>
      </c>
      <c r="H397" s="194">
        <v>8981412060</v>
      </c>
      <c r="I397" s="195" t="s">
        <v>2873</v>
      </c>
      <c r="J397" s="192" t="s">
        <v>2866</v>
      </c>
      <c r="K397" s="204" t="s">
        <v>2867</v>
      </c>
    </row>
    <row r="398" spans="1:11" ht="37.5">
      <c r="A398" s="182" t="s">
        <v>3328</v>
      </c>
      <c r="B398" s="184" t="s">
        <v>3329</v>
      </c>
      <c r="C398" s="197" t="s">
        <v>2878</v>
      </c>
      <c r="D398" s="186" t="s">
        <v>2653</v>
      </c>
      <c r="E398" s="198" t="s">
        <v>2865</v>
      </c>
      <c r="F398" s="186" t="s">
        <v>2865</v>
      </c>
      <c r="G398" s="186" t="s">
        <v>2865</v>
      </c>
      <c r="H398" s="194">
        <v>8429061905</v>
      </c>
      <c r="I398" s="195" t="s">
        <v>2873</v>
      </c>
      <c r="J398" s="192" t="s">
        <v>2866</v>
      </c>
      <c r="K398" s="204" t="s">
        <v>2867</v>
      </c>
    </row>
    <row r="399" spans="1:11" ht="24" customHeight="1">
      <c r="A399" s="182" t="s">
        <v>3371</v>
      </c>
      <c r="B399" s="184" t="s">
        <v>3372</v>
      </c>
      <c r="C399" s="203" t="s">
        <v>2950</v>
      </c>
      <c r="D399" s="186" t="s">
        <v>2653</v>
      </c>
      <c r="E399" s="187" t="s">
        <v>2996</v>
      </c>
      <c r="F399" s="186" t="s">
        <v>2871</v>
      </c>
      <c r="G399" s="186" t="s">
        <v>2865</v>
      </c>
      <c r="H399" s="194">
        <v>7578007563</v>
      </c>
      <c r="I399" s="195" t="s">
        <v>2873</v>
      </c>
      <c r="J399" s="192" t="s">
        <v>2866</v>
      </c>
      <c r="K399" s="204" t="s">
        <v>2867</v>
      </c>
    </row>
    <row r="400" spans="1:11" ht="37.5">
      <c r="A400" s="182" t="s">
        <v>3373</v>
      </c>
      <c r="B400" s="184" t="s">
        <v>3374</v>
      </c>
      <c r="C400" s="185" t="s">
        <v>2653</v>
      </c>
      <c r="D400" s="186" t="s">
        <v>2653</v>
      </c>
      <c r="E400" s="187" t="s">
        <v>2527</v>
      </c>
      <c r="F400" s="186" t="s">
        <v>2864</v>
      </c>
      <c r="G400" s="189" t="s">
        <v>2771</v>
      </c>
      <c r="H400" s="194">
        <v>7547667482</v>
      </c>
      <c r="I400" s="195" t="s">
        <v>2873</v>
      </c>
      <c r="J400" s="192" t="s">
        <v>2866</v>
      </c>
      <c r="K400" s="204" t="s">
        <v>2867</v>
      </c>
    </row>
    <row r="401" spans="1:11">
      <c r="A401" s="182" t="s">
        <v>3669</v>
      </c>
      <c r="B401" s="184" t="s">
        <v>3670</v>
      </c>
      <c r="C401" s="203" t="s">
        <v>2950</v>
      </c>
      <c r="D401" s="186" t="s">
        <v>2653</v>
      </c>
      <c r="E401" s="198" t="s">
        <v>2865</v>
      </c>
      <c r="F401" s="186" t="s">
        <v>2865</v>
      </c>
      <c r="G401" s="186" t="s">
        <v>2865</v>
      </c>
      <c r="H401" s="194">
        <v>6013850640</v>
      </c>
      <c r="I401" s="195" t="s">
        <v>2873</v>
      </c>
      <c r="J401" s="192" t="s">
        <v>2866</v>
      </c>
      <c r="K401" s="204" t="s">
        <v>2867</v>
      </c>
    </row>
    <row r="402" spans="1:11" ht="21">
      <c r="A402" s="182" t="s">
        <v>3363</v>
      </c>
      <c r="B402" s="184" t="s">
        <v>3364</v>
      </c>
      <c r="C402" s="189" t="s">
        <v>2894</v>
      </c>
      <c r="D402" s="200" t="s">
        <v>2881</v>
      </c>
      <c r="E402" s="198" t="s">
        <v>2865</v>
      </c>
      <c r="F402" s="186" t="s">
        <v>2865</v>
      </c>
      <c r="G402" s="186" t="s">
        <v>2865</v>
      </c>
      <c r="H402" s="194">
        <v>8908669486</v>
      </c>
      <c r="I402" s="195" t="s">
        <v>2873</v>
      </c>
      <c r="J402" s="192" t="s">
        <v>2866</v>
      </c>
      <c r="K402" s="204" t="s">
        <v>2867</v>
      </c>
    </row>
    <row r="403" spans="1:11" ht="16">
      <c r="A403" s="182" t="s">
        <v>1739</v>
      </c>
      <c r="B403" s="184" t="s">
        <v>1737</v>
      </c>
      <c r="C403" s="185" t="s">
        <v>2653</v>
      </c>
      <c r="D403" s="186" t="s">
        <v>2653</v>
      </c>
      <c r="E403" s="187" t="s">
        <v>2527</v>
      </c>
      <c r="F403" s="186" t="s">
        <v>2871</v>
      </c>
      <c r="G403" s="189" t="s">
        <v>2783</v>
      </c>
      <c r="H403" s="194">
        <v>1443215908</v>
      </c>
      <c r="I403" s="195" t="s">
        <v>2873</v>
      </c>
      <c r="J403" s="192" t="s">
        <v>2866</v>
      </c>
      <c r="K403" s="204" t="s">
        <v>2867</v>
      </c>
    </row>
    <row r="404" spans="1:11" ht="21" customHeight="1">
      <c r="A404" s="182" t="s">
        <v>2775</v>
      </c>
      <c r="B404" s="184" t="s">
        <v>3365</v>
      </c>
      <c r="C404" s="189" t="s">
        <v>2894</v>
      </c>
      <c r="D404" s="200" t="s">
        <v>2881</v>
      </c>
      <c r="E404" s="198" t="s">
        <v>2865</v>
      </c>
      <c r="F404" s="186" t="s">
        <v>2865</v>
      </c>
      <c r="G404" s="186" t="s">
        <v>2865</v>
      </c>
      <c r="H404" s="194">
        <v>5122913306</v>
      </c>
      <c r="I404" s="195" t="s">
        <v>2873</v>
      </c>
      <c r="J404" s="192" t="s">
        <v>2866</v>
      </c>
      <c r="K404" s="204" t="s">
        <v>2867</v>
      </c>
    </row>
    <row r="405" spans="1:11" ht="25">
      <c r="A405" s="182" t="s">
        <v>3366</v>
      </c>
      <c r="B405" s="184" t="s">
        <v>446</v>
      </c>
      <c r="C405" s="185" t="s">
        <v>2653</v>
      </c>
      <c r="D405" s="186" t="s">
        <v>2653</v>
      </c>
      <c r="E405" s="187" t="s">
        <v>2522</v>
      </c>
      <c r="F405" s="186" t="s">
        <v>2871</v>
      </c>
      <c r="G405" s="189" t="s">
        <v>2803</v>
      </c>
      <c r="H405" s="194">
        <v>8667946752</v>
      </c>
      <c r="I405" s="195" t="s">
        <v>2873</v>
      </c>
      <c r="J405" s="192" t="s">
        <v>2866</v>
      </c>
      <c r="K405" s="204" t="s">
        <v>2867</v>
      </c>
    </row>
    <row r="406" spans="1:11" ht="25">
      <c r="A406" s="182" t="s">
        <v>322</v>
      </c>
      <c r="B406" s="184" t="s">
        <v>320</v>
      </c>
      <c r="C406" s="185" t="s">
        <v>2653</v>
      </c>
      <c r="D406" s="186" t="s">
        <v>2653</v>
      </c>
      <c r="E406" s="187" t="s">
        <v>2522</v>
      </c>
      <c r="F406" s="186" t="s">
        <v>2864</v>
      </c>
      <c r="G406" s="189" t="s">
        <v>2785</v>
      </c>
      <c r="H406" s="194">
        <v>6459739401</v>
      </c>
      <c r="I406" s="195" t="s">
        <v>2873</v>
      </c>
      <c r="J406" s="192" t="s">
        <v>2866</v>
      </c>
      <c r="K406" s="204" t="s">
        <v>2867</v>
      </c>
    </row>
    <row r="407" spans="1:11" ht="25">
      <c r="A407" s="182" t="s">
        <v>3367</v>
      </c>
      <c r="B407" s="184" t="s">
        <v>458</v>
      </c>
      <c r="C407" s="185" t="s">
        <v>2653</v>
      </c>
      <c r="D407" s="186" t="s">
        <v>2653</v>
      </c>
      <c r="E407" s="187" t="s">
        <v>2522</v>
      </c>
      <c r="F407" s="186" t="s">
        <v>2871</v>
      </c>
      <c r="G407" s="189" t="s">
        <v>2803</v>
      </c>
      <c r="H407" s="194">
        <v>1103364165</v>
      </c>
      <c r="I407" s="195" t="s">
        <v>2873</v>
      </c>
      <c r="J407" s="192" t="s">
        <v>2866</v>
      </c>
      <c r="K407" s="204" t="s">
        <v>2867</v>
      </c>
    </row>
    <row r="408" spans="1:11" ht="37.5">
      <c r="A408" s="182" t="s">
        <v>3375</v>
      </c>
      <c r="B408" s="184" t="s">
        <v>3376</v>
      </c>
      <c r="C408" s="185" t="s">
        <v>2653</v>
      </c>
      <c r="D408" s="186" t="s">
        <v>2653</v>
      </c>
      <c r="E408" s="187" t="s">
        <v>2522</v>
      </c>
      <c r="F408" s="186" t="s">
        <v>2871</v>
      </c>
      <c r="G408" s="189" t="s">
        <v>2780</v>
      </c>
      <c r="H408" s="194">
        <v>8425089063</v>
      </c>
      <c r="I408" s="195" t="s">
        <v>2873</v>
      </c>
      <c r="J408" s="192" t="s">
        <v>2866</v>
      </c>
      <c r="K408" s="204" t="s">
        <v>2867</v>
      </c>
    </row>
    <row r="409" spans="1:11" ht="37.5">
      <c r="A409" s="182" t="s">
        <v>813</v>
      </c>
      <c r="B409" s="184" t="s">
        <v>810</v>
      </c>
      <c r="C409" s="185" t="s">
        <v>2653</v>
      </c>
      <c r="D409" s="186" t="s">
        <v>2653</v>
      </c>
      <c r="E409" s="187" t="s">
        <v>2522</v>
      </c>
      <c r="F409" s="186" t="s">
        <v>2864</v>
      </c>
      <c r="G409" s="189" t="s">
        <v>2789</v>
      </c>
      <c r="H409" s="194">
        <v>8757758019</v>
      </c>
      <c r="I409" s="195" t="s">
        <v>2873</v>
      </c>
      <c r="J409" s="192" t="s">
        <v>2866</v>
      </c>
      <c r="K409" s="204" t="s">
        <v>2867</v>
      </c>
    </row>
    <row r="410" spans="1:11" ht="37.5">
      <c r="A410" s="182" t="s">
        <v>3368</v>
      </c>
      <c r="B410" s="184" t="s">
        <v>777</v>
      </c>
      <c r="C410" s="185" t="s">
        <v>2892</v>
      </c>
      <c r="D410" s="186" t="s">
        <v>2653</v>
      </c>
      <c r="E410" s="187" t="s">
        <v>2522</v>
      </c>
      <c r="F410" s="186" t="s">
        <v>2871</v>
      </c>
      <c r="G410" s="189" t="s">
        <v>2779</v>
      </c>
      <c r="H410" s="194">
        <v>8787682152</v>
      </c>
      <c r="I410" s="195" t="s">
        <v>2873</v>
      </c>
      <c r="J410" s="192" t="s">
        <v>2866</v>
      </c>
      <c r="K410" s="204" t="s">
        <v>2867</v>
      </c>
    </row>
    <row r="411" spans="1:11" ht="25">
      <c r="A411" s="182" t="s">
        <v>3369</v>
      </c>
      <c r="B411" s="184" t="s">
        <v>3370</v>
      </c>
      <c r="C411" s="185" t="s">
        <v>2653</v>
      </c>
      <c r="D411" s="186" t="s">
        <v>2653</v>
      </c>
      <c r="E411" s="187" t="s">
        <v>2522</v>
      </c>
      <c r="F411" s="186" t="s">
        <v>2864</v>
      </c>
      <c r="G411" s="189" t="s">
        <v>2769</v>
      </c>
      <c r="H411" s="194">
        <v>6806247395</v>
      </c>
      <c r="I411" s="195" t="s">
        <v>2873</v>
      </c>
      <c r="J411" s="192" t="s">
        <v>2866</v>
      </c>
      <c r="K411" s="204" t="s">
        <v>2867</v>
      </c>
    </row>
    <row r="412" spans="1:11" ht="21">
      <c r="A412" s="182" t="s">
        <v>3377</v>
      </c>
      <c r="B412" s="184" t="s">
        <v>3378</v>
      </c>
      <c r="C412" s="203" t="s">
        <v>2950</v>
      </c>
      <c r="D412" s="186" t="s">
        <v>2653</v>
      </c>
      <c r="E412" s="198" t="s">
        <v>2865</v>
      </c>
      <c r="F412" s="186" t="s">
        <v>2865</v>
      </c>
      <c r="G412" s="186" t="s">
        <v>2865</v>
      </c>
      <c r="H412" s="194">
        <v>8819792891</v>
      </c>
      <c r="I412" s="195" t="s">
        <v>2873</v>
      </c>
      <c r="J412" s="192" t="s">
        <v>2866</v>
      </c>
      <c r="K412" s="204" t="s">
        <v>2867</v>
      </c>
    </row>
    <row r="413" spans="1:11" ht="24" customHeight="1">
      <c r="A413" s="182" t="s">
        <v>3379</v>
      </c>
      <c r="B413" s="184" t="s">
        <v>3380</v>
      </c>
      <c r="C413" s="203" t="s">
        <v>2950</v>
      </c>
      <c r="D413" s="186" t="s">
        <v>2653</v>
      </c>
      <c r="E413" s="187" t="s">
        <v>2996</v>
      </c>
      <c r="F413" s="186" t="s">
        <v>2871</v>
      </c>
      <c r="G413" s="186" t="s">
        <v>2865</v>
      </c>
      <c r="H413" s="194">
        <v>7334625917</v>
      </c>
      <c r="I413" s="195" t="s">
        <v>2873</v>
      </c>
      <c r="J413" s="192" t="s">
        <v>2866</v>
      </c>
      <c r="K413" s="204" t="s">
        <v>2867</v>
      </c>
    </row>
    <row r="414" spans="1:11" ht="25">
      <c r="A414" s="182" t="s">
        <v>3381</v>
      </c>
      <c r="B414" s="184" t="s">
        <v>3382</v>
      </c>
      <c r="C414" s="185" t="s">
        <v>2653</v>
      </c>
      <c r="D414" s="186" t="s">
        <v>2653</v>
      </c>
      <c r="E414" s="187" t="s">
        <v>2522</v>
      </c>
      <c r="F414" s="186" t="s">
        <v>2864</v>
      </c>
      <c r="G414" s="189" t="s">
        <v>2799</v>
      </c>
      <c r="H414" s="194">
        <v>8586852705</v>
      </c>
      <c r="I414" s="195" t="s">
        <v>2873</v>
      </c>
      <c r="J414" s="192" t="s">
        <v>2866</v>
      </c>
      <c r="K414" s="204" t="s">
        <v>2867</v>
      </c>
    </row>
    <row r="415" spans="1:11" ht="25">
      <c r="A415" s="182" t="s">
        <v>3383</v>
      </c>
      <c r="B415" s="184" t="s">
        <v>1132</v>
      </c>
      <c r="C415" s="185" t="s">
        <v>2653</v>
      </c>
      <c r="D415" s="186" t="s">
        <v>2653</v>
      </c>
      <c r="E415" s="187" t="s">
        <v>2522</v>
      </c>
      <c r="F415" s="186" t="s">
        <v>2871</v>
      </c>
      <c r="G415" s="189" t="s">
        <v>2802</v>
      </c>
      <c r="H415" s="194">
        <v>915955331</v>
      </c>
      <c r="I415" s="195" t="s">
        <v>2873</v>
      </c>
      <c r="J415" s="192" t="s">
        <v>2866</v>
      </c>
      <c r="K415" s="204" t="s">
        <v>2867</v>
      </c>
    </row>
    <row r="416" spans="1:11" ht="14" customHeight="1">
      <c r="A416" s="182" t="s">
        <v>1334</v>
      </c>
      <c r="B416" s="184" t="s">
        <v>1332</v>
      </c>
      <c r="C416" s="185" t="s">
        <v>2653</v>
      </c>
      <c r="D416" s="186" t="s">
        <v>2653</v>
      </c>
      <c r="E416" s="187" t="s">
        <v>2522</v>
      </c>
      <c r="F416" s="186" t="s">
        <v>2864</v>
      </c>
      <c r="G416" s="189" t="s">
        <v>2793</v>
      </c>
      <c r="H416" s="194">
        <v>8274530468</v>
      </c>
      <c r="I416" s="195" t="s">
        <v>2873</v>
      </c>
      <c r="J416" s="192" t="s">
        <v>2866</v>
      </c>
      <c r="K416" s="204" t="s">
        <v>2867</v>
      </c>
    </row>
    <row r="417" spans="1:11" ht="21">
      <c r="A417" s="182" t="s">
        <v>3388</v>
      </c>
      <c r="B417" s="184" t="s">
        <v>3389</v>
      </c>
      <c r="C417" s="203" t="s">
        <v>2950</v>
      </c>
      <c r="D417" s="186" t="s">
        <v>2653</v>
      </c>
      <c r="E417" s="198" t="s">
        <v>2865</v>
      </c>
      <c r="F417" s="186" t="s">
        <v>2865</v>
      </c>
      <c r="G417" s="186" t="s">
        <v>2865</v>
      </c>
      <c r="H417" s="194">
        <v>6171424222</v>
      </c>
      <c r="I417" s="195" t="s">
        <v>2873</v>
      </c>
      <c r="J417" s="192" t="s">
        <v>2866</v>
      </c>
      <c r="K417" s="204" t="s">
        <v>2867</v>
      </c>
    </row>
    <row r="418" spans="1:11" ht="37.5">
      <c r="A418" s="182" t="s">
        <v>1625</v>
      </c>
      <c r="B418" s="184" t="s">
        <v>1623</v>
      </c>
      <c r="C418" s="185" t="s">
        <v>2653</v>
      </c>
      <c r="D418" s="186" t="s">
        <v>2653</v>
      </c>
      <c r="E418" s="187" t="s">
        <v>2527</v>
      </c>
      <c r="F418" s="186" t="s">
        <v>2864</v>
      </c>
      <c r="G418" s="189" t="s">
        <v>2791</v>
      </c>
      <c r="H418" s="194">
        <v>8178488150</v>
      </c>
      <c r="I418" s="195" t="s">
        <v>2873</v>
      </c>
      <c r="J418" s="192" t="s">
        <v>2866</v>
      </c>
      <c r="K418" s="204" t="s">
        <v>2867</v>
      </c>
    </row>
    <row r="419" spans="1:11" ht="21" customHeight="1">
      <c r="A419" s="182" t="s">
        <v>1326</v>
      </c>
      <c r="B419" s="184" t="s">
        <v>1324</v>
      </c>
      <c r="C419" s="185" t="s">
        <v>2653</v>
      </c>
      <c r="D419" s="186" t="s">
        <v>2653</v>
      </c>
      <c r="E419" s="187" t="s">
        <v>2522</v>
      </c>
      <c r="F419" s="186" t="s">
        <v>2864</v>
      </c>
      <c r="G419" s="189" t="s">
        <v>2793</v>
      </c>
      <c r="H419" s="194">
        <v>8545208079</v>
      </c>
      <c r="I419" s="195" t="s">
        <v>2873</v>
      </c>
      <c r="J419" s="192" t="s">
        <v>2866</v>
      </c>
      <c r="K419" s="204" t="s">
        <v>2867</v>
      </c>
    </row>
    <row r="420" spans="1:11" ht="37.5">
      <c r="A420" s="182" t="s">
        <v>1631</v>
      </c>
      <c r="B420" s="184" t="s">
        <v>1629</v>
      </c>
      <c r="C420" s="185" t="s">
        <v>2653</v>
      </c>
      <c r="D420" s="186" t="s">
        <v>2653</v>
      </c>
      <c r="E420" s="187" t="s">
        <v>2527</v>
      </c>
      <c r="F420" s="186" t="s">
        <v>2864</v>
      </c>
      <c r="G420" s="189" t="s">
        <v>2795</v>
      </c>
      <c r="H420" s="194">
        <v>6522187953</v>
      </c>
      <c r="I420" s="195" t="s">
        <v>2873</v>
      </c>
      <c r="J420" s="192" t="s">
        <v>2866</v>
      </c>
      <c r="K420" s="204" t="s">
        <v>2867</v>
      </c>
    </row>
    <row r="421" spans="1:11" ht="21">
      <c r="A421" s="182" t="s">
        <v>3390</v>
      </c>
      <c r="B421" s="184">
        <v>2613051089</v>
      </c>
      <c r="C421" s="185" t="s">
        <v>2653</v>
      </c>
      <c r="D421" s="186" t="s">
        <v>2653</v>
      </c>
      <c r="E421" s="187" t="s">
        <v>2522</v>
      </c>
      <c r="F421" s="186" t="s">
        <v>2871</v>
      </c>
      <c r="G421" s="189" t="s">
        <v>2797</v>
      </c>
      <c r="H421" s="194">
        <v>6019435392</v>
      </c>
      <c r="I421" s="195" t="s">
        <v>2873</v>
      </c>
      <c r="J421" s="192" t="s">
        <v>2866</v>
      </c>
      <c r="K421" s="204" t="s">
        <v>2867</v>
      </c>
    </row>
    <row r="422" spans="1:11" ht="21" customHeight="1">
      <c r="A422" s="182" t="s">
        <v>3671</v>
      </c>
      <c r="B422" s="184" t="s">
        <v>3672</v>
      </c>
      <c r="C422" s="203" t="s">
        <v>2950</v>
      </c>
      <c r="D422" s="186" t="s">
        <v>2653</v>
      </c>
      <c r="E422" s="187" t="s">
        <v>2522</v>
      </c>
      <c r="F422" s="186" t="s">
        <v>2864</v>
      </c>
      <c r="G422" s="189" t="s">
        <v>2789</v>
      </c>
      <c r="H422" s="194">
        <v>8810146455</v>
      </c>
      <c r="I422" s="195" t="s">
        <v>2873</v>
      </c>
      <c r="J422" s="192" t="s">
        <v>2866</v>
      </c>
      <c r="K422" s="204" t="s">
        <v>2867</v>
      </c>
    </row>
    <row r="423" spans="1:11" ht="37.5">
      <c r="A423" s="182" t="s">
        <v>3384</v>
      </c>
      <c r="B423" s="184" t="s">
        <v>3385</v>
      </c>
      <c r="C423" s="185" t="s">
        <v>2653</v>
      </c>
      <c r="D423" s="186" t="s">
        <v>2653</v>
      </c>
      <c r="E423" s="187" t="s">
        <v>2527</v>
      </c>
      <c r="F423" s="186" t="s">
        <v>2871</v>
      </c>
      <c r="G423" s="189" t="s">
        <v>2872</v>
      </c>
      <c r="H423" s="194">
        <v>8927114863</v>
      </c>
      <c r="I423" s="195" t="s">
        <v>2873</v>
      </c>
      <c r="J423" s="192" t="s">
        <v>2866</v>
      </c>
      <c r="K423" s="204" t="s">
        <v>2867</v>
      </c>
    </row>
    <row r="424" spans="1:11" ht="21">
      <c r="A424" s="182" t="s">
        <v>3673</v>
      </c>
      <c r="B424" s="184" t="s">
        <v>3674</v>
      </c>
      <c r="C424" s="203" t="s">
        <v>2950</v>
      </c>
      <c r="D424" s="186" t="s">
        <v>2653</v>
      </c>
      <c r="E424" s="198" t="s">
        <v>2865</v>
      </c>
      <c r="F424" s="186" t="s">
        <v>2865</v>
      </c>
      <c r="G424" s="186" t="s">
        <v>2865</v>
      </c>
      <c r="H424" s="194">
        <v>8775497881</v>
      </c>
      <c r="I424" s="195" t="s">
        <v>2873</v>
      </c>
      <c r="J424" s="192" t="s">
        <v>2866</v>
      </c>
      <c r="K424" s="204" t="s">
        <v>2867</v>
      </c>
    </row>
    <row r="425" spans="1:11" ht="21" customHeight="1">
      <c r="A425" s="182" t="s">
        <v>1637</v>
      </c>
      <c r="B425" s="184" t="s">
        <v>1635</v>
      </c>
      <c r="C425" s="185" t="s">
        <v>2653</v>
      </c>
      <c r="D425" s="186" t="s">
        <v>2653</v>
      </c>
      <c r="E425" s="187" t="s">
        <v>2527</v>
      </c>
      <c r="F425" s="186" t="s">
        <v>2864</v>
      </c>
      <c r="G425" s="189" t="s">
        <v>2792</v>
      </c>
      <c r="H425" s="194">
        <v>8313484680</v>
      </c>
      <c r="I425" s="195" t="s">
        <v>2873</v>
      </c>
      <c r="J425" s="192" t="s">
        <v>2866</v>
      </c>
      <c r="K425" s="204" t="s">
        <v>2867</v>
      </c>
    </row>
    <row r="426" spans="1:11" ht="16">
      <c r="A426" s="182" t="s">
        <v>3386</v>
      </c>
      <c r="B426" s="184">
        <v>2613051010</v>
      </c>
      <c r="C426" s="185" t="s">
        <v>2653</v>
      </c>
      <c r="D426" s="186" t="s">
        <v>2653</v>
      </c>
      <c r="E426" s="187" t="s">
        <v>2522</v>
      </c>
      <c r="F426" s="186" t="s">
        <v>2871</v>
      </c>
      <c r="G426" s="189" t="s">
        <v>2797</v>
      </c>
      <c r="H426" s="194">
        <v>723738544</v>
      </c>
      <c r="I426" s="195" t="s">
        <v>2873</v>
      </c>
      <c r="J426" s="192" t="s">
        <v>2866</v>
      </c>
      <c r="K426" s="204" t="s">
        <v>2867</v>
      </c>
    </row>
    <row r="427" spans="1:11" ht="37.5">
      <c r="A427" s="182" t="s">
        <v>3387</v>
      </c>
      <c r="B427" s="184" t="s">
        <v>1797</v>
      </c>
      <c r="C427" s="185" t="s">
        <v>2653</v>
      </c>
      <c r="D427" s="186" t="s">
        <v>2653</v>
      </c>
      <c r="E427" s="187" t="s">
        <v>2527</v>
      </c>
      <c r="F427" s="186" t="s">
        <v>2871</v>
      </c>
      <c r="G427" s="189" t="s">
        <v>2801</v>
      </c>
      <c r="H427" s="194">
        <v>8798072161</v>
      </c>
      <c r="I427" s="195" t="s">
        <v>2873</v>
      </c>
      <c r="J427" s="192" t="s">
        <v>2866</v>
      </c>
      <c r="K427" s="204" t="s">
        <v>2867</v>
      </c>
    </row>
    <row r="428" spans="1:11" ht="20" customHeight="1">
      <c r="A428" s="182" t="s">
        <v>3396</v>
      </c>
      <c r="B428" s="184" t="s">
        <v>3397</v>
      </c>
      <c r="C428" s="203" t="s">
        <v>2950</v>
      </c>
      <c r="D428" s="186" t="s">
        <v>2653</v>
      </c>
      <c r="E428" s="187" t="s">
        <v>2522</v>
      </c>
      <c r="F428" s="186" t="s">
        <v>2871</v>
      </c>
      <c r="G428" s="189" t="s">
        <v>2802</v>
      </c>
      <c r="H428" s="194">
        <v>8314370154</v>
      </c>
      <c r="I428" s="195" t="s">
        <v>2873</v>
      </c>
      <c r="J428" s="192" t="s">
        <v>2866</v>
      </c>
      <c r="K428" s="204" t="s">
        <v>2867</v>
      </c>
    </row>
    <row r="429" spans="1:11">
      <c r="A429" s="182" t="s">
        <v>3391</v>
      </c>
      <c r="B429" s="184" t="s">
        <v>3392</v>
      </c>
      <c r="C429" s="203" t="s">
        <v>2950</v>
      </c>
      <c r="D429" s="186" t="s">
        <v>2653</v>
      </c>
      <c r="E429" s="198" t="s">
        <v>2865</v>
      </c>
      <c r="F429" s="186" t="s">
        <v>2865</v>
      </c>
      <c r="G429" s="186" t="s">
        <v>2865</v>
      </c>
      <c r="H429" s="194">
        <v>8624725185</v>
      </c>
      <c r="I429" s="195" t="s">
        <v>2873</v>
      </c>
      <c r="J429" s="192" t="s">
        <v>2866</v>
      </c>
      <c r="K429" s="204" t="s">
        <v>2867</v>
      </c>
    </row>
    <row r="430" spans="1:11" ht="37.5">
      <c r="A430" s="182" t="s">
        <v>3393</v>
      </c>
      <c r="B430" s="184" t="s">
        <v>712</v>
      </c>
      <c r="C430" s="185" t="s">
        <v>2653</v>
      </c>
      <c r="D430" s="186" t="s">
        <v>2653</v>
      </c>
      <c r="E430" s="187" t="s">
        <v>2522</v>
      </c>
      <c r="F430" s="186" t="s">
        <v>2871</v>
      </c>
      <c r="G430" s="189" t="s">
        <v>2780</v>
      </c>
      <c r="H430" s="194">
        <v>8866875255</v>
      </c>
      <c r="I430" s="195" t="s">
        <v>2873</v>
      </c>
      <c r="J430" s="192" t="s">
        <v>2866</v>
      </c>
      <c r="K430" s="204" t="s">
        <v>2867</v>
      </c>
    </row>
    <row r="431" spans="1:11" ht="16" customHeight="1">
      <c r="A431" s="182" t="s">
        <v>3394</v>
      </c>
      <c r="B431" s="184" t="s">
        <v>3395</v>
      </c>
      <c r="C431" s="203" t="s">
        <v>2950</v>
      </c>
      <c r="D431" s="186" t="s">
        <v>2653</v>
      </c>
      <c r="E431" s="198" t="s">
        <v>2865</v>
      </c>
      <c r="F431" s="186" t="s">
        <v>2865</v>
      </c>
      <c r="G431" s="186" t="s">
        <v>2865</v>
      </c>
      <c r="H431" s="194">
        <v>7903622993</v>
      </c>
      <c r="I431" s="195" t="s">
        <v>2873</v>
      </c>
      <c r="J431" s="192" t="s">
        <v>2866</v>
      </c>
      <c r="K431" s="204" t="s">
        <v>2867</v>
      </c>
    </row>
    <row r="432" spans="1:11" ht="21">
      <c r="A432" s="182" t="s">
        <v>3398</v>
      </c>
      <c r="B432" s="184" t="s">
        <v>3399</v>
      </c>
      <c r="C432" s="189" t="s">
        <v>2894</v>
      </c>
      <c r="D432" s="200" t="s">
        <v>2881</v>
      </c>
      <c r="E432" s="198" t="s">
        <v>2865</v>
      </c>
      <c r="F432" s="186" t="s">
        <v>2865</v>
      </c>
      <c r="G432" s="186" t="s">
        <v>2865</v>
      </c>
      <c r="H432" s="194">
        <v>914913429</v>
      </c>
      <c r="I432" s="195" t="s">
        <v>2873</v>
      </c>
      <c r="J432" s="192" t="s">
        <v>2866</v>
      </c>
      <c r="K432" s="204" t="s">
        <v>2867</v>
      </c>
    </row>
    <row r="433" spans="1:11" ht="21">
      <c r="A433" s="182" t="s">
        <v>3446</v>
      </c>
      <c r="B433" s="184" t="s">
        <v>3447</v>
      </c>
      <c r="C433" s="203" t="s">
        <v>2950</v>
      </c>
      <c r="D433" s="200" t="s">
        <v>2881</v>
      </c>
      <c r="E433" s="198" t="s">
        <v>2865</v>
      </c>
      <c r="F433" s="186" t="s">
        <v>2865</v>
      </c>
      <c r="G433" s="186" t="s">
        <v>2865</v>
      </c>
      <c r="H433" s="194">
        <v>6130931306</v>
      </c>
      <c r="I433" s="195" t="s">
        <v>2873</v>
      </c>
      <c r="J433" s="192" t="s">
        <v>2866</v>
      </c>
      <c r="K433" s="204" t="s">
        <v>2867</v>
      </c>
    </row>
    <row r="434" spans="1:11" ht="21" customHeight="1">
      <c r="A434" s="182" t="s">
        <v>3400</v>
      </c>
      <c r="B434" s="184" t="s">
        <v>3401</v>
      </c>
      <c r="C434" s="185" t="s">
        <v>2653</v>
      </c>
      <c r="D434" s="186" t="s">
        <v>2653</v>
      </c>
      <c r="E434" s="187" t="s">
        <v>2522</v>
      </c>
      <c r="F434" s="186" t="s">
        <v>2864</v>
      </c>
      <c r="G434" s="189" t="s">
        <v>2799</v>
      </c>
      <c r="H434" s="194">
        <v>7128496013</v>
      </c>
      <c r="I434" s="195" t="s">
        <v>2873</v>
      </c>
      <c r="J434" s="192" t="s">
        <v>2866</v>
      </c>
      <c r="K434" s="204" t="s">
        <v>2867</v>
      </c>
    </row>
    <row r="435" spans="1:11" ht="25">
      <c r="A435" s="182" t="s">
        <v>1122</v>
      </c>
      <c r="B435" s="184" t="s">
        <v>1120</v>
      </c>
      <c r="C435" s="185" t="s">
        <v>2892</v>
      </c>
      <c r="D435" s="186" t="s">
        <v>2653</v>
      </c>
      <c r="E435" s="187" t="s">
        <v>2522</v>
      </c>
      <c r="F435" s="186" t="s">
        <v>2871</v>
      </c>
      <c r="G435" s="189" t="s">
        <v>2781</v>
      </c>
      <c r="H435" s="194">
        <v>924516227</v>
      </c>
      <c r="I435" s="195" t="s">
        <v>2873</v>
      </c>
      <c r="J435" s="192" t="s">
        <v>2866</v>
      </c>
      <c r="K435" s="204" t="s">
        <v>2867</v>
      </c>
    </row>
    <row r="436" spans="1:11" ht="37.5">
      <c r="A436" s="182" t="s">
        <v>3402</v>
      </c>
      <c r="B436" s="184" t="s">
        <v>824</v>
      </c>
      <c r="C436" s="185" t="s">
        <v>2653</v>
      </c>
      <c r="D436" s="186" t="s">
        <v>2653</v>
      </c>
      <c r="E436" s="187" t="s">
        <v>2522</v>
      </c>
      <c r="F436" s="186" t="s">
        <v>2864</v>
      </c>
      <c r="G436" s="189" t="s">
        <v>2789</v>
      </c>
      <c r="H436" s="194">
        <v>5528692993</v>
      </c>
      <c r="I436" s="195" t="s">
        <v>2873</v>
      </c>
      <c r="J436" s="192" t="s">
        <v>2866</v>
      </c>
      <c r="K436" s="204" t="s">
        <v>2867</v>
      </c>
    </row>
    <row r="437" spans="1:11" ht="21" customHeight="1">
      <c r="A437" s="182" t="s">
        <v>2805</v>
      </c>
      <c r="B437" s="184" t="s">
        <v>3448</v>
      </c>
      <c r="C437" s="189" t="s">
        <v>2894</v>
      </c>
      <c r="D437" s="186" t="s">
        <v>2653</v>
      </c>
      <c r="E437" s="198" t="s">
        <v>2865</v>
      </c>
      <c r="F437" s="186" t="s">
        <v>2865</v>
      </c>
      <c r="G437" s="186" t="s">
        <v>2865</v>
      </c>
      <c r="H437" s="194">
        <v>5351132675</v>
      </c>
      <c r="I437" s="195" t="s">
        <v>2873</v>
      </c>
      <c r="J437" s="192" t="s">
        <v>2866</v>
      </c>
      <c r="K437" s="204" t="s">
        <v>2867</v>
      </c>
    </row>
    <row r="438" spans="1:11" ht="25">
      <c r="A438" s="182" t="s">
        <v>3449</v>
      </c>
      <c r="B438" s="184" t="s">
        <v>3450</v>
      </c>
      <c r="C438" s="189" t="s">
        <v>2894</v>
      </c>
      <c r="D438" s="186" t="s">
        <v>2653</v>
      </c>
      <c r="E438" s="198" t="s">
        <v>2865</v>
      </c>
      <c r="F438" s="186" t="s">
        <v>2865</v>
      </c>
      <c r="G438" s="186" t="s">
        <v>2865</v>
      </c>
      <c r="H438" s="194">
        <v>706812595</v>
      </c>
      <c r="I438" s="195" t="s">
        <v>2873</v>
      </c>
      <c r="J438" s="192" t="s">
        <v>2866</v>
      </c>
      <c r="K438" s="204" t="s">
        <v>2867</v>
      </c>
    </row>
    <row r="439" spans="1:11" ht="31.5">
      <c r="A439" s="182" t="s">
        <v>2769</v>
      </c>
      <c r="B439" s="184" t="s">
        <v>3403</v>
      </c>
      <c r="C439" s="189" t="s">
        <v>2894</v>
      </c>
      <c r="D439" s="200" t="s">
        <v>2881</v>
      </c>
      <c r="E439" s="198" t="s">
        <v>2865</v>
      </c>
      <c r="F439" s="186" t="s">
        <v>2865</v>
      </c>
      <c r="G439" s="186" t="s">
        <v>2865</v>
      </c>
      <c r="H439" s="194">
        <v>1258184944</v>
      </c>
      <c r="I439" s="195" t="s">
        <v>2873</v>
      </c>
      <c r="J439" s="192" t="s">
        <v>2866</v>
      </c>
      <c r="K439" s="204" t="s">
        <v>2867</v>
      </c>
    </row>
    <row r="440" spans="1:11" ht="21">
      <c r="A440" s="182" t="s">
        <v>3451</v>
      </c>
      <c r="B440" s="184" t="s">
        <v>3452</v>
      </c>
      <c r="C440" s="203" t="s">
        <v>2950</v>
      </c>
      <c r="D440" s="186" t="s">
        <v>2653</v>
      </c>
      <c r="E440" s="187" t="s">
        <v>2522</v>
      </c>
      <c r="F440" s="186" t="s">
        <v>2864</v>
      </c>
      <c r="G440" s="189" t="s">
        <v>2800</v>
      </c>
      <c r="H440" s="194">
        <v>6940774549</v>
      </c>
      <c r="I440" s="195" t="s">
        <v>2873</v>
      </c>
      <c r="J440" s="192" t="s">
        <v>2866</v>
      </c>
      <c r="K440" s="204" t="s">
        <v>2867</v>
      </c>
    </row>
    <row r="441" spans="1:11" ht="37.5">
      <c r="A441" s="182" t="s">
        <v>3404</v>
      </c>
      <c r="B441" s="184" t="s">
        <v>3405</v>
      </c>
      <c r="C441" s="185" t="s">
        <v>2653</v>
      </c>
      <c r="D441" s="186" t="s">
        <v>2653</v>
      </c>
      <c r="E441" s="187" t="s">
        <v>2527</v>
      </c>
      <c r="F441" s="186" t="s">
        <v>2864</v>
      </c>
      <c r="G441" s="189" t="s">
        <v>2790</v>
      </c>
      <c r="H441" s="194">
        <v>8863476883</v>
      </c>
      <c r="I441" s="195" t="s">
        <v>2873</v>
      </c>
      <c r="J441" s="192" t="s">
        <v>2866</v>
      </c>
      <c r="K441" s="204" t="s">
        <v>2867</v>
      </c>
    </row>
    <row r="442" spans="1:11" ht="16">
      <c r="A442" s="182" t="s">
        <v>3453</v>
      </c>
      <c r="B442" s="184" t="s">
        <v>3454</v>
      </c>
      <c r="C442" s="189" t="s">
        <v>2894</v>
      </c>
      <c r="D442" s="200" t="s">
        <v>2881</v>
      </c>
      <c r="E442" s="198" t="s">
        <v>2865</v>
      </c>
      <c r="F442" s="186" t="s">
        <v>2865</v>
      </c>
      <c r="G442" s="186" t="s">
        <v>2865</v>
      </c>
      <c r="H442" s="194">
        <v>1564502496</v>
      </c>
      <c r="I442" s="195" t="s">
        <v>2873</v>
      </c>
      <c r="J442" s="192" t="s">
        <v>2866</v>
      </c>
      <c r="K442" s="204" t="s">
        <v>2867</v>
      </c>
    </row>
    <row r="443" spans="1:11" ht="21" customHeight="1">
      <c r="A443" s="182" t="s">
        <v>1643</v>
      </c>
      <c r="B443" s="184" t="s">
        <v>1641</v>
      </c>
      <c r="C443" s="185" t="s">
        <v>2653</v>
      </c>
      <c r="D443" s="186" t="s">
        <v>2653</v>
      </c>
      <c r="E443" s="187" t="s">
        <v>2527</v>
      </c>
      <c r="F443" s="186" t="s">
        <v>2864</v>
      </c>
      <c r="G443" s="189" t="s">
        <v>2788</v>
      </c>
      <c r="H443" s="194">
        <v>5058273568</v>
      </c>
      <c r="I443" s="195" t="s">
        <v>2873</v>
      </c>
      <c r="J443" s="192" t="s">
        <v>2866</v>
      </c>
      <c r="K443" s="204" t="s">
        <v>2867</v>
      </c>
    </row>
    <row r="444" spans="1:11" ht="21">
      <c r="A444" s="182" t="s">
        <v>1294</v>
      </c>
      <c r="B444" s="184">
        <v>2613051068</v>
      </c>
      <c r="C444" s="185" t="s">
        <v>2653</v>
      </c>
      <c r="D444" s="186" t="s">
        <v>2653</v>
      </c>
      <c r="E444" s="187" t="s">
        <v>2522</v>
      </c>
      <c r="F444" s="186" t="s">
        <v>2864</v>
      </c>
      <c r="G444" s="189" t="s">
        <v>2800</v>
      </c>
      <c r="H444" s="194">
        <v>8893501725</v>
      </c>
      <c r="I444" s="201" t="s">
        <v>2882</v>
      </c>
      <c r="J444" s="192" t="s">
        <v>2866</v>
      </c>
      <c r="K444" s="204" t="s">
        <v>2867</v>
      </c>
    </row>
    <row r="445" spans="1:11" ht="21">
      <c r="A445" s="182" t="s">
        <v>3675</v>
      </c>
      <c r="B445" s="184" t="s">
        <v>3676</v>
      </c>
      <c r="C445" s="203" t="s">
        <v>2950</v>
      </c>
      <c r="D445" s="186" t="s">
        <v>2653</v>
      </c>
      <c r="E445" s="198" t="s">
        <v>2865</v>
      </c>
      <c r="F445" s="186" t="s">
        <v>2865</v>
      </c>
      <c r="G445" s="186" t="s">
        <v>2865</v>
      </c>
      <c r="H445" s="194">
        <v>8826612460</v>
      </c>
      <c r="I445" s="195" t="s">
        <v>2873</v>
      </c>
      <c r="J445" s="192" t="s">
        <v>2866</v>
      </c>
      <c r="K445" s="204" t="s">
        <v>2867</v>
      </c>
    </row>
    <row r="446" spans="1:11" ht="25">
      <c r="A446" s="182" t="s">
        <v>1094</v>
      </c>
      <c r="B446" s="184" t="s">
        <v>1092</v>
      </c>
      <c r="C446" s="185" t="s">
        <v>3086</v>
      </c>
      <c r="D446" s="186" t="s">
        <v>2653</v>
      </c>
      <c r="E446" s="187" t="s">
        <v>2522</v>
      </c>
      <c r="F446" s="186" t="s">
        <v>2864</v>
      </c>
      <c r="G446" s="189" t="s">
        <v>2789</v>
      </c>
      <c r="H446" s="194">
        <v>6786140991</v>
      </c>
      <c r="I446" s="195" t="s">
        <v>2873</v>
      </c>
      <c r="J446" s="192" t="s">
        <v>2866</v>
      </c>
      <c r="K446" s="204" t="s">
        <v>2867</v>
      </c>
    </row>
    <row r="447" spans="1:11" ht="37.5">
      <c r="A447" s="182" t="s">
        <v>3406</v>
      </c>
      <c r="B447" s="184" t="s">
        <v>3407</v>
      </c>
      <c r="C447" s="197" t="s">
        <v>2878</v>
      </c>
      <c r="D447" s="186" t="s">
        <v>2653</v>
      </c>
      <c r="E447" s="198" t="s">
        <v>2865</v>
      </c>
      <c r="F447" s="186" t="s">
        <v>2865</v>
      </c>
      <c r="G447" s="186" t="s">
        <v>2865</v>
      </c>
      <c r="H447" s="194">
        <v>6214017215</v>
      </c>
      <c r="I447" s="195" t="s">
        <v>2873</v>
      </c>
      <c r="J447" s="192" t="s">
        <v>2866</v>
      </c>
      <c r="K447" s="204" t="s">
        <v>2867</v>
      </c>
    </row>
    <row r="448" spans="1:11" ht="21">
      <c r="A448" s="182" t="s">
        <v>3408</v>
      </c>
      <c r="B448" s="184" t="s">
        <v>3409</v>
      </c>
      <c r="C448" s="203" t="s">
        <v>2950</v>
      </c>
      <c r="D448" s="186" t="s">
        <v>2653</v>
      </c>
      <c r="E448" s="198" t="s">
        <v>2865</v>
      </c>
      <c r="F448" s="186" t="s">
        <v>2865</v>
      </c>
      <c r="G448" s="186" t="s">
        <v>2865</v>
      </c>
      <c r="H448" s="194">
        <v>7551333946</v>
      </c>
      <c r="I448" s="195" t="s">
        <v>2873</v>
      </c>
      <c r="J448" s="192" t="s">
        <v>2866</v>
      </c>
      <c r="K448" s="204" t="s">
        <v>2867</v>
      </c>
    </row>
    <row r="449" spans="1:11" ht="21" customHeight="1">
      <c r="A449" s="182" t="s">
        <v>3410</v>
      </c>
      <c r="B449" s="184">
        <v>2613050855</v>
      </c>
      <c r="C449" s="185" t="s">
        <v>2653</v>
      </c>
      <c r="D449" s="186" t="s">
        <v>2653</v>
      </c>
      <c r="E449" s="187" t="s">
        <v>2527</v>
      </c>
      <c r="F449" s="186" t="s">
        <v>2864</v>
      </c>
      <c r="G449" s="189" t="s">
        <v>2788</v>
      </c>
      <c r="H449" s="194">
        <v>7125048392</v>
      </c>
      <c r="I449" s="195" t="s">
        <v>2873</v>
      </c>
      <c r="J449" s="192" t="s">
        <v>2866</v>
      </c>
      <c r="K449" s="204" t="s">
        <v>2867</v>
      </c>
    </row>
    <row r="450" spans="1:11" ht="37.5">
      <c r="A450" s="182" t="s">
        <v>1649</v>
      </c>
      <c r="B450" s="184" t="s">
        <v>1647</v>
      </c>
      <c r="C450" s="185" t="s">
        <v>2653</v>
      </c>
      <c r="D450" s="186" t="s">
        <v>2653</v>
      </c>
      <c r="E450" s="187" t="s">
        <v>2527</v>
      </c>
      <c r="F450" s="186" t="s">
        <v>2864</v>
      </c>
      <c r="G450" s="189" t="s">
        <v>2788</v>
      </c>
      <c r="H450" s="194">
        <v>8073946838</v>
      </c>
      <c r="I450" s="195" t="s">
        <v>2873</v>
      </c>
      <c r="J450" s="192" t="s">
        <v>2866</v>
      </c>
      <c r="K450" s="204" t="s">
        <v>2867</v>
      </c>
    </row>
    <row r="451" spans="1:11" ht="37.5">
      <c r="A451" s="182" t="s">
        <v>3411</v>
      </c>
      <c r="B451" s="184" t="s">
        <v>3412</v>
      </c>
      <c r="C451" s="185" t="s">
        <v>2653</v>
      </c>
      <c r="D451" s="186" t="s">
        <v>2653</v>
      </c>
      <c r="E451" s="187" t="s">
        <v>2527</v>
      </c>
      <c r="F451" s="186" t="s">
        <v>2864</v>
      </c>
      <c r="G451" s="189" t="s">
        <v>2791</v>
      </c>
      <c r="H451" s="194">
        <v>8673851404</v>
      </c>
      <c r="I451" s="195" t="s">
        <v>2873</v>
      </c>
      <c r="J451" s="192" t="s">
        <v>2866</v>
      </c>
      <c r="K451" s="204" t="s">
        <v>2867</v>
      </c>
    </row>
    <row r="452" spans="1:11" ht="21" customHeight="1">
      <c r="A452" s="182" t="s">
        <v>3413</v>
      </c>
      <c r="B452" s="184" t="s">
        <v>1138</v>
      </c>
      <c r="C452" s="185" t="s">
        <v>2653</v>
      </c>
      <c r="D452" s="186" t="s">
        <v>2653</v>
      </c>
      <c r="E452" s="187" t="s">
        <v>2522</v>
      </c>
      <c r="F452" s="186" t="s">
        <v>2871</v>
      </c>
      <c r="G452" s="189" t="s">
        <v>2802</v>
      </c>
      <c r="H452" s="194">
        <v>6002705472</v>
      </c>
      <c r="I452" s="195" t="s">
        <v>2873</v>
      </c>
      <c r="J452" s="192" t="s">
        <v>2866</v>
      </c>
      <c r="K452" s="204" t="s">
        <v>2867</v>
      </c>
    </row>
    <row r="453" spans="1:11">
      <c r="A453" s="182" t="s">
        <v>3414</v>
      </c>
      <c r="B453" s="184" t="s">
        <v>3415</v>
      </c>
      <c r="C453" s="203" t="s">
        <v>2950</v>
      </c>
      <c r="D453" s="186" t="s">
        <v>2653</v>
      </c>
      <c r="E453" s="198" t="s">
        <v>2865</v>
      </c>
      <c r="F453" s="186" t="s">
        <v>2865</v>
      </c>
      <c r="G453" s="186" t="s">
        <v>2865</v>
      </c>
      <c r="H453" s="194">
        <v>7450716825</v>
      </c>
      <c r="I453" s="195" t="s">
        <v>2873</v>
      </c>
      <c r="J453" s="192" t="s">
        <v>2866</v>
      </c>
      <c r="K453" s="204" t="s">
        <v>2867</v>
      </c>
    </row>
    <row r="454" spans="1:11" ht="25">
      <c r="A454" s="182" t="s">
        <v>3416</v>
      </c>
      <c r="B454" s="184" t="s">
        <v>474</v>
      </c>
      <c r="C454" s="185" t="s">
        <v>2653</v>
      </c>
      <c r="D454" s="186" t="s">
        <v>2653</v>
      </c>
      <c r="E454" s="187" t="s">
        <v>2522</v>
      </c>
      <c r="F454" s="186" t="s">
        <v>2871</v>
      </c>
      <c r="G454" s="189" t="s">
        <v>2802</v>
      </c>
      <c r="H454" s="194">
        <v>8851804777</v>
      </c>
      <c r="I454" s="195" t="s">
        <v>2873</v>
      </c>
      <c r="J454" s="192" t="s">
        <v>2866</v>
      </c>
      <c r="K454" s="204" t="s">
        <v>2867</v>
      </c>
    </row>
    <row r="455" spans="1:11" ht="25">
      <c r="A455" s="182" t="s">
        <v>3455</v>
      </c>
      <c r="B455" s="184" t="s">
        <v>3456</v>
      </c>
      <c r="C455" s="203" t="s">
        <v>2950</v>
      </c>
      <c r="D455" s="186" t="s">
        <v>2653</v>
      </c>
      <c r="E455" s="187" t="s">
        <v>2522</v>
      </c>
      <c r="F455" s="186" t="s">
        <v>2871</v>
      </c>
      <c r="G455" s="186" t="s">
        <v>2865</v>
      </c>
      <c r="H455" s="194">
        <v>8325804487</v>
      </c>
      <c r="I455" s="195" t="s">
        <v>2873</v>
      </c>
      <c r="J455" s="192" t="s">
        <v>2866</v>
      </c>
      <c r="K455" s="204" t="s">
        <v>2867</v>
      </c>
    </row>
    <row r="456" spans="1:11" ht="25">
      <c r="A456" s="182" t="s">
        <v>3417</v>
      </c>
      <c r="B456" s="184" t="s">
        <v>391</v>
      </c>
      <c r="C456" s="185" t="s">
        <v>2892</v>
      </c>
      <c r="D456" s="186" t="s">
        <v>2653</v>
      </c>
      <c r="E456" s="187" t="s">
        <v>2522</v>
      </c>
      <c r="F456" s="186" t="s">
        <v>2864</v>
      </c>
      <c r="G456" s="189" t="s">
        <v>2769</v>
      </c>
      <c r="H456" s="194">
        <v>1986015049</v>
      </c>
      <c r="I456" s="195" t="s">
        <v>2873</v>
      </c>
      <c r="J456" s="192" t="s">
        <v>2866</v>
      </c>
      <c r="K456" s="204" t="s">
        <v>2867</v>
      </c>
    </row>
    <row r="457" spans="1:11" ht="16">
      <c r="A457" s="182" t="s">
        <v>3418</v>
      </c>
      <c r="B457" s="184">
        <v>2613051040</v>
      </c>
      <c r="C457" s="185" t="s">
        <v>2653</v>
      </c>
      <c r="D457" s="186" t="s">
        <v>2653</v>
      </c>
      <c r="E457" s="187" t="s">
        <v>2522</v>
      </c>
      <c r="F457" s="186" t="s">
        <v>2871</v>
      </c>
      <c r="G457" s="189" t="s">
        <v>2797</v>
      </c>
      <c r="H457" s="194">
        <v>8847519694</v>
      </c>
      <c r="I457" s="195" t="s">
        <v>2873</v>
      </c>
      <c r="J457" s="192" t="s">
        <v>2866</v>
      </c>
      <c r="K457" s="204" t="s">
        <v>2867</v>
      </c>
    </row>
    <row r="458" spans="1:11" ht="14" customHeight="1">
      <c r="A458" s="182" t="s">
        <v>3419</v>
      </c>
      <c r="B458" s="184" t="s">
        <v>1144</v>
      </c>
      <c r="C458" s="185" t="s">
        <v>2653</v>
      </c>
      <c r="D458" s="186" t="s">
        <v>2653</v>
      </c>
      <c r="E458" s="187" t="s">
        <v>2522</v>
      </c>
      <c r="F458" s="186" t="s">
        <v>2871</v>
      </c>
      <c r="G458" s="189" t="s">
        <v>2802</v>
      </c>
      <c r="H458" s="194">
        <v>8977735851</v>
      </c>
      <c r="I458" s="195" t="s">
        <v>2873</v>
      </c>
      <c r="J458" s="192" t="s">
        <v>2866</v>
      </c>
      <c r="K458" s="204" t="s">
        <v>2867</v>
      </c>
    </row>
    <row r="459" spans="1:11" ht="37.5">
      <c r="A459" s="182" t="s">
        <v>1655</v>
      </c>
      <c r="B459" s="184" t="s">
        <v>1653</v>
      </c>
      <c r="C459" s="185" t="s">
        <v>2653</v>
      </c>
      <c r="D459" s="186" t="s">
        <v>2653</v>
      </c>
      <c r="E459" s="187" t="s">
        <v>2527</v>
      </c>
      <c r="F459" s="186" t="s">
        <v>2864</v>
      </c>
      <c r="G459" s="189" t="s">
        <v>2788</v>
      </c>
      <c r="H459" s="194">
        <v>7776311527</v>
      </c>
      <c r="I459" s="195" t="s">
        <v>2873</v>
      </c>
      <c r="J459" s="192" t="s">
        <v>2866</v>
      </c>
      <c r="K459" s="204" t="s">
        <v>2867</v>
      </c>
    </row>
    <row r="460" spans="1:11" ht="16">
      <c r="A460" s="182" t="s">
        <v>3457</v>
      </c>
      <c r="B460" s="184" t="s">
        <v>3458</v>
      </c>
      <c r="C460" s="189" t="s">
        <v>2894</v>
      </c>
      <c r="D460" s="200" t="s">
        <v>2881</v>
      </c>
      <c r="E460" s="198" t="s">
        <v>2865</v>
      </c>
      <c r="F460" s="186" t="s">
        <v>2865</v>
      </c>
      <c r="G460" s="186" t="s">
        <v>2865</v>
      </c>
      <c r="H460" s="194">
        <v>613105892</v>
      </c>
      <c r="I460" s="195" t="s">
        <v>2873</v>
      </c>
      <c r="J460" s="192" t="s">
        <v>2866</v>
      </c>
      <c r="K460" s="204" t="s">
        <v>2867</v>
      </c>
    </row>
    <row r="461" spans="1:11" ht="16" customHeight="1">
      <c r="A461" s="182" t="s">
        <v>3459</v>
      </c>
      <c r="B461" s="184" t="s">
        <v>3460</v>
      </c>
      <c r="C461" s="203" t="s">
        <v>2950</v>
      </c>
      <c r="D461" s="186" t="s">
        <v>2653</v>
      </c>
      <c r="E461" s="198" t="s">
        <v>2865</v>
      </c>
      <c r="F461" s="186" t="s">
        <v>2865</v>
      </c>
      <c r="G461" s="186" t="s">
        <v>2865</v>
      </c>
      <c r="H461" s="194">
        <v>8256627879</v>
      </c>
      <c r="I461" s="195" t="s">
        <v>2873</v>
      </c>
      <c r="J461" s="192" t="s">
        <v>2866</v>
      </c>
      <c r="K461" s="204" t="s">
        <v>2867</v>
      </c>
    </row>
    <row r="462" spans="1:11" ht="31.5">
      <c r="A462" s="182" t="s">
        <v>2784</v>
      </c>
      <c r="B462" s="184" t="s">
        <v>3420</v>
      </c>
      <c r="C462" s="189" t="s">
        <v>2894</v>
      </c>
      <c r="D462" s="200" t="s">
        <v>2881</v>
      </c>
      <c r="E462" s="198" t="s">
        <v>2865</v>
      </c>
      <c r="F462" s="186" t="s">
        <v>2865</v>
      </c>
      <c r="G462" s="186" t="s">
        <v>2865</v>
      </c>
      <c r="H462" s="194">
        <v>8978001986</v>
      </c>
      <c r="I462" s="195" t="s">
        <v>2873</v>
      </c>
      <c r="J462" s="192" t="s">
        <v>2866</v>
      </c>
      <c r="K462" s="204" t="s">
        <v>2867</v>
      </c>
    </row>
    <row r="463" spans="1:11" ht="37.5">
      <c r="A463" s="182" t="s">
        <v>3421</v>
      </c>
      <c r="B463" s="184" t="s">
        <v>3422</v>
      </c>
      <c r="C463" s="185" t="s">
        <v>2653</v>
      </c>
      <c r="D463" s="186" t="s">
        <v>2653</v>
      </c>
      <c r="E463" s="187" t="s">
        <v>2527</v>
      </c>
      <c r="F463" s="186" t="s">
        <v>2871</v>
      </c>
      <c r="G463" s="189" t="s">
        <v>2777</v>
      </c>
      <c r="H463" s="194">
        <v>826759613</v>
      </c>
      <c r="I463" s="195" t="s">
        <v>2873</v>
      </c>
      <c r="J463" s="192" t="s">
        <v>2866</v>
      </c>
      <c r="K463" s="204" t="s">
        <v>2867</v>
      </c>
    </row>
    <row r="464" spans="1:11" ht="25">
      <c r="A464" s="182" t="s">
        <v>3461</v>
      </c>
      <c r="B464" s="184" t="s">
        <v>3462</v>
      </c>
      <c r="C464" s="203" t="s">
        <v>2950</v>
      </c>
      <c r="D464" s="186" t="s">
        <v>2653</v>
      </c>
      <c r="E464" s="187" t="s">
        <v>2522</v>
      </c>
      <c r="F464" s="186" t="s">
        <v>2871</v>
      </c>
      <c r="G464" s="186" t="s">
        <v>2865</v>
      </c>
      <c r="H464" s="194">
        <v>5993314504</v>
      </c>
      <c r="I464" s="201" t="s">
        <v>2882</v>
      </c>
      <c r="J464" s="192" t="s">
        <v>2866</v>
      </c>
      <c r="K464" s="204" t="s">
        <v>2867</v>
      </c>
    </row>
    <row r="465" spans="1:11" ht="16">
      <c r="A465" s="182" t="s">
        <v>3423</v>
      </c>
      <c r="B465" s="184">
        <v>2613051407</v>
      </c>
      <c r="C465" s="185" t="s">
        <v>2653</v>
      </c>
      <c r="D465" s="186" t="s">
        <v>2653</v>
      </c>
      <c r="E465" s="187" t="s">
        <v>2522</v>
      </c>
      <c r="F465" s="186" t="s">
        <v>2871</v>
      </c>
      <c r="G465" s="186" t="s">
        <v>2865</v>
      </c>
      <c r="H465" s="194">
        <v>8222290302</v>
      </c>
      <c r="I465" s="195" t="s">
        <v>2873</v>
      </c>
      <c r="J465" s="192" t="s">
        <v>2866</v>
      </c>
      <c r="K465" s="204" t="s">
        <v>2867</v>
      </c>
    </row>
    <row r="466" spans="1:11">
      <c r="A466" s="182" t="s">
        <v>521</v>
      </c>
      <c r="B466" s="184" t="s">
        <v>3463</v>
      </c>
      <c r="C466" s="185" t="s">
        <v>2653</v>
      </c>
      <c r="D466" s="186" t="s">
        <v>2653</v>
      </c>
      <c r="E466" s="198" t="s">
        <v>2865</v>
      </c>
      <c r="F466" s="186" t="s">
        <v>2865</v>
      </c>
      <c r="G466" s="186" t="s">
        <v>2865</v>
      </c>
      <c r="H466" s="194">
        <v>1242055029</v>
      </c>
      <c r="I466" s="195" t="s">
        <v>2873</v>
      </c>
      <c r="J466" s="192" t="s">
        <v>2866</v>
      </c>
      <c r="K466" s="204" t="s">
        <v>2867</v>
      </c>
    </row>
    <row r="467" spans="1:11" ht="16" customHeight="1">
      <c r="A467" s="182" t="s">
        <v>1661</v>
      </c>
      <c r="B467" s="184" t="s">
        <v>1659</v>
      </c>
      <c r="C467" s="185" t="s">
        <v>2653</v>
      </c>
      <c r="D467" s="186" t="s">
        <v>2653</v>
      </c>
      <c r="E467" s="187" t="s">
        <v>2527</v>
      </c>
      <c r="F467" s="186" t="s">
        <v>2864</v>
      </c>
      <c r="G467" s="189" t="s">
        <v>2788</v>
      </c>
      <c r="H467" s="194">
        <v>8414492172</v>
      </c>
      <c r="I467" s="195" t="s">
        <v>2873</v>
      </c>
      <c r="J467" s="192" t="s">
        <v>2866</v>
      </c>
      <c r="K467" s="204" t="s">
        <v>2867</v>
      </c>
    </row>
    <row r="468" spans="1:11" ht="37.5">
      <c r="A468" s="182" t="s">
        <v>3424</v>
      </c>
      <c r="B468" s="184" t="s">
        <v>3425</v>
      </c>
      <c r="C468" s="185" t="s">
        <v>2653</v>
      </c>
      <c r="D468" s="186" t="s">
        <v>2653</v>
      </c>
      <c r="E468" s="187" t="s">
        <v>2522</v>
      </c>
      <c r="F468" s="186" t="s">
        <v>2871</v>
      </c>
      <c r="G468" s="189" t="s">
        <v>2779</v>
      </c>
      <c r="H468" s="194">
        <v>8581764101</v>
      </c>
      <c r="I468" s="195" t="s">
        <v>2873</v>
      </c>
      <c r="J468" s="192" t="s">
        <v>2866</v>
      </c>
      <c r="K468" s="204" t="s">
        <v>2867</v>
      </c>
    </row>
    <row r="469" spans="1:11" ht="21">
      <c r="A469" s="182" t="s">
        <v>3426</v>
      </c>
      <c r="B469" s="184" t="s">
        <v>3427</v>
      </c>
      <c r="C469" s="203" t="s">
        <v>2950</v>
      </c>
      <c r="D469" s="186" t="s">
        <v>2653</v>
      </c>
      <c r="E469" s="198" t="s">
        <v>2865</v>
      </c>
      <c r="F469" s="186" t="s">
        <v>2865</v>
      </c>
      <c r="G469" s="186" t="s">
        <v>2865</v>
      </c>
      <c r="H469" s="194">
        <v>8803616502</v>
      </c>
      <c r="I469" s="195" t="s">
        <v>2873</v>
      </c>
      <c r="J469" s="192" t="s">
        <v>2866</v>
      </c>
      <c r="K469" s="204" t="s">
        <v>2867</v>
      </c>
    </row>
    <row r="470" spans="1:11">
      <c r="A470" s="182" t="s">
        <v>3464</v>
      </c>
      <c r="B470" s="184" t="s">
        <v>3465</v>
      </c>
      <c r="C470" s="203" t="s">
        <v>2950</v>
      </c>
      <c r="D470" s="186" t="s">
        <v>2653</v>
      </c>
      <c r="E470" s="198" t="s">
        <v>2865</v>
      </c>
      <c r="F470" s="186" t="s">
        <v>2865</v>
      </c>
      <c r="G470" s="186" t="s">
        <v>2865</v>
      </c>
      <c r="H470" s="194">
        <v>8654189688</v>
      </c>
      <c r="I470" s="195" t="s">
        <v>2873</v>
      </c>
      <c r="J470" s="192" t="s">
        <v>2866</v>
      </c>
      <c r="K470" s="204" t="s">
        <v>2867</v>
      </c>
    </row>
    <row r="471" spans="1:11">
      <c r="A471" s="182" t="s">
        <v>3464</v>
      </c>
      <c r="B471" s="184" t="s">
        <v>3466</v>
      </c>
      <c r="C471" s="203" t="s">
        <v>2950</v>
      </c>
      <c r="D471" s="186" t="s">
        <v>2653</v>
      </c>
      <c r="E471" s="198" t="s">
        <v>2865</v>
      </c>
      <c r="F471" s="186" t="s">
        <v>2865</v>
      </c>
      <c r="G471" s="186" t="s">
        <v>2865</v>
      </c>
      <c r="H471" s="194">
        <v>5387731414</v>
      </c>
      <c r="I471" s="195" t="s">
        <v>2873</v>
      </c>
      <c r="J471" s="192" t="s">
        <v>2866</v>
      </c>
      <c r="K471" s="204" t="s">
        <v>2867</v>
      </c>
    </row>
    <row r="472" spans="1:11">
      <c r="A472" s="182" t="s">
        <v>3464</v>
      </c>
      <c r="B472" s="184" t="s">
        <v>3467</v>
      </c>
      <c r="C472" s="203" t="s">
        <v>2950</v>
      </c>
      <c r="D472" s="186" t="s">
        <v>2653</v>
      </c>
      <c r="E472" s="198" t="s">
        <v>2865</v>
      </c>
      <c r="F472" s="186" t="s">
        <v>2865</v>
      </c>
      <c r="G472" s="186" t="s">
        <v>2865</v>
      </c>
      <c r="H472" s="194">
        <v>5387721414</v>
      </c>
      <c r="I472" s="195" t="s">
        <v>2873</v>
      </c>
      <c r="J472" s="192" t="s">
        <v>2866</v>
      </c>
      <c r="K472" s="204" t="s">
        <v>2867</v>
      </c>
    </row>
    <row r="473" spans="1:11" ht="25">
      <c r="A473" s="182" t="s">
        <v>592</v>
      </c>
      <c r="B473" s="184" t="s">
        <v>590</v>
      </c>
      <c r="C473" s="185" t="s">
        <v>2653</v>
      </c>
      <c r="D473" s="186" t="s">
        <v>2653</v>
      </c>
      <c r="E473" s="187" t="s">
        <v>2522</v>
      </c>
      <c r="F473" s="186" t="s">
        <v>2871</v>
      </c>
      <c r="G473" s="189" t="s">
        <v>2775</v>
      </c>
      <c r="H473" s="194">
        <v>8992555213</v>
      </c>
      <c r="I473" s="195" t="s">
        <v>2873</v>
      </c>
      <c r="J473" s="192" t="s">
        <v>2866</v>
      </c>
      <c r="K473" s="204" t="s">
        <v>2867</v>
      </c>
    </row>
    <row r="474" spans="1:11" ht="34.5">
      <c r="A474" s="182" t="s">
        <v>2797</v>
      </c>
      <c r="B474" s="184" t="s">
        <v>3428</v>
      </c>
      <c r="C474" s="189" t="s">
        <v>2880</v>
      </c>
      <c r="D474" s="200" t="s">
        <v>2881</v>
      </c>
      <c r="E474" s="198" t="s">
        <v>2865</v>
      </c>
      <c r="F474" s="186" t="s">
        <v>2865</v>
      </c>
      <c r="G474" s="186" t="s">
        <v>2865</v>
      </c>
      <c r="H474" s="194">
        <v>8834170850</v>
      </c>
      <c r="I474" s="195" t="s">
        <v>2873</v>
      </c>
      <c r="J474" s="192" t="s">
        <v>2866</v>
      </c>
      <c r="K474" s="204" t="s">
        <v>2867</v>
      </c>
    </row>
    <row r="475" spans="1:11" ht="25">
      <c r="A475" s="182" t="s">
        <v>1212</v>
      </c>
      <c r="B475" s="184" t="s">
        <v>1210</v>
      </c>
      <c r="C475" s="185" t="s">
        <v>2653</v>
      </c>
      <c r="D475" s="186" t="s">
        <v>2653</v>
      </c>
      <c r="E475" s="187" t="s">
        <v>2522</v>
      </c>
      <c r="F475" s="186" t="s">
        <v>2871</v>
      </c>
      <c r="G475" s="189" t="s">
        <v>2781</v>
      </c>
      <c r="H475" s="194">
        <v>648295528</v>
      </c>
      <c r="I475" s="195" t="s">
        <v>2873</v>
      </c>
      <c r="J475" s="192" t="s">
        <v>2866</v>
      </c>
      <c r="K475" s="204" t="s">
        <v>2867</v>
      </c>
    </row>
    <row r="476" spans="1:11" ht="16" customHeight="1">
      <c r="A476" s="182" t="s">
        <v>3468</v>
      </c>
      <c r="B476" s="184" t="s">
        <v>3469</v>
      </c>
      <c r="C476" s="203" t="s">
        <v>2950</v>
      </c>
      <c r="D476" s="186" t="s">
        <v>2653</v>
      </c>
      <c r="E476" s="198" t="s">
        <v>2865</v>
      </c>
      <c r="F476" s="186" t="s">
        <v>2865</v>
      </c>
      <c r="G476" s="186" t="s">
        <v>2865</v>
      </c>
      <c r="H476" s="194">
        <v>668571393</v>
      </c>
      <c r="I476" s="195" t="s">
        <v>2873</v>
      </c>
      <c r="J476" s="192" t="s">
        <v>2866</v>
      </c>
      <c r="K476" s="204" t="s">
        <v>2867</v>
      </c>
    </row>
    <row r="477" spans="1:11" ht="16">
      <c r="A477" s="182" t="s">
        <v>3470</v>
      </c>
      <c r="B477" s="184" t="s">
        <v>3471</v>
      </c>
      <c r="C477" s="203" t="s">
        <v>2950</v>
      </c>
      <c r="D477" s="186" t="s">
        <v>2653</v>
      </c>
      <c r="E477" s="187" t="s">
        <v>2527</v>
      </c>
      <c r="F477" s="186" t="s">
        <v>2864</v>
      </c>
      <c r="G477" s="189" t="s">
        <v>2983</v>
      </c>
      <c r="H477" s="194">
        <v>8020075813</v>
      </c>
      <c r="I477" s="195" t="s">
        <v>2873</v>
      </c>
      <c r="J477" s="192" t="s">
        <v>2866</v>
      </c>
      <c r="K477" s="204" t="s">
        <v>2867</v>
      </c>
    </row>
    <row r="478" spans="1:11" ht="21">
      <c r="A478" s="182" t="s">
        <v>3472</v>
      </c>
      <c r="B478" s="184">
        <v>2613050467</v>
      </c>
      <c r="C478" s="185" t="s">
        <v>2653</v>
      </c>
      <c r="D478" s="186" t="s">
        <v>2653</v>
      </c>
      <c r="E478" s="187" t="s">
        <v>2522</v>
      </c>
      <c r="F478" s="186" t="s">
        <v>2871</v>
      </c>
      <c r="G478" s="189" t="s">
        <v>2782</v>
      </c>
      <c r="H478" s="194">
        <v>6730355977</v>
      </c>
      <c r="I478" s="195" t="s">
        <v>2873</v>
      </c>
      <c r="J478" s="192" t="s">
        <v>2866</v>
      </c>
      <c r="K478" s="204" t="s">
        <v>2867</v>
      </c>
    </row>
    <row r="479" spans="1:11" ht="25">
      <c r="A479" s="182" t="s">
        <v>550</v>
      </c>
      <c r="B479" s="184" t="s">
        <v>548</v>
      </c>
      <c r="C479" s="185" t="s">
        <v>2653</v>
      </c>
      <c r="D479" s="186" t="s">
        <v>2653</v>
      </c>
      <c r="E479" s="187" t="s">
        <v>2522</v>
      </c>
      <c r="F479" s="186" t="s">
        <v>2871</v>
      </c>
      <c r="G479" s="189" t="s">
        <v>2775</v>
      </c>
      <c r="H479" s="194">
        <v>6452805492</v>
      </c>
      <c r="I479" s="195" t="s">
        <v>2873</v>
      </c>
      <c r="J479" s="192" t="s">
        <v>2866</v>
      </c>
      <c r="K479" s="204" t="s">
        <v>2867</v>
      </c>
    </row>
    <row r="480" spans="1:11" ht="21">
      <c r="A480" s="182" t="s">
        <v>3429</v>
      </c>
      <c r="B480" s="184">
        <v>2613051011</v>
      </c>
      <c r="C480" s="185" t="s">
        <v>2653</v>
      </c>
      <c r="D480" s="186" t="s">
        <v>2653</v>
      </c>
      <c r="E480" s="187" t="s">
        <v>2522</v>
      </c>
      <c r="F480" s="186" t="s">
        <v>2871</v>
      </c>
      <c r="G480" s="189" t="s">
        <v>2797</v>
      </c>
      <c r="H480" s="194">
        <v>258896308</v>
      </c>
      <c r="I480" s="195" t="s">
        <v>2873</v>
      </c>
      <c r="J480" s="192" t="s">
        <v>2866</v>
      </c>
      <c r="K480" s="204" t="s">
        <v>2867</v>
      </c>
    </row>
    <row r="481" spans="1:11" ht="25">
      <c r="A481" s="182" t="s">
        <v>3430</v>
      </c>
      <c r="B481" s="184" t="s">
        <v>464</v>
      </c>
      <c r="C481" s="185" t="s">
        <v>2653</v>
      </c>
      <c r="D481" s="186" t="s">
        <v>2653</v>
      </c>
      <c r="E481" s="187" t="s">
        <v>2522</v>
      </c>
      <c r="F481" s="186" t="s">
        <v>2871</v>
      </c>
      <c r="G481" s="189" t="s">
        <v>2803</v>
      </c>
      <c r="H481" s="194">
        <v>6616358782</v>
      </c>
      <c r="I481" s="195" t="s">
        <v>2873</v>
      </c>
      <c r="J481" s="192" t="s">
        <v>2866</v>
      </c>
      <c r="K481" s="204" t="s">
        <v>2867</v>
      </c>
    </row>
    <row r="482" spans="1:11" ht="21" customHeight="1">
      <c r="A482" s="182" t="s">
        <v>3431</v>
      </c>
      <c r="B482" s="184" t="s">
        <v>1031</v>
      </c>
      <c r="C482" s="185" t="s">
        <v>2653</v>
      </c>
      <c r="D482" s="186" t="s">
        <v>2653</v>
      </c>
      <c r="E482" s="187" t="s">
        <v>2522</v>
      </c>
      <c r="F482" s="186" t="s">
        <v>2871</v>
      </c>
      <c r="G482" s="189" t="s">
        <v>2803</v>
      </c>
      <c r="H482" s="194">
        <v>8570477446</v>
      </c>
      <c r="I482" s="195" t="s">
        <v>2873</v>
      </c>
      <c r="J482" s="192" t="s">
        <v>2866</v>
      </c>
      <c r="K482" s="204" t="s">
        <v>2867</v>
      </c>
    </row>
    <row r="483" spans="1:11" ht="25">
      <c r="A483" s="182" t="s">
        <v>3473</v>
      </c>
      <c r="B483" s="184" t="s">
        <v>1162</v>
      </c>
      <c r="C483" s="185" t="s">
        <v>2653</v>
      </c>
      <c r="D483" s="186" t="s">
        <v>2653</v>
      </c>
      <c r="E483" s="187" t="s">
        <v>2522</v>
      </c>
      <c r="F483" s="186" t="s">
        <v>2871</v>
      </c>
      <c r="G483" s="189" t="s">
        <v>2796</v>
      </c>
      <c r="H483" s="194">
        <v>8806206034</v>
      </c>
      <c r="I483" s="195" t="s">
        <v>2873</v>
      </c>
      <c r="J483" s="192" t="s">
        <v>2866</v>
      </c>
      <c r="K483" s="204" t="s">
        <v>2867</v>
      </c>
    </row>
    <row r="484" spans="1:11" ht="21">
      <c r="A484" s="182" t="s">
        <v>2783</v>
      </c>
      <c r="B484" s="184" t="s">
        <v>3432</v>
      </c>
      <c r="C484" s="189" t="s">
        <v>2894</v>
      </c>
      <c r="D484" s="200" t="s">
        <v>2881</v>
      </c>
      <c r="E484" s="198" t="s">
        <v>2865</v>
      </c>
      <c r="F484" s="186" t="s">
        <v>2865</v>
      </c>
      <c r="G484" s="186" t="s">
        <v>2865</v>
      </c>
      <c r="H484" s="194">
        <v>8941895759</v>
      </c>
      <c r="I484" s="195" t="s">
        <v>2873</v>
      </c>
      <c r="J484" s="192" t="s">
        <v>2866</v>
      </c>
      <c r="K484" s="204" t="s">
        <v>2867</v>
      </c>
    </row>
    <row r="485" spans="1:11" ht="21" customHeight="1">
      <c r="A485" s="182" t="s">
        <v>3433</v>
      </c>
      <c r="B485" s="184" t="s">
        <v>3434</v>
      </c>
      <c r="C485" s="185" t="s">
        <v>2653</v>
      </c>
      <c r="D485" s="186" t="s">
        <v>2653</v>
      </c>
      <c r="E485" s="187" t="s">
        <v>2527</v>
      </c>
      <c r="F485" s="186" t="s">
        <v>2871</v>
      </c>
      <c r="G485" s="189" t="s">
        <v>2801</v>
      </c>
      <c r="H485" s="194">
        <v>439516050</v>
      </c>
      <c r="I485" s="195" t="s">
        <v>2873</v>
      </c>
      <c r="J485" s="192" t="s">
        <v>2866</v>
      </c>
      <c r="K485" s="204" t="s">
        <v>2867</v>
      </c>
    </row>
    <row r="486" spans="1:11" ht="25">
      <c r="A486" s="182" t="s">
        <v>3435</v>
      </c>
      <c r="B486" s="184" t="s">
        <v>3436</v>
      </c>
      <c r="C486" s="185" t="s">
        <v>2653</v>
      </c>
      <c r="D486" s="186" t="s">
        <v>2653</v>
      </c>
      <c r="E486" s="187" t="s">
        <v>2522</v>
      </c>
      <c r="F486" s="186" t="s">
        <v>2864</v>
      </c>
      <c r="G486" s="189" t="s">
        <v>2785</v>
      </c>
      <c r="H486" s="194">
        <v>6816432037</v>
      </c>
      <c r="I486" s="195" t="s">
        <v>2873</v>
      </c>
      <c r="J486" s="192" t="s">
        <v>2866</v>
      </c>
      <c r="K486" s="204" t="s">
        <v>2867</v>
      </c>
    </row>
    <row r="487" spans="1:11" ht="16">
      <c r="A487" s="182" t="s">
        <v>3474</v>
      </c>
      <c r="B487" s="184" t="s">
        <v>3475</v>
      </c>
      <c r="C487" s="203" t="s">
        <v>2950</v>
      </c>
      <c r="D487" s="186" t="s">
        <v>2653</v>
      </c>
      <c r="E487" s="187" t="s">
        <v>2527</v>
      </c>
      <c r="F487" s="186" t="s">
        <v>2864</v>
      </c>
      <c r="G487" s="189" t="s">
        <v>2792</v>
      </c>
      <c r="H487" s="194">
        <v>8908767995</v>
      </c>
      <c r="I487" s="195" t="s">
        <v>2873</v>
      </c>
      <c r="J487" s="192" t="s">
        <v>2866</v>
      </c>
      <c r="K487" s="204" t="s">
        <v>2867</v>
      </c>
    </row>
    <row r="488" spans="1:11" ht="31.5" customHeight="1">
      <c r="A488" s="182" t="s">
        <v>586</v>
      </c>
      <c r="B488" s="184" t="s">
        <v>584</v>
      </c>
      <c r="C488" s="185" t="s">
        <v>2653</v>
      </c>
      <c r="D488" s="186" t="s">
        <v>2653</v>
      </c>
      <c r="E488" s="187" t="s">
        <v>2522</v>
      </c>
      <c r="F488" s="186" t="s">
        <v>2871</v>
      </c>
      <c r="G488" s="189" t="s">
        <v>2775</v>
      </c>
      <c r="H488" s="194">
        <v>8080401631</v>
      </c>
      <c r="I488" s="195" t="s">
        <v>2873</v>
      </c>
      <c r="J488" s="192" t="s">
        <v>2866</v>
      </c>
      <c r="K488" s="204" t="s">
        <v>2867</v>
      </c>
    </row>
    <row r="489" spans="1:11" ht="34.5">
      <c r="A489" s="182" t="s">
        <v>3437</v>
      </c>
      <c r="B489" s="184" t="s">
        <v>3438</v>
      </c>
      <c r="C489" s="189" t="s">
        <v>2880</v>
      </c>
      <c r="D489" s="186" t="s">
        <v>2653</v>
      </c>
      <c r="E489" s="187" t="s">
        <v>2996</v>
      </c>
      <c r="F489" s="186" t="s">
        <v>2871</v>
      </c>
      <c r="G489" s="186" t="s">
        <v>2865</v>
      </c>
      <c r="H489" s="194">
        <v>7969325638</v>
      </c>
      <c r="I489" s="195" t="s">
        <v>2873</v>
      </c>
      <c r="J489" s="192" t="s">
        <v>2866</v>
      </c>
      <c r="K489" s="204" t="s">
        <v>2867</v>
      </c>
    </row>
    <row r="490" spans="1:11" ht="21">
      <c r="A490" s="182" t="s">
        <v>3476</v>
      </c>
      <c r="B490" s="184" t="s">
        <v>3477</v>
      </c>
      <c r="C490" s="189" t="s">
        <v>2894</v>
      </c>
      <c r="D490" s="200" t="s">
        <v>2881</v>
      </c>
      <c r="E490" s="198" t="s">
        <v>2865</v>
      </c>
      <c r="F490" s="186" t="s">
        <v>2865</v>
      </c>
      <c r="G490" s="186" t="s">
        <v>2865</v>
      </c>
      <c r="H490" s="194">
        <v>5928028643</v>
      </c>
      <c r="I490" s="195" t="s">
        <v>2873</v>
      </c>
      <c r="J490" s="192" t="s">
        <v>2866</v>
      </c>
      <c r="K490" s="204" t="s">
        <v>2867</v>
      </c>
    </row>
    <row r="491" spans="1:11" ht="21" customHeight="1">
      <c r="A491" s="182" t="s">
        <v>306</v>
      </c>
      <c r="B491" s="184" t="s">
        <v>3439</v>
      </c>
      <c r="C491" s="185" t="s">
        <v>2653</v>
      </c>
      <c r="D491" s="186" t="s">
        <v>2653</v>
      </c>
      <c r="E491" s="187" t="s">
        <v>2527</v>
      </c>
      <c r="F491" s="186" t="s">
        <v>2864</v>
      </c>
      <c r="G491" s="189" t="s">
        <v>2792</v>
      </c>
      <c r="H491" s="194">
        <v>8920543350</v>
      </c>
      <c r="I491" s="195" t="s">
        <v>2873</v>
      </c>
      <c r="J491" s="192" t="s">
        <v>2866</v>
      </c>
      <c r="K491" s="204" t="s">
        <v>2867</v>
      </c>
    </row>
    <row r="492" spans="1:11" ht="21">
      <c r="A492" s="182" t="s">
        <v>2806</v>
      </c>
      <c r="B492" s="184" t="s">
        <v>3478</v>
      </c>
      <c r="C492" s="189" t="s">
        <v>2894</v>
      </c>
      <c r="D492" s="186" t="s">
        <v>2653</v>
      </c>
      <c r="E492" s="198" t="s">
        <v>2865</v>
      </c>
      <c r="F492" s="186" t="s">
        <v>2865</v>
      </c>
      <c r="G492" s="186" t="s">
        <v>2865</v>
      </c>
      <c r="H492" s="194">
        <v>5171159801</v>
      </c>
      <c r="I492" s="195" t="s">
        <v>2873</v>
      </c>
      <c r="J492" s="192" t="s">
        <v>2866</v>
      </c>
      <c r="K492" s="204" t="s">
        <v>2867</v>
      </c>
    </row>
    <row r="493" spans="1:11" ht="25">
      <c r="A493" s="182" t="s">
        <v>3440</v>
      </c>
      <c r="B493" s="184" t="s">
        <v>3441</v>
      </c>
      <c r="C493" s="185" t="s">
        <v>2653</v>
      </c>
      <c r="D493" s="186" t="s">
        <v>2653</v>
      </c>
      <c r="E493" s="187" t="s">
        <v>2522</v>
      </c>
      <c r="F493" s="186" t="s">
        <v>2864</v>
      </c>
      <c r="G493" s="189" t="s">
        <v>2799</v>
      </c>
      <c r="H493" s="194">
        <v>7431449006</v>
      </c>
      <c r="I493" s="195" t="s">
        <v>2873</v>
      </c>
      <c r="J493" s="192" t="s">
        <v>2866</v>
      </c>
      <c r="K493" s="204" t="s">
        <v>2867</v>
      </c>
    </row>
    <row r="494" spans="1:11" ht="21" customHeight="1">
      <c r="A494" s="182" t="s">
        <v>2776</v>
      </c>
      <c r="B494" s="184" t="s">
        <v>3442</v>
      </c>
      <c r="C494" s="189" t="s">
        <v>2894</v>
      </c>
      <c r="D494" s="200" t="s">
        <v>2881</v>
      </c>
      <c r="E494" s="198" t="s">
        <v>2865</v>
      </c>
      <c r="F494" s="186" t="s">
        <v>2865</v>
      </c>
      <c r="G494" s="186" t="s">
        <v>2865</v>
      </c>
      <c r="H494" s="194">
        <v>8667324582</v>
      </c>
      <c r="I494" s="195" t="s">
        <v>2873</v>
      </c>
      <c r="J494" s="192" t="s">
        <v>2866</v>
      </c>
      <c r="K494" s="204" t="s">
        <v>2867</v>
      </c>
    </row>
    <row r="495" spans="1:11" ht="37.5">
      <c r="A495" s="182" t="s">
        <v>726</v>
      </c>
      <c r="B495" s="184" t="s">
        <v>724</v>
      </c>
      <c r="C495" s="185" t="s">
        <v>2653</v>
      </c>
      <c r="D495" s="186" t="s">
        <v>2653</v>
      </c>
      <c r="E495" s="187" t="s">
        <v>2522</v>
      </c>
      <c r="F495" s="186" t="s">
        <v>2871</v>
      </c>
      <c r="G495" s="189" t="s">
        <v>2779</v>
      </c>
      <c r="H495" s="194">
        <v>5997015901</v>
      </c>
      <c r="I495" s="195" t="s">
        <v>2873</v>
      </c>
      <c r="J495" s="192" t="s">
        <v>2866</v>
      </c>
      <c r="K495" s="204" t="s">
        <v>2867</v>
      </c>
    </row>
    <row r="496" spans="1:11" ht="37.5">
      <c r="A496" s="182" t="s">
        <v>3443</v>
      </c>
      <c r="B496" s="184" t="s">
        <v>3444</v>
      </c>
      <c r="C496" s="185" t="s">
        <v>2653</v>
      </c>
      <c r="D496" s="186" t="s">
        <v>2653</v>
      </c>
      <c r="E496" s="187" t="s">
        <v>2527</v>
      </c>
      <c r="F496" s="186" t="s">
        <v>2871</v>
      </c>
      <c r="G496" s="189" t="s">
        <v>2777</v>
      </c>
      <c r="H496" s="194">
        <v>8152106969</v>
      </c>
      <c r="I496" s="195" t="s">
        <v>2873</v>
      </c>
      <c r="J496" s="192" t="s">
        <v>2866</v>
      </c>
      <c r="K496" s="204" t="s">
        <v>2867</v>
      </c>
    </row>
    <row r="497" spans="1:11" ht="21" customHeight="1">
      <c r="A497" s="182" t="s">
        <v>3479</v>
      </c>
      <c r="B497" s="184" t="s">
        <v>3480</v>
      </c>
      <c r="C497" s="189" t="s">
        <v>2894</v>
      </c>
      <c r="D497" s="200" t="s">
        <v>2881</v>
      </c>
      <c r="E497" s="198" t="s">
        <v>2865</v>
      </c>
      <c r="F497" s="186" t="s">
        <v>2865</v>
      </c>
      <c r="G497" s="186" t="s">
        <v>2865</v>
      </c>
      <c r="H497" s="194">
        <v>6861875222</v>
      </c>
      <c r="I497" s="195" t="s">
        <v>2873</v>
      </c>
      <c r="J497" s="192" t="s">
        <v>2866</v>
      </c>
      <c r="K497" s="204" t="s">
        <v>2867</v>
      </c>
    </row>
    <row r="498" spans="1:11" ht="25">
      <c r="A498" s="182" t="s">
        <v>1318</v>
      </c>
      <c r="B498" s="184" t="s">
        <v>1316</v>
      </c>
      <c r="C498" s="185" t="s">
        <v>2653</v>
      </c>
      <c r="D498" s="186" t="s">
        <v>2653</v>
      </c>
      <c r="E498" s="187" t="s">
        <v>2522</v>
      </c>
      <c r="F498" s="186" t="s">
        <v>2864</v>
      </c>
      <c r="G498" s="189" t="s">
        <v>2793</v>
      </c>
      <c r="H498" s="194">
        <v>8547362330</v>
      </c>
      <c r="I498" s="195" t="s">
        <v>2873</v>
      </c>
      <c r="J498" s="192" t="s">
        <v>2866</v>
      </c>
      <c r="K498" s="204" t="s">
        <v>2867</v>
      </c>
    </row>
    <row r="499" spans="1:11" ht="16">
      <c r="A499" s="182" t="s">
        <v>3481</v>
      </c>
      <c r="B499" s="184" t="s">
        <v>3482</v>
      </c>
      <c r="C499" s="189" t="s">
        <v>2894</v>
      </c>
      <c r="D499" s="200" t="s">
        <v>2881</v>
      </c>
      <c r="E499" s="198" t="s">
        <v>2865</v>
      </c>
      <c r="F499" s="186" t="s">
        <v>2865</v>
      </c>
      <c r="G499" s="186" t="s">
        <v>2865</v>
      </c>
      <c r="H499" s="194">
        <v>8971188686</v>
      </c>
      <c r="I499" s="195" t="s">
        <v>2873</v>
      </c>
      <c r="J499" s="192" t="s">
        <v>2866</v>
      </c>
      <c r="K499" s="204" t="s">
        <v>2867</v>
      </c>
    </row>
    <row r="500" spans="1:11" ht="21">
      <c r="A500" s="182" t="s">
        <v>3445</v>
      </c>
      <c r="B500" s="184">
        <v>12328782</v>
      </c>
      <c r="C500" s="200" t="s">
        <v>2889</v>
      </c>
      <c r="D500" s="186" t="s">
        <v>2653</v>
      </c>
      <c r="E500" s="187" t="s">
        <v>2527</v>
      </c>
      <c r="F500" s="186" t="s">
        <v>2871</v>
      </c>
      <c r="G500" s="186" t="s">
        <v>2865</v>
      </c>
      <c r="H500" s="194">
        <v>8380288975</v>
      </c>
      <c r="I500" s="195" t="s">
        <v>2873</v>
      </c>
      <c r="J500" s="192" t="s">
        <v>2866</v>
      </c>
      <c r="K500" s="204" t="s">
        <v>2867</v>
      </c>
    </row>
    <row r="501" spans="1:11" ht="24">
      <c r="A501" s="182" t="s">
        <v>3483</v>
      </c>
      <c r="B501" s="184" t="s">
        <v>3484</v>
      </c>
      <c r="C501" s="189" t="s">
        <v>3485</v>
      </c>
      <c r="D501" s="200" t="s">
        <v>2881</v>
      </c>
      <c r="E501" s="198" t="s">
        <v>2865</v>
      </c>
      <c r="F501" s="186" t="s">
        <v>2865</v>
      </c>
      <c r="G501" s="186" t="s">
        <v>2865</v>
      </c>
      <c r="H501" s="194">
        <v>6327200921</v>
      </c>
      <c r="I501" s="195" t="s">
        <v>2873</v>
      </c>
      <c r="J501" s="192" t="s">
        <v>2866</v>
      </c>
      <c r="K501" s="204" t="s">
        <v>2867</v>
      </c>
    </row>
    <row r="502" spans="1:11" ht="16">
      <c r="A502" s="182" t="s">
        <v>3486</v>
      </c>
      <c r="B502" s="184">
        <v>2613051139</v>
      </c>
      <c r="C502" s="185" t="s">
        <v>2653</v>
      </c>
      <c r="D502" s="186" t="s">
        <v>2653</v>
      </c>
      <c r="E502" s="187" t="s">
        <v>2527</v>
      </c>
      <c r="F502" s="186" t="s">
        <v>2871</v>
      </c>
      <c r="G502" s="189" t="s">
        <v>2801</v>
      </c>
      <c r="H502" s="194">
        <v>8948360962</v>
      </c>
      <c r="I502" s="195" t="s">
        <v>2873</v>
      </c>
      <c r="J502" s="192" t="s">
        <v>2866</v>
      </c>
      <c r="K502" s="204" t="s">
        <v>2867</v>
      </c>
    </row>
    <row r="503" spans="1:11" ht="21" customHeight="1">
      <c r="A503" s="182" t="s">
        <v>3677</v>
      </c>
      <c r="B503" s="184" t="s">
        <v>3678</v>
      </c>
      <c r="C503" s="203" t="s">
        <v>2950</v>
      </c>
      <c r="D503" s="186" t="s">
        <v>2653</v>
      </c>
      <c r="E503" s="187" t="s">
        <v>2527</v>
      </c>
      <c r="F503" s="186" t="s">
        <v>2864</v>
      </c>
      <c r="G503" s="189" t="s">
        <v>2788</v>
      </c>
      <c r="H503" s="194">
        <v>8683697193</v>
      </c>
      <c r="I503" s="195" t="s">
        <v>2873</v>
      </c>
      <c r="J503" s="192" t="s">
        <v>2866</v>
      </c>
      <c r="K503" s="204" t="s">
        <v>2867</v>
      </c>
    </row>
    <row r="504" spans="1:11" ht="37.5">
      <c r="A504" s="182" t="s">
        <v>3487</v>
      </c>
      <c r="B504" s="184" t="s">
        <v>1701</v>
      </c>
      <c r="C504" s="185" t="s">
        <v>2653</v>
      </c>
      <c r="D504" s="186" t="s">
        <v>2653</v>
      </c>
      <c r="E504" s="187" t="s">
        <v>2527</v>
      </c>
      <c r="F504" s="186" t="s">
        <v>2871</v>
      </c>
      <c r="G504" s="189" t="s">
        <v>2801</v>
      </c>
      <c r="H504" s="194">
        <v>245603805</v>
      </c>
      <c r="I504" s="195" t="s">
        <v>2873</v>
      </c>
      <c r="J504" s="192" t="s">
        <v>2866</v>
      </c>
      <c r="K504" s="204" t="s">
        <v>2867</v>
      </c>
    </row>
    <row r="505" spans="1:11" ht="37.5">
      <c r="A505" s="182" t="s">
        <v>3517</v>
      </c>
      <c r="B505" s="184" t="s">
        <v>718</v>
      </c>
      <c r="C505" s="185" t="s">
        <v>2653</v>
      </c>
      <c r="D505" s="186" t="s">
        <v>2653</v>
      </c>
      <c r="E505" s="187" t="s">
        <v>2522</v>
      </c>
      <c r="F505" s="186" t="s">
        <v>2871</v>
      </c>
      <c r="G505" s="189" t="s">
        <v>2780</v>
      </c>
      <c r="H505" s="194">
        <v>5530267974</v>
      </c>
      <c r="I505" s="195" t="s">
        <v>2873</v>
      </c>
      <c r="J505" s="192" t="s">
        <v>2866</v>
      </c>
      <c r="K505" s="204" t="s">
        <v>2867</v>
      </c>
    </row>
    <row r="506" spans="1:11" ht="21" customHeight="1">
      <c r="A506" s="182" t="s">
        <v>3488</v>
      </c>
      <c r="B506" s="184" t="s">
        <v>1676</v>
      </c>
      <c r="C506" s="202" t="s">
        <v>2900</v>
      </c>
      <c r="D506" s="186" t="s">
        <v>2653</v>
      </c>
      <c r="E506" s="187" t="s">
        <v>2527</v>
      </c>
      <c r="F506" s="186" t="s">
        <v>2864</v>
      </c>
      <c r="G506" s="189" t="s">
        <v>2768</v>
      </c>
      <c r="H506" s="194">
        <v>5645110762</v>
      </c>
      <c r="I506" s="195" t="s">
        <v>2873</v>
      </c>
      <c r="J506" s="192" t="s">
        <v>2866</v>
      </c>
      <c r="K506" s="204" t="s">
        <v>2867</v>
      </c>
    </row>
    <row r="507" spans="1:11" ht="25">
      <c r="A507" s="182" t="s">
        <v>3489</v>
      </c>
      <c r="B507" s="184" t="s">
        <v>1286</v>
      </c>
      <c r="C507" s="185" t="s">
        <v>2653</v>
      </c>
      <c r="D507" s="186" t="s">
        <v>2653</v>
      </c>
      <c r="E507" s="187" t="s">
        <v>2522</v>
      </c>
      <c r="F507" s="186" t="s">
        <v>2871</v>
      </c>
      <c r="G507" s="189" t="s">
        <v>2776</v>
      </c>
      <c r="H507" s="194">
        <v>247771444</v>
      </c>
      <c r="I507" s="195" t="s">
        <v>2873</v>
      </c>
      <c r="J507" s="192" t="s">
        <v>2866</v>
      </c>
      <c r="K507" s="204" t="s">
        <v>2867</v>
      </c>
    </row>
    <row r="508" spans="1:11" ht="25">
      <c r="A508" s="182" t="s">
        <v>1404</v>
      </c>
      <c r="B508" s="184" t="s">
        <v>3490</v>
      </c>
      <c r="C508" s="185" t="s">
        <v>2653</v>
      </c>
      <c r="D508" s="186" t="s">
        <v>2653</v>
      </c>
      <c r="E508" s="187" t="s">
        <v>2522</v>
      </c>
      <c r="F508" s="186" t="s">
        <v>2864</v>
      </c>
      <c r="G508" s="189" t="s">
        <v>2785</v>
      </c>
      <c r="H508" s="194">
        <v>6607662509</v>
      </c>
      <c r="I508" s="195" t="s">
        <v>2873</v>
      </c>
      <c r="J508" s="192" t="s">
        <v>2866</v>
      </c>
      <c r="K508" s="204" t="s">
        <v>2867</v>
      </c>
    </row>
    <row r="509" spans="1:11" ht="25">
      <c r="A509" s="182" t="s">
        <v>1404</v>
      </c>
      <c r="B509" s="184" t="s">
        <v>1402</v>
      </c>
      <c r="C509" s="185" t="s">
        <v>2653</v>
      </c>
      <c r="D509" s="186" t="s">
        <v>2653</v>
      </c>
      <c r="E509" s="187" t="s">
        <v>2522</v>
      </c>
      <c r="F509" s="186" t="s">
        <v>2864</v>
      </c>
      <c r="G509" s="189" t="s">
        <v>2786</v>
      </c>
      <c r="H509" s="194">
        <v>7309361934</v>
      </c>
      <c r="I509" s="195" t="s">
        <v>2873</v>
      </c>
      <c r="J509" s="192" t="s">
        <v>2866</v>
      </c>
      <c r="K509" s="204" t="s">
        <v>2867</v>
      </c>
    </row>
    <row r="510" spans="1:11" ht="16">
      <c r="A510" s="182" t="s">
        <v>3518</v>
      </c>
      <c r="B510" s="184" t="s">
        <v>3519</v>
      </c>
      <c r="C510" s="185" t="s">
        <v>2653</v>
      </c>
      <c r="D510" s="186" t="s">
        <v>2653</v>
      </c>
      <c r="E510" s="187" t="s">
        <v>2996</v>
      </c>
      <c r="F510" s="186" t="s">
        <v>2871</v>
      </c>
      <c r="G510" s="186" t="s">
        <v>2865</v>
      </c>
      <c r="H510" s="194">
        <v>1445450502</v>
      </c>
      <c r="I510" s="195" t="s">
        <v>2873</v>
      </c>
      <c r="J510" s="192" t="s">
        <v>2866</v>
      </c>
      <c r="K510" s="204" t="s">
        <v>2867</v>
      </c>
    </row>
    <row r="511" spans="1:11" ht="16" customHeight="1">
      <c r="A511" s="182" t="s">
        <v>3520</v>
      </c>
      <c r="B511" s="184" t="s">
        <v>3521</v>
      </c>
      <c r="C511" s="189" t="s">
        <v>2894</v>
      </c>
      <c r="D511" s="200" t="s">
        <v>2881</v>
      </c>
      <c r="E511" s="198" t="s">
        <v>2865</v>
      </c>
      <c r="F511" s="186" t="s">
        <v>2865</v>
      </c>
      <c r="G511" s="186" t="s">
        <v>2865</v>
      </c>
      <c r="H511" s="194">
        <v>8879493935</v>
      </c>
      <c r="I511" s="195" t="s">
        <v>2873</v>
      </c>
      <c r="J511" s="192" t="s">
        <v>2866</v>
      </c>
      <c r="K511" s="204" t="s">
        <v>2867</v>
      </c>
    </row>
    <row r="512" spans="1:11" ht="37.5">
      <c r="A512" s="182" t="s">
        <v>3522</v>
      </c>
      <c r="B512" s="184" t="s">
        <v>1437</v>
      </c>
      <c r="C512" s="185" t="s">
        <v>2653</v>
      </c>
      <c r="D512" s="186" t="s">
        <v>2653</v>
      </c>
      <c r="E512" s="187" t="s">
        <v>2527</v>
      </c>
      <c r="F512" s="186" t="s">
        <v>2864</v>
      </c>
      <c r="G512" s="189" t="s">
        <v>2771</v>
      </c>
      <c r="H512" s="194">
        <v>8830859485</v>
      </c>
      <c r="I512" s="195" t="s">
        <v>2873</v>
      </c>
      <c r="J512" s="192" t="s">
        <v>2866</v>
      </c>
      <c r="K512" s="204" t="s">
        <v>2867</v>
      </c>
    </row>
    <row r="513" spans="1:11" ht="37.5">
      <c r="A513" s="182" t="s">
        <v>1667</v>
      </c>
      <c r="B513" s="184" t="s">
        <v>1665</v>
      </c>
      <c r="C513" s="185" t="s">
        <v>2653</v>
      </c>
      <c r="D513" s="186" t="s">
        <v>2653</v>
      </c>
      <c r="E513" s="187" t="s">
        <v>2527</v>
      </c>
      <c r="F513" s="186" t="s">
        <v>2864</v>
      </c>
      <c r="G513" s="189" t="s">
        <v>2788</v>
      </c>
      <c r="H513" s="194">
        <v>8889341394</v>
      </c>
      <c r="I513" s="195" t="s">
        <v>2873</v>
      </c>
      <c r="J513" s="192" t="s">
        <v>2866</v>
      </c>
      <c r="K513" s="204" t="s">
        <v>2867</v>
      </c>
    </row>
    <row r="514" spans="1:11" ht="24" customHeight="1">
      <c r="A514" s="182" t="s">
        <v>3491</v>
      </c>
      <c r="B514" s="184" t="s">
        <v>3492</v>
      </c>
      <c r="C514" s="185" t="s">
        <v>2653</v>
      </c>
      <c r="D514" s="186" t="s">
        <v>2653</v>
      </c>
      <c r="E514" s="187" t="s">
        <v>2522</v>
      </c>
      <c r="F514" s="186" t="s">
        <v>2871</v>
      </c>
      <c r="G514" s="189" t="s">
        <v>2803</v>
      </c>
      <c r="H514" s="194">
        <v>7537878723</v>
      </c>
      <c r="I514" s="195" t="s">
        <v>2873</v>
      </c>
      <c r="J514" s="192" t="s">
        <v>2866</v>
      </c>
      <c r="K514" s="204" t="s">
        <v>2867</v>
      </c>
    </row>
    <row r="515" spans="1:11" ht="25">
      <c r="A515" s="182" t="s">
        <v>3523</v>
      </c>
      <c r="B515" s="184" t="s">
        <v>3524</v>
      </c>
      <c r="C515" s="185" t="s">
        <v>2653</v>
      </c>
      <c r="D515" s="186" t="s">
        <v>2653</v>
      </c>
      <c r="E515" s="187" t="s">
        <v>2522</v>
      </c>
      <c r="F515" s="186" t="s">
        <v>2871</v>
      </c>
      <c r="G515" s="189" t="s">
        <v>2781</v>
      </c>
      <c r="H515" s="194">
        <v>1723467233</v>
      </c>
      <c r="I515" s="195" t="s">
        <v>2873</v>
      </c>
      <c r="J515" s="192" t="s">
        <v>2866</v>
      </c>
      <c r="K515" s="204" t="s">
        <v>2867</v>
      </c>
    </row>
    <row r="516" spans="1:11" ht="37.5">
      <c r="A516" s="182" t="s">
        <v>3525</v>
      </c>
      <c r="B516" s="184" t="s">
        <v>1670</v>
      </c>
      <c r="C516" s="185" t="s">
        <v>2653</v>
      </c>
      <c r="D516" s="186" t="s">
        <v>2653</v>
      </c>
      <c r="E516" s="187" t="s">
        <v>2527</v>
      </c>
      <c r="F516" s="186" t="s">
        <v>2864</v>
      </c>
      <c r="G516" s="189" t="s">
        <v>2771</v>
      </c>
      <c r="H516" s="194">
        <v>8819253454</v>
      </c>
      <c r="I516" s="195" t="s">
        <v>2873</v>
      </c>
      <c r="J516" s="192" t="s">
        <v>2866</v>
      </c>
      <c r="K516" s="204" t="s">
        <v>2867</v>
      </c>
    </row>
    <row r="517" spans="1:11" ht="24" customHeight="1">
      <c r="A517" s="182" t="s">
        <v>3493</v>
      </c>
      <c r="B517" s="184" t="s">
        <v>3494</v>
      </c>
      <c r="C517" s="203" t="s">
        <v>2950</v>
      </c>
      <c r="D517" s="186" t="s">
        <v>2653</v>
      </c>
      <c r="E517" s="198" t="s">
        <v>2865</v>
      </c>
      <c r="F517" s="186" t="s">
        <v>2865</v>
      </c>
      <c r="G517" s="186" t="s">
        <v>2865</v>
      </c>
      <c r="H517" s="194">
        <v>8714079343</v>
      </c>
      <c r="I517" s="195" t="s">
        <v>2873</v>
      </c>
      <c r="J517" s="192" t="s">
        <v>2866</v>
      </c>
      <c r="K517" s="204" t="s">
        <v>2867</v>
      </c>
    </row>
    <row r="518" spans="1:11" ht="25">
      <c r="A518" s="182" t="s">
        <v>3495</v>
      </c>
      <c r="B518" s="184" t="s">
        <v>486</v>
      </c>
      <c r="C518" s="185" t="s">
        <v>2653</v>
      </c>
      <c r="D518" s="186" t="s">
        <v>2653</v>
      </c>
      <c r="E518" s="187" t="s">
        <v>2522</v>
      </c>
      <c r="F518" s="186" t="s">
        <v>2871</v>
      </c>
      <c r="G518" s="189" t="s">
        <v>2802</v>
      </c>
      <c r="H518" s="194">
        <v>5451424785</v>
      </c>
      <c r="I518" s="195" t="s">
        <v>2873</v>
      </c>
      <c r="J518" s="192" t="s">
        <v>2866</v>
      </c>
      <c r="K518" s="204" t="s">
        <v>2867</v>
      </c>
    </row>
    <row r="519" spans="1:11" ht="21">
      <c r="A519" s="182" t="s">
        <v>3526</v>
      </c>
      <c r="B519" s="184" t="s">
        <v>3527</v>
      </c>
      <c r="C519" s="185" t="s">
        <v>2653</v>
      </c>
      <c r="D519" s="186" t="s">
        <v>2653</v>
      </c>
      <c r="E519" s="198" t="s">
        <v>2865</v>
      </c>
      <c r="F519" s="186" t="s">
        <v>2865</v>
      </c>
      <c r="G519" s="186" t="s">
        <v>2865</v>
      </c>
      <c r="H519" s="194">
        <v>5266311206</v>
      </c>
      <c r="I519" s="195" t="s">
        <v>2873</v>
      </c>
      <c r="J519" s="192" t="s">
        <v>2866</v>
      </c>
      <c r="K519" s="204" t="s">
        <v>2867</v>
      </c>
    </row>
    <row r="520" spans="1:11" ht="21">
      <c r="A520" s="182" t="s">
        <v>2795</v>
      </c>
      <c r="B520" s="184" t="s">
        <v>3496</v>
      </c>
      <c r="C520" s="189" t="s">
        <v>2894</v>
      </c>
      <c r="D520" s="200" t="s">
        <v>2881</v>
      </c>
      <c r="E520" s="198" t="s">
        <v>2865</v>
      </c>
      <c r="F520" s="186" t="s">
        <v>2865</v>
      </c>
      <c r="G520" s="186" t="s">
        <v>2865</v>
      </c>
      <c r="H520" s="194">
        <v>6044429074</v>
      </c>
      <c r="I520" s="195" t="s">
        <v>2873</v>
      </c>
      <c r="J520" s="192" t="s">
        <v>2866</v>
      </c>
      <c r="K520" s="204" t="s">
        <v>2867</v>
      </c>
    </row>
    <row r="521" spans="1:11" ht="21">
      <c r="A521" s="182" t="s">
        <v>3528</v>
      </c>
      <c r="B521" s="184" t="s">
        <v>3529</v>
      </c>
      <c r="C521" s="203" t="s">
        <v>2950</v>
      </c>
      <c r="D521" s="186" t="s">
        <v>2653</v>
      </c>
      <c r="E521" s="198" t="s">
        <v>2865</v>
      </c>
      <c r="F521" s="186" t="s">
        <v>2865</v>
      </c>
      <c r="G521" s="186" t="s">
        <v>2865</v>
      </c>
      <c r="H521" s="194">
        <v>7065821065</v>
      </c>
      <c r="I521" s="195" t="s">
        <v>2873</v>
      </c>
      <c r="J521" s="192" t="s">
        <v>2866</v>
      </c>
      <c r="K521" s="204" t="s">
        <v>2867</v>
      </c>
    </row>
    <row r="522" spans="1:11" ht="25">
      <c r="A522" s="182" t="s">
        <v>3530</v>
      </c>
      <c r="B522" s="184" t="s">
        <v>3531</v>
      </c>
      <c r="C522" s="203" t="s">
        <v>2950</v>
      </c>
      <c r="D522" s="186" t="s">
        <v>2653</v>
      </c>
      <c r="E522" s="187" t="s">
        <v>2522</v>
      </c>
      <c r="F522" s="186" t="s">
        <v>2871</v>
      </c>
      <c r="G522" s="186" t="s">
        <v>2865</v>
      </c>
      <c r="H522" s="194">
        <v>7729649469</v>
      </c>
      <c r="I522" s="195" t="s">
        <v>2873</v>
      </c>
      <c r="J522" s="192" t="s">
        <v>2866</v>
      </c>
      <c r="K522" s="204" t="s">
        <v>2867</v>
      </c>
    </row>
    <row r="523" spans="1:11" ht="24" customHeight="1">
      <c r="A523" s="182" t="s">
        <v>3679</v>
      </c>
      <c r="B523" s="184" t="s">
        <v>3680</v>
      </c>
      <c r="C523" s="185" t="s">
        <v>3681</v>
      </c>
      <c r="D523" s="186" t="s">
        <v>2653</v>
      </c>
      <c r="E523" s="198" t="s">
        <v>2865</v>
      </c>
      <c r="F523" s="186" t="s">
        <v>2865</v>
      </c>
      <c r="G523" s="186" t="s">
        <v>2865</v>
      </c>
      <c r="H523" s="194">
        <v>6558954256</v>
      </c>
      <c r="I523" s="195" t="s">
        <v>2873</v>
      </c>
      <c r="J523" s="192" t="s">
        <v>2866</v>
      </c>
      <c r="K523" s="204" t="s">
        <v>2867</v>
      </c>
    </row>
    <row r="524" spans="1:11" ht="31.5">
      <c r="A524" s="182" t="s">
        <v>3532</v>
      </c>
      <c r="B524" s="184" t="s">
        <v>3533</v>
      </c>
      <c r="C524" s="203" t="s">
        <v>2950</v>
      </c>
      <c r="D524" s="186" t="s">
        <v>2653</v>
      </c>
      <c r="E524" s="198" t="s">
        <v>2865</v>
      </c>
      <c r="F524" s="186" t="s">
        <v>2865</v>
      </c>
      <c r="G524" s="186" t="s">
        <v>2865</v>
      </c>
      <c r="H524" s="194">
        <v>7876084974</v>
      </c>
      <c r="I524" s="195" t="s">
        <v>2873</v>
      </c>
      <c r="J524" s="192" t="s">
        <v>2866</v>
      </c>
      <c r="K524" s="204" t="s">
        <v>2867</v>
      </c>
    </row>
    <row r="525" spans="1:11" ht="25">
      <c r="A525" s="182" t="s">
        <v>3534</v>
      </c>
      <c r="B525" s="184" t="s">
        <v>3535</v>
      </c>
      <c r="C525" s="203" t="s">
        <v>2950</v>
      </c>
      <c r="D525" s="186" t="s">
        <v>2653</v>
      </c>
      <c r="E525" s="187" t="s">
        <v>2527</v>
      </c>
      <c r="F525" s="186" t="s">
        <v>2871</v>
      </c>
      <c r="G525" s="186" t="s">
        <v>2865</v>
      </c>
      <c r="H525" s="194">
        <v>7899328254</v>
      </c>
      <c r="I525" s="195" t="s">
        <v>2873</v>
      </c>
      <c r="J525" s="192" t="s">
        <v>2866</v>
      </c>
      <c r="K525" s="204" t="s">
        <v>2867</v>
      </c>
    </row>
    <row r="526" spans="1:11" ht="24" customHeight="1">
      <c r="A526" s="182" t="s">
        <v>3497</v>
      </c>
      <c r="B526" s="184">
        <v>12313715</v>
      </c>
      <c r="C526" s="200" t="s">
        <v>2889</v>
      </c>
      <c r="D526" s="186" t="s">
        <v>2653</v>
      </c>
      <c r="E526" s="187" t="s">
        <v>2527</v>
      </c>
      <c r="F526" s="186" t="s">
        <v>2871</v>
      </c>
      <c r="G526" s="189" t="s">
        <v>2778</v>
      </c>
      <c r="H526" s="194">
        <v>5826224218</v>
      </c>
      <c r="I526" s="195" t="s">
        <v>2873</v>
      </c>
      <c r="J526" s="192" t="s">
        <v>2866</v>
      </c>
      <c r="K526" s="204" t="s">
        <v>2867</v>
      </c>
    </row>
    <row r="527" spans="1:11" ht="25">
      <c r="A527" s="182" t="s">
        <v>3536</v>
      </c>
      <c r="B527" s="184" t="s">
        <v>3537</v>
      </c>
      <c r="C527" s="203" t="s">
        <v>2950</v>
      </c>
      <c r="D527" s="186" t="s">
        <v>2653</v>
      </c>
      <c r="E527" s="187" t="s">
        <v>2527</v>
      </c>
      <c r="F527" s="186" t="s">
        <v>2864</v>
      </c>
      <c r="G527" s="189" t="s">
        <v>2771</v>
      </c>
      <c r="H527" s="194">
        <v>1076005410</v>
      </c>
      <c r="I527" s="195" t="s">
        <v>2873</v>
      </c>
      <c r="J527" s="192" t="s">
        <v>2866</v>
      </c>
      <c r="K527" s="204" t="s">
        <v>2867</v>
      </c>
    </row>
    <row r="528" spans="1:11" ht="25">
      <c r="A528" s="182" t="s">
        <v>3498</v>
      </c>
      <c r="B528" s="184" t="s">
        <v>3499</v>
      </c>
      <c r="C528" s="200" t="s">
        <v>2889</v>
      </c>
      <c r="D528" s="186" t="s">
        <v>2653</v>
      </c>
      <c r="E528" s="187" t="s">
        <v>2522</v>
      </c>
      <c r="F528" s="186" t="s">
        <v>2871</v>
      </c>
      <c r="G528" s="189" t="s">
        <v>2773</v>
      </c>
      <c r="H528" s="194">
        <v>1991514018</v>
      </c>
      <c r="I528" s="195" t="s">
        <v>2873</v>
      </c>
      <c r="J528" s="192" t="s">
        <v>2866</v>
      </c>
      <c r="K528" s="204" t="s">
        <v>2867</v>
      </c>
    </row>
    <row r="529" spans="1:11" ht="24" customHeight="1">
      <c r="A529" s="182" t="s">
        <v>3538</v>
      </c>
      <c r="B529" s="184" t="s">
        <v>3539</v>
      </c>
      <c r="C529" s="189" t="s">
        <v>2894</v>
      </c>
      <c r="D529" s="186" t="s">
        <v>2653</v>
      </c>
      <c r="E529" s="198" t="s">
        <v>2865</v>
      </c>
      <c r="F529" s="186" t="s">
        <v>2865</v>
      </c>
      <c r="G529" s="186" t="s">
        <v>2865</v>
      </c>
      <c r="H529" s="194">
        <v>1242081614</v>
      </c>
      <c r="I529" s="195" t="s">
        <v>2873</v>
      </c>
      <c r="J529" s="192" t="s">
        <v>2866</v>
      </c>
      <c r="K529" s="204" t="s">
        <v>2867</v>
      </c>
    </row>
    <row r="530" spans="1:11" ht="31.5">
      <c r="A530" s="182" t="s">
        <v>3500</v>
      </c>
      <c r="B530" s="184" t="s">
        <v>3501</v>
      </c>
      <c r="C530" s="197" t="s">
        <v>2878</v>
      </c>
      <c r="D530" s="186" t="s">
        <v>2653</v>
      </c>
      <c r="E530" s="198" t="s">
        <v>2865</v>
      </c>
      <c r="F530" s="186" t="s">
        <v>2865</v>
      </c>
      <c r="G530" s="186" t="s">
        <v>2865</v>
      </c>
      <c r="H530" s="194">
        <v>8978083700</v>
      </c>
      <c r="I530" s="195" t="s">
        <v>2873</v>
      </c>
      <c r="J530" s="192" t="s">
        <v>2866</v>
      </c>
      <c r="K530" s="204" t="s">
        <v>2867</v>
      </c>
    </row>
    <row r="531" spans="1:11" ht="25">
      <c r="A531" s="182" t="s">
        <v>1240</v>
      </c>
      <c r="B531" s="184" t="s">
        <v>1238</v>
      </c>
      <c r="C531" s="185" t="s">
        <v>2653</v>
      </c>
      <c r="D531" s="186" t="s">
        <v>2653</v>
      </c>
      <c r="E531" s="187" t="s">
        <v>2522</v>
      </c>
      <c r="F531" s="186" t="s">
        <v>2871</v>
      </c>
      <c r="G531" s="189" t="s">
        <v>2784</v>
      </c>
      <c r="H531" s="194">
        <v>8688418585</v>
      </c>
      <c r="I531" s="195" t="s">
        <v>2873</v>
      </c>
      <c r="J531" s="192" t="s">
        <v>2866</v>
      </c>
      <c r="K531" s="204" t="s">
        <v>2867</v>
      </c>
    </row>
    <row r="532" spans="1:11" ht="21" customHeight="1">
      <c r="A532" s="182" t="s">
        <v>3502</v>
      </c>
      <c r="B532" s="184" t="s">
        <v>3503</v>
      </c>
      <c r="C532" s="185" t="s">
        <v>2653</v>
      </c>
      <c r="D532" s="186" t="s">
        <v>2653</v>
      </c>
      <c r="E532" s="187" t="s">
        <v>2527</v>
      </c>
      <c r="F532" s="186" t="s">
        <v>2871</v>
      </c>
      <c r="G532" s="189" t="s">
        <v>2801</v>
      </c>
      <c r="H532" s="194">
        <v>8640831490</v>
      </c>
      <c r="I532" s="195" t="s">
        <v>2873</v>
      </c>
      <c r="J532" s="192" t="s">
        <v>2866</v>
      </c>
      <c r="K532" s="204" t="s">
        <v>2867</v>
      </c>
    </row>
    <row r="533" spans="1:11" ht="25">
      <c r="A533" s="182" t="s">
        <v>3504</v>
      </c>
      <c r="B533" s="184" t="s">
        <v>3505</v>
      </c>
      <c r="C533" s="200" t="s">
        <v>2889</v>
      </c>
      <c r="D533" s="186" t="s">
        <v>2653</v>
      </c>
      <c r="E533" s="187" t="s">
        <v>2522</v>
      </c>
      <c r="F533" s="186" t="s">
        <v>2871</v>
      </c>
      <c r="G533" s="186" t="s">
        <v>2865</v>
      </c>
      <c r="H533" s="194">
        <v>7578255683</v>
      </c>
      <c r="I533" s="195" t="s">
        <v>2873</v>
      </c>
      <c r="J533" s="192" t="s">
        <v>2866</v>
      </c>
      <c r="K533" s="204" t="s">
        <v>2867</v>
      </c>
    </row>
    <row r="534" spans="1:11" ht="25">
      <c r="A534" s="182" t="s">
        <v>1376</v>
      </c>
      <c r="B534" s="184" t="s">
        <v>1374</v>
      </c>
      <c r="C534" s="185" t="s">
        <v>2653</v>
      </c>
      <c r="D534" s="186" t="s">
        <v>2653</v>
      </c>
      <c r="E534" s="187" t="s">
        <v>2522</v>
      </c>
      <c r="F534" s="186" t="s">
        <v>2871</v>
      </c>
      <c r="G534" s="189" t="s">
        <v>2797</v>
      </c>
      <c r="H534" s="194">
        <v>8478783688</v>
      </c>
      <c r="I534" s="201" t="s">
        <v>2882</v>
      </c>
      <c r="J534" s="192" t="s">
        <v>2866</v>
      </c>
      <c r="K534" s="204" t="s">
        <v>2867</v>
      </c>
    </row>
    <row r="535" spans="1:11">
      <c r="A535" s="182" t="s">
        <v>3540</v>
      </c>
      <c r="B535" s="184" t="s">
        <v>3541</v>
      </c>
      <c r="C535" s="203" t="s">
        <v>2950</v>
      </c>
      <c r="D535" s="186" t="s">
        <v>2653</v>
      </c>
      <c r="E535" s="198" t="s">
        <v>2865</v>
      </c>
      <c r="F535" s="186" t="s">
        <v>2865</v>
      </c>
      <c r="G535" s="186" t="s">
        <v>2865</v>
      </c>
      <c r="H535" s="194">
        <v>6556199821</v>
      </c>
      <c r="I535" s="195" t="s">
        <v>2873</v>
      </c>
      <c r="J535" s="192" t="s">
        <v>2866</v>
      </c>
      <c r="K535" s="204" t="s">
        <v>2867</v>
      </c>
    </row>
    <row r="536" spans="1:11" ht="21">
      <c r="A536" s="182" t="s">
        <v>3542</v>
      </c>
      <c r="B536" s="184" t="s">
        <v>3543</v>
      </c>
      <c r="C536" s="200" t="s">
        <v>2889</v>
      </c>
      <c r="D536" s="186" t="s">
        <v>2653</v>
      </c>
      <c r="E536" s="187" t="s">
        <v>2527</v>
      </c>
      <c r="F536" s="186" t="s">
        <v>2864</v>
      </c>
      <c r="G536" s="186" t="s">
        <v>2865</v>
      </c>
      <c r="H536" s="194">
        <v>8714626462</v>
      </c>
      <c r="I536" s="195" t="s">
        <v>2873</v>
      </c>
      <c r="J536" s="192" t="s">
        <v>2866</v>
      </c>
      <c r="K536" s="204" t="s">
        <v>2867</v>
      </c>
    </row>
    <row r="537" spans="1:11" ht="25">
      <c r="A537" s="182" t="s">
        <v>955</v>
      </c>
      <c r="B537" s="184" t="s">
        <v>953</v>
      </c>
      <c r="C537" s="185" t="s">
        <v>2892</v>
      </c>
      <c r="D537" s="186" t="s">
        <v>2653</v>
      </c>
      <c r="E537" s="187" t="s">
        <v>2996</v>
      </c>
      <c r="F537" s="186" t="s">
        <v>2871</v>
      </c>
      <c r="G537" s="189" t="s">
        <v>2773</v>
      </c>
      <c r="H537" s="194">
        <v>5807958342</v>
      </c>
      <c r="I537" s="195" t="s">
        <v>2873</v>
      </c>
      <c r="J537" s="192" t="s">
        <v>2866</v>
      </c>
      <c r="K537" s="204" t="s">
        <v>2867</v>
      </c>
    </row>
    <row r="538" spans="1:11" ht="37.5">
      <c r="A538" s="182" t="s">
        <v>3544</v>
      </c>
      <c r="B538" s="184" t="s">
        <v>3545</v>
      </c>
      <c r="C538" s="185" t="s">
        <v>2653</v>
      </c>
      <c r="D538" s="186" t="s">
        <v>2653</v>
      </c>
      <c r="E538" s="187" t="s">
        <v>2527</v>
      </c>
      <c r="F538" s="186" t="s">
        <v>2871</v>
      </c>
      <c r="G538" s="189" t="s">
        <v>2778</v>
      </c>
      <c r="H538" s="194">
        <v>2134822848</v>
      </c>
      <c r="I538" s="195" t="s">
        <v>2873</v>
      </c>
      <c r="J538" s="192" t="s">
        <v>2866</v>
      </c>
      <c r="K538" s="204" t="s">
        <v>2867</v>
      </c>
    </row>
    <row r="539" spans="1:11" ht="37.5">
      <c r="A539" s="182" t="s">
        <v>3506</v>
      </c>
      <c r="B539" s="184" t="s">
        <v>3507</v>
      </c>
      <c r="C539" s="185" t="s">
        <v>2653</v>
      </c>
      <c r="D539" s="186" t="s">
        <v>2653</v>
      </c>
      <c r="E539" s="187" t="s">
        <v>2527</v>
      </c>
      <c r="F539" s="186" t="s">
        <v>2864</v>
      </c>
      <c r="G539" s="189" t="s">
        <v>2795</v>
      </c>
      <c r="H539" s="194">
        <v>8533031613</v>
      </c>
      <c r="I539" s="195" t="s">
        <v>2873</v>
      </c>
      <c r="J539" s="192" t="s">
        <v>2866</v>
      </c>
      <c r="K539" s="204" t="s">
        <v>2867</v>
      </c>
    </row>
    <row r="540" spans="1:11">
      <c r="A540" s="182" t="s">
        <v>3508</v>
      </c>
      <c r="B540" s="184" t="s">
        <v>3509</v>
      </c>
      <c r="C540" s="203" t="s">
        <v>2950</v>
      </c>
      <c r="D540" s="186" t="s">
        <v>2653</v>
      </c>
      <c r="E540" s="198" t="s">
        <v>2865</v>
      </c>
      <c r="F540" s="186" t="s">
        <v>2865</v>
      </c>
      <c r="G540" s="186" t="s">
        <v>2865</v>
      </c>
      <c r="H540" s="194">
        <v>8840213445</v>
      </c>
      <c r="I540" s="195" t="s">
        <v>2873</v>
      </c>
      <c r="J540" s="192" t="s">
        <v>2866</v>
      </c>
      <c r="K540" s="204" t="s">
        <v>2867</v>
      </c>
    </row>
    <row r="541" spans="1:11" ht="21" customHeight="1">
      <c r="A541" s="182" t="s">
        <v>2772</v>
      </c>
      <c r="B541" s="184" t="s">
        <v>3510</v>
      </c>
      <c r="C541" s="189" t="s">
        <v>2894</v>
      </c>
      <c r="D541" s="200" t="s">
        <v>2881</v>
      </c>
      <c r="E541" s="187" t="s">
        <v>2527</v>
      </c>
      <c r="F541" s="186" t="s">
        <v>2871</v>
      </c>
      <c r="G541" s="186" t="s">
        <v>2865</v>
      </c>
      <c r="H541" s="194">
        <v>7134299796</v>
      </c>
      <c r="I541" s="195" t="s">
        <v>2873</v>
      </c>
      <c r="J541" s="192" t="s">
        <v>2866</v>
      </c>
      <c r="K541" s="204" t="s">
        <v>2867</v>
      </c>
    </row>
    <row r="542" spans="1:11" ht="25">
      <c r="A542" s="182" t="s">
        <v>663</v>
      </c>
      <c r="B542" s="184" t="s">
        <v>661</v>
      </c>
      <c r="C542" s="185" t="s">
        <v>2892</v>
      </c>
      <c r="D542" s="186" t="s">
        <v>2653</v>
      </c>
      <c r="E542" s="187" t="s">
        <v>2522</v>
      </c>
      <c r="F542" s="186" t="s">
        <v>2864</v>
      </c>
      <c r="G542" s="189" t="s">
        <v>2793</v>
      </c>
      <c r="H542" s="194">
        <v>6098691652</v>
      </c>
      <c r="I542" s="195" t="s">
        <v>2873</v>
      </c>
      <c r="J542" s="192" t="s">
        <v>2866</v>
      </c>
      <c r="K542" s="204" t="s">
        <v>2867</v>
      </c>
    </row>
    <row r="543" spans="1:11" ht="37.5">
      <c r="A543" s="182" t="s">
        <v>3546</v>
      </c>
      <c r="B543" s="184" t="s">
        <v>771</v>
      </c>
      <c r="C543" s="185" t="s">
        <v>2653</v>
      </c>
      <c r="D543" s="186" t="s">
        <v>2653</v>
      </c>
      <c r="E543" s="187" t="s">
        <v>2527</v>
      </c>
      <c r="F543" s="186" t="s">
        <v>2871</v>
      </c>
      <c r="G543" s="189" t="s">
        <v>2778</v>
      </c>
      <c r="H543" s="194">
        <v>1693304400</v>
      </c>
      <c r="I543" s="195" t="s">
        <v>2873</v>
      </c>
      <c r="J543" s="192" t="s">
        <v>2866</v>
      </c>
      <c r="K543" s="204" t="s">
        <v>2867</v>
      </c>
    </row>
    <row r="544" spans="1:11" ht="21" customHeight="1">
      <c r="A544" s="182" t="s">
        <v>3547</v>
      </c>
      <c r="B544" s="184" t="s">
        <v>3548</v>
      </c>
      <c r="C544" s="203" t="s">
        <v>2950</v>
      </c>
      <c r="D544" s="186" t="s">
        <v>2653</v>
      </c>
      <c r="E544" s="198" t="s">
        <v>2865</v>
      </c>
      <c r="F544" s="186" t="s">
        <v>2865</v>
      </c>
      <c r="G544" s="186" t="s">
        <v>2865</v>
      </c>
      <c r="H544" s="194">
        <v>7804596223</v>
      </c>
      <c r="I544" s="195" t="s">
        <v>2873</v>
      </c>
      <c r="J544" s="192" t="s">
        <v>2866</v>
      </c>
      <c r="K544" s="204" t="s">
        <v>2867</v>
      </c>
    </row>
    <row r="545" spans="1:11" ht="37.5">
      <c r="A545" s="182" t="s">
        <v>3511</v>
      </c>
      <c r="B545" s="184" t="s">
        <v>3512</v>
      </c>
      <c r="C545" s="185" t="s">
        <v>2892</v>
      </c>
      <c r="D545" s="186" t="s">
        <v>2653</v>
      </c>
      <c r="E545" s="187" t="s">
        <v>2527</v>
      </c>
      <c r="F545" s="186" t="s">
        <v>2871</v>
      </c>
      <c r="G545" s="189" t="s">
        <v>2801</v>
      </c>
      <c r="H545" s="194">
        <v>8377104374</v>
      </c>
      <c r="I545" s="195" t="s">
        <v>2873</v>
      </c>
      <c r="J545" s="192" t="s">
        <v>2866</v>
      </c>
      <c r="K545" s="204" t="s">
        <v>2867</v>
      </c>
    </row>
    <row r="546" spans="1:11" ht="25">
      <c r="A546" s="182" t="s">
        <v>3513</v>
      </c>
      <c r="B546" s="184" t="s">
        <v>3514</v>
      </c>
      <c r="C546" s="200" t="s">
        <v>2889</v>
      </c>
      <c r="D546" s="186" t="s">
        <v>2653</v>
      </c>
      <c r="E546" s="187" t="s">
        <v>2996</v>
      </c>
      <c r="F546" s="186" t="s">
        <v>2871</v>
      </c>
      <c r="G546" s="186" t="s">
        <v>2865</v>
      </c>
      <c r="H546" s="194">
        <v>8848424313</v>
      </c>
      <c r="I546" s="195" t="s">
        <v>2873</v>
      </c>
      <c r="J546" s="192" t="s">
        <v>2866</v>
      </c>
      <c r="K546" s="204" t="s">
        <v>2867</v>
      </c>
    </row>
    <row r="547" spans="1:11" ht="21" customHeight="1">
      <c r="A547" s="182" t="s">
        <v>3549</v>
      </c>
      <c r="B547" s="184" t="s">
        <v>3550</v>
      </c>
      <c r="C547" s="203" t="s">
        <v>2950</v>
      </c>
      <c r="D547" s="186" t="s">
        <v>2653</v>
      </c>
      <c r="E547" s="198" t="s">
        <v>2865</v>
      </c>
      <c r="F547" s="186" t="s">
        <v>2865</v>
      </c>
      <c r="G547" s="186" t="s">
        <v>2865</v>
      </c>
      <c r="H547" s="194">
        <v>7595698061</v>
      </c>
      <c r="I547" s="195" t="s">
        <v>2873</v>
      </c>
      <c r="J547" s="192" t="s">
        <v>2866</v>
      </c>
      <c r="K547" s="204" t="s">
        <v>2867</v>
      </c>
    </row>
    <row r="548" spans="1:11" ht="37.5">
      <c r="A548" s="182" t="s">
        <v>671</v>
      </c>
      <c r="B548" s="184" t="s">
        <v>669</v>
      </c>
      <c r="C548" s="185" t="s">
        <v>2653</v>
      </c>
      <c r="D548" s="186" t="s">
        <v>2653</v>
      </c>
      <c r="E548" s="187" t="s">
        <v>2522</v>
      </c>
      <c r="F548" s="186" t="s">
        <v>2871</v>
      </c>
      <c r="G548" s="189" t="s">
        <v>2780</v>
      </c>
      <c r="H548" s="194">
        <v>7693185992</v>
      </c>
      <c r="I548" s="195" t="s">
        <v>2873</v>
      </c>
      <c r="J548" s="192" t="s">
        <v>2866</v>
      </c>
      <c r="K548" s="204" t="s">
        <v>2867</v>
      </c>
    </row>
    <row r="549" spans="1:11" ht="25">
      <c r="A549" s="182" t="s">
        <v>328</v>
      </c>
      <c r="B549" s="184" t="s">
        <v>326</v>
      </c>
      <c r="C549" s="185" t="s">
        <v>2653</v>
      </c>
      <c r="D549" s="186" t="s">
        <v>2653</v>
      </c>
      <c r="E549" s="187" t="s">
        <v>2522</v>
      </c>
      <c r="F549" s="186" t="s">
        <v>2864</v>
      </c>
      <c r="G549" s="189" t="s">
        <v>2785</v>
      </c>
      <c r="H549" s="194">
        <v>7906117504</v>
      </c>
      <c r="I549" s="195" t="s">
        <v>2873</v>
      </c>
      <c r="J549" s="192" t="s">
        <v>2866</v>
      </c>
      <c r="K549" s="204" t="s">
        <v>2867</v>
      </c>
    </row>
    <row r="550" spans="1:11" ht="37.5">
      <c r="A550" s="182" t="s">
        <v>328</v>
      </c>
      <c r="B550" s="184" t="s">
        <v>766</v>
      </c>
      <c r="C550" s="185" t="s">
        <v>2653</v>
      </c>
      <c r="D550" s="186" t="s">
        <v>2653</v>
      </c>
      <c r="E550" s="187" t="s">
        <v>2522</v>
      </c>
      <c r="F550" s="186" t="s">
        <v>2871</v>
      </c>
      <c r="G550" s="189" t="s">
        <v>2779</v>
      </c>
      <c r="H550" s="194">
        <v>684066849</v>
      </c>
      <c r="I550" s="195" t="s">
        <v>2873</v>
      </c>
      <c r="J550" s="192" t="s">
        <v>2866</v>
      </c>
      <c r="K550" s="204" t="s">
        <v>2867</v>
      </c>
    </row>
    <row r="551" spans="1:11" ht="37.5">
      <c r="A551" s="182" t="s">
        <v>738</v>
      </c>
      <c r="B551" s="184" t="s">
        <v>736</v>
      </c>
      <c r="C551" s="185" t="s">
        <v>2653</v>
      </c>
      <c r="D551" s="186" t="s">
        <v>2653</v>
      </c>
      <c r="E551" s="187" t="s">
        <v>2522</v>
      </c>
      <c r="F551" s="186" t="s">
        <v>2871</v>
      </c>
      <c r="G551" s="189" t="s">
        <v>2779</v>
      </c>
      <c r="H551" s="194">
        <v>6444733934</v>
      </c>
      <c r="I551" s="195" t="s">
        <v>2873</v>
      </c>
      <c r="J551" s="192" t="s">
        <v>2866</v>
      </c>
      <c r="K551" s="204" t="s">
        <v>2867</v>
      </c>
    </row>
    <row r="552" spans="1:11" ht="37.5">
      <c r="A552" s="182" t="s">
        <v>834</v>
      </c>
      <c r="B552" s="184" t="s">
        <v>832</v>
      </c>
      <c r="C552" s="185" t="s">
        <v>2653</v>
      </c>
      <c r="D552" s="186" t="s">
        <v>2653</v>
      </c>
      <c r="E552" s="187" t="s">
        <v>2522</v>
      </c>
      <c r="F552" s="186" t="s">
        <v>2864</v>
      </c>
      <c r="G552" s="189" t="s">
        <v>2789</v>
      </c>
      <c r="H552" s="194">
        <v>8055011440</v>
      </c>
      <c r="I552" s="195" t="s">
        <v>2873</v>
      </c>
      <c r="J552" s="192" t="s">
        <v>2866</v>
      </c>
      <c r="K552" s="204" t="s">
        <v>2867</v>
      </c>
    </row>
    <row r="553" spans="1:11" ht="16" customHeight="1">
      <c r="A553" s="182" t="s">
        <v>3515</v>
      </c>
      <c r="B553" s="184" t="s">
        <v>429</v>
      </c>
      <c r="C553" s="185" t="s">
        <v>2653</v>
      </c>
      <c r="D553" s="186" t="s">
        <v>2653</v>
      </c>
      <c r="E553" s="187" t="s">
        <v>2522</v>
      </c>
      <c r="F553" s="186" t="s">
        <v>2864</v>
      </c>
      <c r="G553" s="189" t="s">
        <v>2769</v>
      </c>
      <c r="H553" s="194">
        <v>7552356704</v>
      </c>
      <c r="I553" s="195" t="s">
        <v>2873</v>
      </c>
      <c r="J553" s="192" t="s">
        <v>2866</v>
      </c>
      <c r="K553" s="204" t="s">
        <v>2867</v>
      </c>
    </row>
    <row r="554" spans="1:11" ht="21">
      <c r="A554" s="182" t="s">
        <v>3551</v>
      </c>
      <c r="B554" s="184" t="s">
        <v>3552</v>
      </c>
      <c r="C554" s="185" t="s">
        <v>2653</v>
      </c>
      <c r="D554" s="186" t="s">
        <v>2653</v>
      </c>
      <c r="E554" s="198" t="s">
        <v>2865</v>
      </c>
      <c r="F554" s="186" t="s">
        <v>2865</v>
      </c>
      <c r="G554" s="186" t="s">
        <v>2865</v>
      </c>
      <c r="H554" s="194">
        <v>8819771078</v>
      </c>
      <c r="I554" s="195" t="s">
        <v>2873</v>
      </c>
      <c r="J554" s="192" t="s">
        <v>2866</v>
      </c>
      <c r="K554" s="204" t="s">
        <v>2867</v>
      </c>
    </row>
    <row r="555" spans="1:11" ht="16">
      <c r="A555" s="182" t="s">
        <v>3553</v>
      </c>
      <c r="B555" s="184" t="s">
        <v>3554</v>
      </c>
      <c r="C555" s="189" t="s">
        <v>2894</v>
      </c>
      <c r="D555" s="186" t="s">
        <v>2653</v>
      </c>
      <c r="E555" s="198" t="s">
        <v>2865</v>
      </c>
      <c r="F555" s="186" t="s">
        <v>2865</v>
      </c>
      <c r="G555" s="186" t="s">
        <v>2865</v>
      </c>
      <c r="H555" s="194">
        <v>1600697474</v>
      </c>
      <c r="I555" s="195" t="s">
        <v>2873</v>
      </c>
      <c r="J555" s="192" t="s">
        <v>2866</v>
      </c>
      <c r="K555" s="204" t="s">
        <v>2867</v>
      </c>
    </row>
    <row r="556" spans="1:11" ht="21" customHeight="1">
      <c r="A556" s="182" t="s">
        <v>3555</v>
      </c>
      <c r="B556" s="184" t="s">
        <v>3556</v>
      </c>
      <c r="C556" s="203" t="s">
        <v>2950</v>
      </c>
      <c r="D556" s="186" t="s">
        <v>2653</v>
      </c>
      <c r="E556" s="187" t="s">
        <v>2996</v>
      </c>
      <c r="F556" s="186" t="s">
        <v>2871</v>
      </c>
      <c r="G556" s="189" t="s">
        <v>2797</v>
      </c>
      <c r="H556" s="194">
        <v>7809226411</v>
      </c>
      <c r="I556" s="195" t="s">
        <v>2873</v>
      </c>
      <c r="J556" s="192" t="s">
        <v>2866</v>
      </c>
      <c r="K556" s="204" t="s">
        <v>2867</v>
      </c>
    </row>
    <row r="557" spans="1:11" ht="21">
      <c r="A557" s="182" t="s">
        <v>3516</v>
      </c>
      <c r="B557" s="184">
        <v>2613050954</v>
      </c>
      <c r="C557" s="185" t="s">
        <v>2653</v>
      </c>
      <c r="D557" s="186" t="s">
        <v>2653</v>
      </c>
      <c r="E557" s="187" t="s">
        <v>2522</v>
      </c>
      <c r="F557" s="186" t="s">
        <v>2871</v>
      </c>
      <c r="G557" s="189" t="s">
        <v>2776</v>
      </c>
      <c r="H557" s="194">
        <v>8801454719</v>
      </c>
      <c r="I557" s="195" t="s">
        <v>2873</v>
      </c>
      <c r="J557" s="192" t="s">
        <v>2866</v>
      </c>
      <c r="K557" s="204" t="s">
        <v>2867</v>
      </c>
    </row>
    <row r="558" spans="1:11" ht="37.5">
      <c r="A558" s="182" t="s">
        <v>1684</v>
      </c>
      <c r="B558" s="184" t="s">
        <v>1682</v>
      </c>
      <c r="C558" s="185" t="s">
        <v>2653</v>
      </c>
      <c r="D558" s="186" t="s">
        <v>2653</v>
      </c>
      <c r="E558" s="187" t="s">
        <v>2527</v>
      </c>
      <c r="F558" s="186" t="s">
        <v>2864</v>
      </c>
      <c r="G558" s="189" t="s">
        <v>2791</v>
      </c>
      <c r="H558" s="194">
        <v>7880950098</v>
      </c>
      <c r="I558" s="195" t="s">
        <v>2873</v>
      </c>
      <c r="J558" s="192" t="s">
        <v>2866</v>
      </c>
      <c r="K558" s="204" t="s">
        <v>2867</v>
      </c>
    </row>
    <row r="559" spans="1:11" ht="37.5">
      <c r="A559" s="182" t="s">
        <v>3557</v>
      </c>
      <c r="B559" s="184" t="s">
        <v>3558</v>
      </c>
      <c r="C559" s="185" t="s">
        <v>2653</v>
      </c>
      <c r="D559" s="186" t="s">
        <v>2653</v>
      </c>
      <c r="E559" s="187" t="s">
        <v>2527</v>
      </c>
      <c r="F559" s="186" t="s">
        <v>2871</v>
      </c>
      <c r="G559" s="189" t="s">
        <v>2772</v>
      </c>
      <c r="H559" s="194">
        <v>8158826027</v>
      </c>
      <c r="I559" s="195" t="s">
        <v>2873</v>
      </c>
      <c r="J559" s="192" t="s">
        <v>2866</v>
      </c>
      <c r="K559" s="204" t="s">
        <v>2867</v>
      </c>
    </row>
    <row r="560" spans="1:11" ht="21">
      <c r="A560" s="182" t="s">
        <v>3571</v>
      </c>
      <c r="B560" s="184" t="s">
        <v>3572</v>
      </c>
      <c r="C560" s="203" t="s">
        <v>2950</v>
      </c>
      <c r="D560" s="186" t="s">
        <v>2653</v>
      </c>
      <c r="E560" s="198" t="s">
        <v>2865</v>
      </c>
      <c r="F560" s="186" t="s">
        <v>2865</v>
      </c>
      <c r="G560" s="186" t="s">
        <v>2865</v>
      </c>
      <c r="H560" s="194">
        <v>1311386990</v>
      </c>
      <c r="I560" s="195" t="s">
        <v>2873</v>
      </c>
      <c r="J560" s="192" t="s">
        <v>2866</v>
      </c>
      <c r="K560" s="204" t="s">
        <v>2867</v>
      </c>
    </row>
    <row r="561" spans="1:11" ht="21">
      <c r="A561" s="182" t="s">
        <v>3573</v>
      </c>
      <c r="B561" s="184" t="s">
        <v>3574</v>
      </c>
      <c r="C561" s="202" t="s">
        <v>3009</v>
      </c>
      <c r="D561" s="186" t="s">
        <v>2653</v>
      </c>
      <c r="E561" s="198" t="s">
        <v>2865</v>
      </c>
      <c r="F561" s="186" t="s">
        <v>2865</v>
      </c>
      <c r="G561" s="186" t="s">
        <v>2865</v>
      </c>
      <c r="H561" s="194">
        <v>8940956872</v>
      </c>
      <c r="I561" s="195" t="s">
        <v>2873</v>
      </c>
      <c r="J561" s="192" t="s">
        <v>2866</v>
      </c>
      <c r="K561" s="204" t="s">
        <v>2867</v>
      </c>
    </row>
    <row r="562" spans="1:11" ht="14" customHeight="1">
      <c r="A562" s="182" t="s">
        <v>1829</v>
      </c>
      <c r="B562" s="184" t="s">
        <v>1827</v>
      </c>
      <c r="C562" s="185" t="s">
        <v>2653</v>
      </c>
      <c r="D562" s="186" t="s">
        <v>2653</v>
      </c>
      <c r="E562" s="187" t="s">
        <v>2527</v>
      </c>
      <c r="F562" s="186" t="s">
        <v>2871</v>
      </c>
      <c r="G562" s="189" t="s">
        <v>2783</v>
      </c>
      <c r="H562" s="194">
        <v>7156619484</v>
      </c>
      <c r="I562" s="195" t="s">
        <v>2873</v>
      </c>
      <c r="J562" s="192" t="s">
        <v>2866</v>
      </c>
      <c r="K562" s="204" t="s">
        <v>2867</v>
      </c>
    </row>
    <row r="563" spans="1:11" ht="37.5">
      <c r="A563" s="182" t="s">
        <v>3575</v>
      </c>
      <c r="B563" s="184" t="s">
        <v>3576</v>
      </c>
      <c r="C563" s="185" t="s">
        <v>2653</v>
      </c>
      <c r="D563" s="186" t="s">
        <v>2653</v>
      </c>
      <c r="E563" s="187" t="s">
        <v>2522</v>
      </c>
      <c r="F563" s="186" t="s">
        <v>2871</v>
      </c>
      <c r="G563" s="189" t="s">
        <v>2780</v>
      </c>
      <c r="H563" s="194">
        <v>7830735650</v>
      </c>
      <c r="I563" s="195" t="s">
        <v>2873</v>
      </c>
      <c r="J563" s="192" t="s">
        <v>2866</v>
      </c>
      <c r="K563" s="204" t="s">
        <v>2867</v>
      </c>
    </row>
    <row r="564" spans="1:11" ht="34.5">
      <c r="A564" s="182" t="s">
        <v>2789</v>
      </c>
      <c r="B564" s="184" t="s">
        <v>3559</v>
      </c>
      <c r="C564" s="189" t="s">
        <v>2880</v>
      </c>
      <c r="D564" s="200" t="s">
        <v>2881</v>
      </c>
      <c r="E564" s="198" t="s">
        <v>2865</v>
      </c>
      <c r="F564" s="186" t="s">
        <v>2865</v>
      </c>
      <c r="G564" s="186" t="s">
        <v>2865</v>
      </c>
      <c r="H564" s="194">
        <v>711738345</v>
      </c>
      <c r="I564" s="195" t="s">
        <v>2873</v>
      </c>
      <c r="J564" s="192" t="s">
        <v>2866</v>
      </c>
      <c r="K564" s="204" t="s">
        <v>2867</v>
      </c>
    </row>
    <row r="565" spans="1:11" ht="16" customHeight="1">
      <c r="A565" s="182" t="s">
        <v>3577</v>
      </c>
      <c r="B565" s="184" t="s">
        <v>3578</v>
      </c>
      <c r="C565" s="203" t="s">
        <v>2950</v>
      </c>
      <c r="D565" s="186" t="s">
        <v>2653</v>
      </c>
      <c r="E565" s="187" t="s">
        <v>2522</v>
      </c>
      <c r="F565" s="186" t="s">
        <v>2864</v>
      </c>
      <c r="G565" s="189" t="s">
        <v>2786</v>
      </c>
      <c r="H565" s="194">
        <v>5834545426</v>
      </c>
      <c r="I565" s="195" t="s">
        <v>2873</v>
      </c>
      <c r="J565" s="192" t="s">
        <v>2866</v>
      </c>
      <c r="K565" s="204" t="s">
        <v>2867</v>
      </c>
    </row>
    <row r="566" spans="1:11" ht="16">
      <c r="A566" s="182" t="s">
        <v>3579</v>
      </c>
      <c r="B566" s="184" t="s">
        <v>3580</v>
      </c>
      <c r="C566" s="189" t="s">
        <v>2894</v>
      </c>
      <c r="D566" s="186" t="s">
        <v>2653</v>
      </c>
      <c r="E566" s="187" t="s">
        <v>2522</v>
      </c>
      <c r="F566" s="186" t="s">
        <v>2864</v>
      </c>
      <c r="G566" s="186" t="s">
        <v>2865</v>
      </c>
      <c r="H566" s="194">
        <v>8939575483</v>
      </c>
      <c r="I566" s="195" t="s">
        <v>2873</v>
      </c>
      <c r="J566" s="192" t="s">
        <v>2866</v>
      </c>
      <c r="K566" s="204" t="s">
        <v>2867</v>
      </c>
    </row>
    <row r="567" spans="1:11" ht="25">
      <c r="A567" s="182" t="s">
        <v>3581</v>
      </c>
      <c r="B567" s="184" t="s">
        <v>366</v>
      </c>
      <c r="C567" s="185" t="s">
        <v>2653</v>
      </c>
      <c r="D567" s="186" t="s">
        <v>2653</v>
      </c>
      <c r="E567" s="187" t="s">
        <v>2522</v>
      </c>
      <c r="F567" s="186" t="s">
        <v>2864</v>
      </c>
      <c r="G567" s="189" t="s">
        <v>2794</v>
      </c>
      <c r="H567" s="194">
        <v>6867103460</v>
      </c>
      <c r="I567" s="195" t="s">
        <v>2873</v>
      </c>
      <c r="J567" s="192" t="s">
        <v>2866</v>
      </c>
      <c r="K567" s="204" t="s">
        <v>2867</v>
      </c>
    </row>
    <row r="568" spans="1:11" ht="25">
      <c r="A568" s="182" t="s">
        <v>3560</v>
      </c>
      <c r="B568" s="184" t="s">
        <v>374</v>
      </c>
      <c r="C568" s="185" t="s">
        <v>2653</v>
      </c>
      <c r="D568" s="186" t="s">
        <v>2653</v>
      </c>
      <c r="E568" s="187" t="s">
        <v>2522</v>
      </c>
      <c r="F568" s="186" t="s">
        <v>2864</v>
      </c>
      <c r="G568" s="189" t="s">
        <v>2794</v>
      </c>
      <c r="H568" s="194">
        <v>8863650921</v>
      </c>
      <c r="I568" s="195" t="s">
        <v>2873</v>
      </c>
      <c r="J568" s="192" t="s">
        <v>2866</v>
      </c>
      <c r="K568" s="204" t="s">
        <v>2867</v>
      </c>
    </row>
    <row r="569" spans="1:11" ht="37.5">
      <c r="A569" s="182" t="s">
        <v>862</v>
      </c>
      <c r="B569" s="184" t="s">
        <v>860</v>
      </c>
      <c r="C569" s="185" t="s">
        <v>2653</v>
      </c>
      <c r="D569" s="186" t="s">
        <v>2653</v>
      </c>
      <c r="E569" s="187" t="s">
        <v>2522</v>
      </c>
      <c r="F569" s="186" t="s">
        <v>2864</v>
      </c>
      <c r="G569" s="189" t="s">
        <v>2789</v>
      </c>
      <c r="H569" s="194">
        <v>7306676782</v>
      </c>
      <c r="I569" s="195" t="s">
        <v>2873</v>
      </c>
      <c r="J569" s="192" t="s">
        <v>2866</v>
      </c>
      <c r="K569" s="204" t="s">
        <v>2867</v>
      </c>
    </row>
    <row r="570" spans="1:11" ht="25">
      <c r="A570" s="182" t="s">
        <v>3561</v>
      </c>
      <c r="B570" s="184" t="s">
        <v>408</v>
      </c>
      <c r="C570" s="185" t="s">
        <v>2653</v>
      </c>
      <c r="D570" s="186" t="s">
        <v>2653</v>
      </c>
      <c r="E570" s="187" t="s">
        <v>2522</v>
      </c>
      <c r="F570" s="186" t="s">
        <v>2864</v>
      </c>
      <c r="G570" s="189" t="s">
        <v>2769</v>
      </c>
      <c r="H570" s="194">
        <v>8548433055</v>
      </c>
      <c r="I570" s="195" t="s">
        <v>2873</v>
      </c>
      <c r="J570" s="192" t="s">
        <v>2866</v>
      </c>
      <c r="K570" s="204" t="s">
        <v>2867</v>
      </c>
    </row>
    <row r="571" spans="1:11" ht="24" customHeight="1">
      <c r="A571" s="182" t="s">
        <v>3562</v>
      </c>
      <c r="B571" s="184">
        <v>2613050473</v>
      </c>
      <c r="C571" s="185" t="s">
        <v>2653</v>
      </c>
      <c r="D571" s="186" t="s">
        <v>2653</v>
      </c>
      <c r="E571" s="187" t="s">
        <v>2527</v>
      </c>
      <c r="F571" s="186" t="s">
        <v>2871</v>
      </c>
      <c r="G571" s="189" t="s">
        <v>2798</v>
      </c>
      <c r="H571" s="194">
        <v>8627628057</v>
      </c>
      <c r="I571" s="195" t="s">
        <v>2873</v>
      </c>
      <c r="J571" s="192" t="s">
        <v>2866</v>
      </c>
      <c r="K571" s="204" t="s">
        <v>2867</v>
      </c>
    </row>
    <row r="572" spans="1:11">
      <c r="A572" s="182" t="s">
        <v>3582</v>
      </c>
      <c r="B572" s="184" t="s">
        <v>3583</v>
      </c>
      <c r="C572" s="203" t="s">
        <v>2950</v>
      </c>
      <c r="D572" s="186" t="s">
        <v>2653</v>
      </c>
      <c r="E572" s="198" t="s">
        <v>2865</v>
      </c>
      <c r="F572" s="186" t="s">
        <v>2865</v>
      </c>
      <c r="G572" s="186" t="s">
        <v>2865</v>
      </c>
      <c r="H572" s="194">
        <v>8236757802</v>
      </c>
      <c r="I572" s="195" t="s">
        <v>2873</v>
      </c>
      <c r="J572" s="192" t="s">
        <v>2866</v>
      </c>
      <c r="K572" s="204" t="s">
        <v>2867</v>
      </c>
    </row>
    <row r="573" spans="1:11" ht="25">
      <c r="A573" s="182" t="s">
        <v>3584</v>
      </c>
      <c r="B573" s="184" t="s">
        <v>3585</v>
      </c>
      <c r="C573" s="189" t="s">
        <v>2894</v>
      </c>
      <c r="D573" s="186" t="s">
        <v>2653</v>
      </c>
      <c r="E573" s="187" t="s">
        <v>2527</v>
      </c>
      <c r="F573" s="186" t="s">
        <v>2871</v>
      </c>
      <c r="G573" s="186" t="s">
        <v>2865</v>
      </c>
      <c r="H573" s="194">
        <v>8940953261</v>
      </c>
      <c r="I573" s="195" t="s">
        <v>2873</v>
      </c>
      <c r="J573" s="192" t="s">
        <v>2866</v>
      </c>
      <c r="K573" s="204" t="s">
        <v>2867</v>
      </c>
    </row>
    <row r="574" spans="1:11" ht="37.5">
      <c r="A574" s="182" t="s">
        <v>3563</v>
      </c>
      <c r="B574" s="184" t="s">
        <v>3564</v>
      </c>
      <c r="C574" s="185" t="s">
        <v>2653</v>
      </c>
      <c r="D574" s="186" t="s">
        <v>2653</v>
      </c>
      <c r="E574" s="187" t="s">
        <v>2527</v>
      </c>
      <c r="F574" s="186" t="s">
        <v>2871</v>
      </c>
      <c r="G574" s="189" t="s">
        <v>2783</v>
      </c>
      <c r="H574" s="194">
        <v>8347455718</v>
      </c>
      <c r="I574" s="195" t="s">
        <v>2873</v>
      </c>
      <c r="J574" s="192" t="s">
        <v>2866</v>
      </c>
      <c r="K574" s="204" t="s">
        <v>2867</v>
      </c>
    </row>
    <row r="575" spans="1:11" ht="37.5">
      <c r="A575" s="182" t="s">
        <v>3565</v>
      </c>
      <c r="B575" s="184" t="s">
        <v>3566</v>
      </c>
      <c r="C575" s="185" t="s">
        <v>2653</v>
      </c>
      <c r="D575" s="186" t="s">
        <v>2653</v>
      </c>
      <c r="E575" s="187" t="s">
        <v>2527</v>
      </c>
      <c r="F575" s="186" t="s">
        <v>2871</v>
      </c>
      <c r="G575" s="189" t="s">
        <v>2798</v>
      </c>
      <c r="H575" s="194">
        <v>786835196</v>
      </c>
      <c r="I575" s="195" t="s">
        <v>2873</v>
      </c>
      <c r="J575" s="192" t="s">
        <v>2866</v>
      </c>
      <c r="K575" s="204" t="s">
        <v>2867</v>
      </c>
    </row>
    <row r="576" spans="1:11" ht="25">
      <c r="A576" s="182" t="s">
        <v>3567</v>
      </c>
      <c r="B576" s="184" t="s">
        <v>3568</v>
      </c>
      <c r="C576" s="185" t="s">
        <v>2653</v>
      </c>
      <c r="D576" s="186" t="s">
        <v>2653</v>
      </c>
      <c r="E576" s="187" t="s">
        <v>2522</v>
      </c>
      <c r="F576" s="186" t="s">
        <v>2864</v>
      </c>
      <c r="G576" s="189" t="s">
        <v>2785</v>
      </c>
      <c r="H576" s="194">
        <v>7103623567</v>
      </c>
      <c r="I576" s="195" t="s">
        <v>2873</v>
      </c>
      <c r="J576" s="192" t="s">
        <v>2866</v>
      </c>
      <c r="K576" s="204" t="s">
        <v>2867</v>
      </c>
    </row>
    <row r="577" spans="1:11" ht="37.5">
      <c r="A577" s="182" t="s">
        <v>3569</v>
      </c>
      <c r="B577" s="184" t="s">
        <v>3570</v>
      </c>
      <c r="C577" s="185" t="s">
        <v>2653</v>
      </c>
      <c r="D577" s="186" t="s">
        <v>2653</v>
      </c>
      <c r="E577" s="187" t="s">
        <v>2527</v>
      </c>
      <c r="F577" s="186" t="s">
        <v>2871</v>
      </c>
      <c r="G577" s="189" t="s">
        <v>2772</v>
      </c>
      <c r="H577" s="194">
        <v>7122993005</v>
      </c>
      <c r="I577" s="195" t="s">
        <v>2873</v>
      </c>
      <c r="J577" s="192" t="s">
        <v>2866</v>
      </c>
      <c r="K577" s="204" t="s">
        <v>2867</v>
      </c>
    </row>
    <row r="578" spans="1:11" ht="25">
      <c r="A578" s="182" t="s">
        <v>3589</v>
      </c>
      <c r="B578" s="184" t="s">
        <v>3590</v>
      </c>
      <c r="C578" s="203" t="s">
        <v>2950</v>
      </c>
      <c r="D578" s="186" t="s">
        <v>2653</v>
      </c>
      <c r="E578" s="187" t="s">
        <v>2996</v>
      </c>
      <c r="F578" s="186" t="s">
        <v>2864</v>
      </c>
      <c r="G578" s="189" t="s">
        <v>2787</v>
      </c>
      <c r="H578" s="194">
        <v>8404625331</v>
      </c>
      <c r="I578" s="195" t="s">
        <v>2873</v>
      </c>
      <c r="J578" s="192" t="s">
        <v>2866</v>
      </c>
      <c r="K578" s="204" t="s">
        <v>2867</v>
      </c>
    </row>
    <row r="579" spans="1:11" ht="37.5">
      <c r="A579" s="182" t="s">
        <v>3586</v>
      </c>
      <c r="B579" s="184" t="s">
        <v>3587</v>
      </c>
      <c r="C579" s="185" t="s">
        <v>2653</v>
      </c>
      <c r="D579" s="186" t="s">
        <v>2653</v>
      </c>
      <c r="E579" s="187" t="s">
        <v>2527</v>
      </c>
      <c r="F579" s="186" t="s">
        <v>2871</v>
      </c>
      <c r="G579" s="189" t="s">
        <v>2801</v>
      </c>
      <c r="H579" s="194">
        <v>8444402707</v>
      </c>
      <c r="I579" s="195" t="s">
        <v>2873</v>
      </c>
      <c r="J579" s="192" t="s">
        <v>2866</v>
      </c>
      <c r="K579" s="204" t="s">
        <v>2867</v>
      </c>
    </row>
    <row r="580" spans="1:11" ht="21" customHeight="1">
      <c r="A580" s="182" t="s">
        <v>3591</v>
      </c>
      <c r="B580" s="184" t="s">
        <v>3592</v>
      </c>
      <c r="C580" s="203" t="s">
        <v>2950</v>
      </c>
      <c r="D580" s="186" t="s">
        <v>2653</v>
      </c>
      <c r="E580" s="198" t="s">
        <v>2865</v>
      </c>
      <c r="F580" s="186" t="s">
        <v>2865</v>
      </c>
      <c r="G580" s="186" t="s">
        <v>2865</v>
      </c>
      <c r="H580" s="194">
        <v>8689907707</v>
      </c>
      <c r="I580" s="195" t="s">
        <v>2873</v>
      </c>
      <c r="J580" s="192" t="s">
        <v>2866</v>
      </c>
      <c r="K580" s="204" t="s">
        <v>2867</v>
      </c>
    </row>
    <row r="581" spans="1:11" ht="16">
      <c r="A581" s="182" t="s">
        <v>3588</v>
      </c>
      <c r="B581" s="184">
        <v>2613051026</v>
      </c>
      <c r="C581" s="185" t="s">
        <v>2653</v>
      </c>
      <c r="D581" s="186" t="s">
        <v>2653</v>
      </c>
      <c r="E581" s="187" t="s">
        <v>2527</v>
      </c>
      <c r="F581" s="186" t="s">
        <v>2871</v>
      </c>
      <c r="G581" s="189" t="s">
        <v>2798</v>
      </c>
      <c r="H581" s="194">
        <v>8435742050</v>
      </c>
      <c r="I581" s="195" t="s">
        <v>2873</v>
      </c>
      <c r="J581" s="192" t="s">
        <v>2866</v>
      </c>
      <c r="K581" s="204" t="s">
        <v>2867</v>
      </c>
    </row>
    <row r="582" spans="1:11" ht="25">
      <c r="A582" s="182" t="s">
        <v>1009</v>
      </c>
      <c r="B582" s="184" t="s">
        <v>1007</v>
      </c>
      <c r="C582" s="185" t="s">
        <v>2653</v>
      </c>
      <c r="D582" s="186" t="s">
        <v>2653</v>
      </c>
      <c r="E582" s="187" t="s">
        <v>2522</v>
      </c>
      <c r="F582" s="186" t="s">
        <v>2871</v>
      </c>
      <c r="G582" s="189" t="s">
        <v>2776</v>
      </c>
      <c r="H582" s="194">
        <v>8779829368</v>
      </c>
      <c r="I582" s="195" t="s">
        <v>2873</v>
      </c>
      <c r="J582" s="192" t="s">
        <v>2866</v>
      </c>
      <c r="K582" s="204" t="s">
        <v>2867</v>
      </c>
    </row>
    <row r="583" spans="1:11" ht="24" customHeight="1">
      <c r="A583" s="182" t="s">
        <v>3593</v>
      </c>
      <c r="B583" s="184" t="s">
        <v>360</v>
      </c>
      <c r="C583" s="185" t="s">
        <v>2653</v>
      </c>
      <c r="D583" s="186" t="s">
        <v>2653</v>
      </c>
      <c r="E583" s="187" t="s">
        <v>2522</v>
      </c>
      <c r="F583" s="186" t="s">
        <v>2864</v>
      </c>
      <c r="G583" s="189" t="s">
        <v>2794</v>
      </c>
      <c r="H583" s="194">
        <v>6130103877</v>
      </c>
      <c r="I583" s="195" t="s">
        <v>2873</v>
      </c>
      <c r="J583" s="192" t="s">
        <v>2866</v>
      </c>
      <c r="K583" s="204" t="s">
        <v>2867</v>
      </c>
    </row>
    <row r="584" spans="1:11" ht="31.5">
      <c r="A584" s="182" t="s">
        <v>3594</v>
      </c>
      <c r="B584" s="184" t="s">
        <v>3595</v>
      </c>
      <c r="C584" s="200" t="s">
        <v>2889</v>
      </c>
      <c r="D584" s="186" t="s">
        <v>2653</v>
      </c>
      <c r="E584" s="187" t="s">
        <v>2522</v>
      </c>
      <c r="F584" s="186" t="s">
        <v>2871</v>
      </c>
      <c r="G584" s="189" t="s">
        <v>2803</v>
      </c>
      <c r="H584" s="194">
        <v>8510588499</v>
      </c>
      <c r="I584" s="195" t="s">
        <v>2873</v>
      </c>
      <c r="J584" s="192" t="s">
        <v>2866</v>
      </c>
      <c r="K584" s="204" t="s">
        <v>2867</v>
      </c>
    </row>
    <row r="585" spans="1:11" ht="21">
      <c r="A585" s="182" t="s">
        <v>3596</v>
      </c>
      <c r="B585" s="184">
        <v>2613051056</v>
      </c>
      <c r="C585" s="185" t="s">
        <v>2653</v>
      </c>
      <c r="D585" s="186" t="s">
        <v>2653</v>
      </c>
      <c r="E585" s="187" t="s">
        <v>2527</v>
      </c>
      <c r="F585" s="186" t="s">
        <v>2871</v>
      </c>
      <c r="G585" s="189" t="s">
        <v>2798</v>
      </c>
      <c r="H585" s="194">
        <v>8611405161</v>
      </c>
      <c r="I585" s="195" t="s">
        <v>2873</v>
      </c>
      <c r="J585" s="192" t="s">
        <v>2866</v>
      </c>
      <c r="K585" s="204" t="s">
        <v>2867</v>
      </c>
    </row>
    <row r="586" spans="1:11">
      <c r="A586" s="182" t="s">
        <v>3608</v>
      </c>
      <c r="B586" s="184" t="s">
        <v>3609</v>
      </c>
      <c r="C586" s="203" t="s">
        <v>2950</v>
      </c>
      <c r="D586" s="186" t="s">
        <v>2653</v>
      </c>
      <c r="E586" s="198" t="s">
        <v>2865</v>
      </c>
      <c r="F586" s="186" t="s">
        <v>2865</v>
      </c>
      <c r="G586" s="186" t="s">
        <v>2865</v>
      </c>
      <c r="H586" s="194">
        <v>8833423563</v>
      </c>
      <c r="I586" s="195" t="s">
        <v>2873</v>
      </c>
      <c r="J586" s="192" t="s">
        <v>2866</v>
      </c>
      <c r="K586" s="204" t="s">
        <v>2867</v>
      </c>
    </row>
    <row r="587" spans="1:11" ht="37.5">
      <c r="A587" s="182" t="s">
        <v>3610</v>
      </c>
      <c r="B587" s="184" t="s">
        <v>679</v>
      </c>
      <c r="C587" s="185" t="s">
        <v>2653</v>
      </c>
      <c r="D587" s="186" t="s">
        <v>2653</v>
      </c>
      <c r="E587" s="187" t="s">
        <v>2522</v>
      </c>
      <c r="F587" s="186" t="s">
        <v>2871</v>
      </c>
      <c r="G587" s="189" t="s">
        <v>2780</v>
      </c>
      <c r="H587" s="194">
        <v>7146014535</v>
      </c>
      <c r="I587" s="195" t="s">
        <v>2873</v>
      </c>
      <c r="J587" s="192" t="s">
        <v>2866</v>
      </c>
      <c r="K587" s="204" t="s">
        <v>2867</v>
      </c>
    </row>
    <row r="588" spans="1:11" ht="37.5">
      <c r="A588" s="182" t="s">
        <v>3611</v>
      </c>
      <c r="B588" s="184" t="s">
        <v>3612</v>
      </c>
      <c r="C588" s="185" t="s">
        <v>2653</v>
      </c>
      <c r="D588" s="186" t="s">
        <v>2653</v>
      </c>
      <c r="E588" s="187" t="s">
        <v>2527</v>
      </c>
      <c r="F588" s="186" t="s">
        <v>2864</v>
      </c>
      <c r="G588" s="189" t="s">
        <v>2771</v>
      </c>
      <c r="H588" s="194">
        <v>7838807907</v>
      </c>
      <c r="I588" s="195" t="s">
        <v>2873</v>
      </c>
      <c r="J588" s="192" t="s">
        <v>2866</v>
      </c>
      <c r="K588" s="204" t="s">
        <v>2867</v>
      </c>
    </row>
    <row r="589" spans="1:11" ht="25">
      <c r="A589" s="182" t="s">
        <v>3613</v>
      </c>
      <c r="B589" s="184" t="s">
        <v>3614</v>
      </c>
      <c r="C589" s="203" t="s">
        <v>2950</v>
      </c>
      <c r="D589" s="186" t="s">
        <v>2653</v>
      </c>
      <c r="E589" s="187" t="s">
        <v>2527</v>
      </c>
      <c r="F589" s="186" t="s">
        <v>2871</v>
      </c>
      <c r="G589" s="186" t="s">
        <v>2865</v>
      </c>
      <c r="H589" s="194">
        <v>8732704453</v>
      </c>
      <c r="I589" s="195" t="s">
        <v>2873</v>
      </c>
      <c r="J589" s="192" t="s">
        <v>2866</v>
      </c>
      <c r="K589" s="204" t="s">
        <v>2867</v>
      </c>
    </row>
    <row r="590" spans="1:11" ht="31.5">
      <c r="A590" s="182" t="s">
        <v>3597</v>
      </c>
      <c r="B590" s="184" t="s">
        <v>3598</v>
      </c>
      <c r="C590" s="203" t="s">
        <v>2950</v>
      </c>
      <c r="D590" s="186" t="s">
        <v>2653</v>
      </c>
      <c r="E590" s="198" t="s">
        <v>2865</v>
      </c>
      <c r="F590" s="186" t="s">
        <v>2865</v>
      </c>
      <c r="G590" s="186" t="s">
        <v>2865</v>
      </c>
      <c r="H590" s="194">
        <v>85774766624</v>
      </c>
      <c r="I590" s="195" t="s">
        <v>2873</v>
      </c>
      <c r="J590" s="192" t="s">
        <v>2866</v>
      </c>
      <c r="K590" s="204" t="s">
        <v>2867</v>
      </c>
    </row>
    <row r="591" spans="1:11" ht="31.5">
      <c r="A591" s="182" t="s">
        <v>3682</v>
      </c>
      <c r="B591" s="184" t="s">
        <v>3683</v>
      </c>
      <c r="C591" s="203" t="s">
        <v>2950</v>
      </c>
      <c r="D591" s="186" t="s">
        <v>2653</v>
      </c>
      <c r="E591" s="198" t="s">
        <v>2865</v>
      </c>
      <c r="F591" s="186" t="s">
        <v>2865</v>
      </c>
      <c r="G591" s="186" t="s">
        <v>2865</v>
      </c>
      <c r="H591" s="194">
        <v>8709474262</v>
      </c>
      <c r="I591" s="195" t="s">
        <v>2873</v>
      </c>
      <c r="J591" s="192" t="s">
        <v>2866</v>
      </c>
      <c r="K591" s="204" t="s">
        <v>2867</v>
      </c>
    </row>
    <row r="592" spans="1:11" ht="31.5">
      <c r="A592" s="182" t="s">
        <v>3599</v>
      </c>
      <c r="B592" s="184" t="s">
        <v>3600</v>
      </c>
      <c r="C592" s="197" t="s">
        <v>2878</v>
      </c>
      <c r="D592" s="186" t="s">
        <v>2653</v>
      </c>
      <c r="E592" s="198" t="s">
        <v>2865</v>
      </c>
      <c r="F592" s="186" t="s">
        <v>2865</v>
      </c>
      <c r="G592" s="186" t="s">
        <v>2865</v>
      </c>
      <c r="H592" s="194">
        <v>5480299855</v>
      </c>
      <c r="I592" s="195" t="s">
        <v>2873</v>
      </c>
      <c r="J592" s="192" t="s">
        <v>2866</v>
      </c>
      <c r="K592" s="204" t="s">
        <v>2867</v>
      </c>
    </row>
    <row r="593" spans="1:11">
      <c r="A593" s="182" t="s">
        <v>3615</v>
      </c>
      <c r="B593" s="184" t="s">
        <v>3616</v>
      </c>
      <c r="C593" s="203" t="s">
        <v>2950</v>
      </c>
      <c r="D593" s="186" t="s">
        <v>2653</v>
      </c>
      <c r="E593" s="198" t="s">
        <v>2865</v>
      </c>
      <c r="F593" s="186" t="s">
        <v>2865</v>
      </c>
      <c r="G593" s="186" t="s">
        <v>2865</v>
      </c>
      <c r="H593" s="194">
        <v>8620185826</v>
      </c>
      <c r="I593" s="195" t="s">
        <v>2873</v>
      </c>
      <c r="J593" s="192" t="s">
        <v>2866</v>
      </c>
      <c r="K593" s="204" t="s">
        <v>2867</v>
      </c>
    </row>
    <row r="594" spans="1:11" ht="25">
      <c r="A594" s="182" t="s">
        <v>3601</v>
      </c>
      <c r="B594" s="184" t="s">
        <v>3602</v>
      </c>
      <c r="C594" s="185" t="s">
        <v>2653</v>
      </c>
      <c r="D594" s="186" t="s">
        <v>2653</v>
      </c>
      <c r="E594" s="187" t="s">
        <v>2522</v>
      </c>
      <c r="F594" s="186" t="s">
        <v>2871</v>
      </c>
      <c r="G594" s="189" t="s">
        <v>2802</v>
      </c>
      <c r="H594" s="194">
        <v>6579623277</v>
      </c>
      <c r="I594" s="195" t="s">
        <v>2873</v>
      </c>
      <c r="J594" s="192" t="s">
        <v>2866</v>
      </c>
      <c r="K594" s="204" t="s">
        <v>2867</v>
      </c>
    </row>
    <row r="595" spans="1:11" ht="24" customHeight="1">
      <c r="A595" s="182" t="s">
        <v>3617</v>
      </c>
      <c r="B595" s="184" t="s">
        <v>3618</v>
      </c>
      <c r="C595" s="202" t="s">
        <v>3123</v>
      </c>
      <c r="D595" s="186" t="s">
        <v>2653</v>
      </c>
      <c r="E595" s="198" t="s">
        <v>2865</v>
      </c>
      <c r="F595" s="186" t="s">
        <v>2865</v>
      </c>
      <c r="G595" s="186" t="s">
        <v>2865</v>
      </c>
      <c r="H595" s="194">
        <v>5874608313</v>
      </c>
      <c r="I595" s="195" t="s">
        <v>2873</v>
      </c>
      <c r="J595" s="192" t="s">
        <v>2866</v>
      </c>
      <c r="K595" s="204" t="s">
        <v>2867</v>
      </c>
    </row>
    <row r="596" spans="1:11" ht="21">
      <c r="A596" s="182" t="s">
        <v>3619</v>
      </c>
      <c r="B596" s="184" t="s">
        <v>3620</v>
      </c>
      <c r="C596" s="189" t="s">
        <v>2894</v>
      </c>
      <c r="D596" s="186" t="s">
        <v>2653</v>
      </c>
      <c r="E596" s="198" t="s">
        <v>2865</v>
      </c>
      <c r="F596" s="186" t="s">
        <v>2865</v>
      </c>
      <c r="G596" s="186" t="s">
        <v>2865</v>
      </c>
      <c r="H596" s="194">
        <v>5190533770</v>
      </c>
      <c r="I596" s="195" t="s">
        <v>2873</v>
      </c>
      <c r="J596" s="192" t="s">
        <v>2866</v>
      </c>
      <c r="K596" s="204" t="s">
        <v>2867</v>
      </c>
    </row>
    <row r="597" spans="1:11" ht="21">
      <c r="A597" s="182" t="s">
        <v>3621</v>
      </c>
      <c r="B597" s="184" t="s">
        <v>3622</v>
      </c>
      <c r="C597" s="203" t="s">
        <v>2950</v>
      </c>
      <c r="D597" s="186" t="s">
        <v>2653</v>
      </c>
      <c r="E597" s="187" t="s">
        <v>2522</v>
      </c>
      <c r="F597" s="186" t="s">
        <v>2864</v>
      </c>
      <c r="G597" s="189" t="s">
        <v>2800</v>
      </c>
      <c r="H597" s="194">
        <v>6079889102</v>
      </c>
      <c r="I597" s="195" t="s">
        <v>2873</v>
      </c>
      <c r="J597" s="192" t="s">
        <v>2866</v>
      </c>
      <c r="K597" s="204" t="s">
        <v>2867</v>
      </c>
    </row>
    <row r="598" spans="1:11" ht="31.5">
      <c r="A598" s="182" t="s">
        <v>3603</v>
      </c>
      <c r="B598" s="184" t="s">
        <v>3604</v>
      </c>
      <c r="C598" s="200" t="s">
        <v>2889</v>
      </c>
      <c r="D598" s="186" t="s">
        <v>2653</v>
      </c>
      <c r="E598" s="187" t="s">
        <v>2527</v>
      </c>
      <c r="F598" s="186" t="s">
        <v>2871</v>
      </c>
      <c r="G598" s="186" t="s">
        <v>2865</v>
      </c>
      <c r="H598" s="194">
        <v>8820128630</v>
      </c>
      <c r="I598" s="195" t="s">
        <v>2873</v>
      </c>
      <c r="J598" s="192" t="s">
        <v>2866</v>
      </c>
      <c r="K598" s="204" t="s">
        <v>2867</v>
      </c>
    </row>
    <row r="599" spans="1:11" ht="25">
      <c r="A599" s="182" t="s">
        <v>3605</v>
      </c>
      <c r="B599" s="184" t="s">
        <v>3606</v>
      </c>
      <c r="C599" s="200" t="s">
        <v>2889</v>
      </c>
      <c r="D599" s="186" t="s">
        <v>2653</v>
      </c>
      <c r="E599" s="187" t="s">
        <v>2522</v>
      </c>
      <c r="F599" s="186" t="s">
        <v>2871</v>
      </c>
      <c r="G599" s="189" t="s">
        <v>2784</v>
      </c>
      <c r="H599" s="194">
        <v>8889749801</v>
      </c>
      <c r="I599" s="195" t="s">
        <v>2873</v>
      </c>
      <c r="J599" s="192" t="s">
        <v>2866</v>
      </c>
      <c r="K599" s="204" t="s">
        <v>2867</v>
      </c>
    </row>
    <row r="600" spans="1:11" ht="21">
      <c r="A600" s="182" t="s">
        <v>2793</v>
      </c>
      <c r="B600" s="184" t="s">
        <v>3607</v>
      </c>
      <c r="C600" s="189" t="s">
        <v>2894</v>
      </c>
      <c r="D600" s="200" t="s">
        <v>2881</v>
      </c>
      <c r="E600" s="198" t="s">
        <v>2865</v>
      </c>
      <c r="F600" s="186" t="s">
        <v>2865</v>
      </c>
      <c r="G600" s="186" t="s">
        <v>2865</v>
      </c>
      <c r="H600" s="194">
        <v>8820597224</v>
      </c>
      <c r="I600" s="195" t="s">
        <v>2873</v>
      </c>
      <c r="J600" s="192" t="s">
        <v>2866</v>
      </c>
      <c r="K600" s="204" t="s">
        <v>2867</v>
      </c>
    </row>
    <row r="601" spans="1:11" ht="21">
      <c r="A601" s="182" t="s">
        <v>226</v>
      </c>
      <c r="B601" s="184">
        <v>2613051092</v>
      </c>
      <c r="C601" s="185" t="s">
        <v>2653</v>
      </c>
      <c r="D601" s="186" t="s">
        <v>2653</v>
      </c>
      <c r="E601" s="187" t="s">
        <v>2522</v>
      </c>
      <c r="F601" s="186" t="s">
        <v>2871</v>
      </c>
      <c r="G601" s="189" t="s">
        <v>2773</v>
      </c>
      <c r="H601" s="194">
        <v>6438558018</v>
      </c>
      <c r="I601" s="195" t="s">
        <v>2873</v>
      </c>
      <c r="J601" s="192" t="s">
        <v>2866</v>
      </c>
      <c r="K601" s="204" t="s">
        <v>2867</v>
      </c>
    </row>
    <row r="602" spans="1:11" ht="25">
      <c r="A602" s="182" t="s">
        <v>1015</v>
      </c>
      <c r="B602" s="184" t="s">
        <v>1013</v>
      </c>
      <c r="C602" s="185" t="s">
        <v>2653</v>
      </c>
      <c r="D602" s="186" t="s">
        <v>2653</v>
      </c>
      <c r="E602" s="187" t="s">
        <v>2522</v>
      </c>
      <c r="F602" s="186" t="s">
        <v>2871</v>
      </c>
      <c r="G602" s="189" t="s">
        <v>2776</v>
      </c>
      <c r="H602" s="194">
        <v>8186450442</v>
      </c>
      <c r="I602" s="195" t="s">
        <v>2873</v>
      </c>
      <c r="J602" s="192" t="s">
        <v>2866</v>
      </c>
      <c r="K602" s="204" t="s">
        <v>2867</v>
      </c>
    </row>
    <row r="603" spans="1:11" ht="25">
      <c r="A603" s="182" t="s">
        <v>3626</v>
      </c>
      <c r="B603" s="184" t="s">
        <v>3627</v>
      </c>
      <c r="C603" s="203" t="s">
        <v>2950</v>
      </c>
      <c r="D603" s="186" t="s">
        <v>2653</v>
      </c>
      <c r="E603" s="187" t="s">
        <v>2522</v>
      </c>
      <c r="F603" s="186" t="s">
        <v>2864</v>
      </c>
      <c r="G603" s="189" t="s">
        <v>2789</v>
      </c>
      <c r="H603" s="194">
        <v>8672002613</v>
      </c>
      <c r="I603" s="195" t="s">
        <v>2873</v>
      </c>
      <c r="J603" s="192" t="s">
        <v>2866</v>
      </c>
      <c r="K603" s="204" t="s">
        <v>2867</v>
      </c>
    </row>
    <row r="604" spans="1:11" ht="21" customHeight="1">
      <c r="A604" s="182" t="s">
        <v>3628</v>
      </c>
      <c r="B604" s="184" t="s">
        <v>3629</v>
      </c>
      <c r="C604" s="203" t="s">
        <v>2950</v>
      </c>
      <c r="D604" s="186" t="s">
        <v>2653</v>
      </c>
      <c r="E604" s="198" t="s">
        <v>2865</v>
      </c>
      <c r="F604" s="186" t="s">
        <v>2865</v>
      </c>
      <c r="G604" s="186" t="s">
        <v>2865</v>
      </c>
      <c r="H604" s="194">
        <v>1475080814</v>
      </c>
      <c r="I604" s="195" t="s">
        <v>2873</v>
      </c>
      <c r="J604" s="192" t="s">
        <v>2866</v>
      </c>
      <c r="K604" s="204" t="s">
        <v>2867</v>
      </c>
    </row>
    <row r="605" spans="1:11" ht="16">
      <c r="A605" s="182" t="s">
        <v>3630</v>
      </c>
      <c r="B605" s="184" t="s">
        <v>3631</v>
      </c>
      <c r="C605" s="203" t="s">
        <v>2950</v>
      </c>
      <c r="D605" s="186" t="s">
        <v>2653</v>
      </c>
      <c r="E605" s="187" t="s">
        <v>2996</v>
      </c>
      <c r="F605" s="186" t="s">
        <v>2871</v>
      </c>
      <c r="G605" s="186" t="s">
        <v>2865</v>
      </c>
      <c r="H605" s="194">
        <v>8790129820</v>
      </c>
      <c r="I605" s="195" t="s">
        <v>2873</v>
      </c>
      <c r="J605" s="192" t="s">
        <v>2866</v>
      </c>
      <c r="K605" s="204" t="s">
        <v>2867</v>
      </c>
    </row>
    <row r="606" spans="1:11" ht="25">
      <c r="A606" s="182" t="s">
        <v>3632</v>
      </c>
      <c r="B606" s="184" t="s">
        <v>3633</v>
      </c>
      <c r="C606" s="203" t="s">
        <v>2950</v>
      </c>
      <c r="D606" s="186" t="s">
        <v>2653</v>
      </c>
      <c r="E606" s="187" t="s">
        <v>2522</v>
      </c>
      <c r="F606" s="186" t="s">
        <v>2864</v>
      </c>
      <c r="G606" s="189" t="s">
        <v>2793</v>
      </c>
      <c r="H606" s="194">
        <v>8958079550</v>
      </c>
      <c r="I606" s="195" t="s">
        <v>2873</v>
      </c>
      <c r="J606" s="192" t="s">
        <v>2866</v>
      </c>
      <c r="K606" s="204" t="s">
        <v>2867</v>
      </c>
    </row>
    <row r="607" spans="1:11" ht="16" customHeight="1">
      <c r="A607" s="182" t="s">
        <v>1063</v>
      </c>
      <c r="B607" s="184" t="s">
        <v>1061</v>
      </c>
      <c r="C607" s="185" t="s">
        <v>2653</v>
      </c>
      <c r="D607" s="186" t="s">
        <v>2653</v>
      </c>
      <c r="E607" s="187" t="s">
        <v>2522</v>
      </c>
      <c r="F607" s="186" t="s">
        <v>2864</v>
      </c>
      <c r="G607" s="189" t="s">
        <v>2787</v>
      </c>
      <c r="H607" s="194">
        <v>8749949547</v>
      </c>
      <c r="I607" s="195" t="s">
        <v>2873</v>
      </c>
      <c r="J607" s="192" t="s">
        <v>2866</v>
      </c>
      <c r="K607" s="204" t="s">
        <v>2867</v>
      </c>
    </row>
    <row r="608" spans="1:11" ht="25">
      <c r="A608" s="182" t="s">
        <v>1182</v>
      </c>
      <c r="B608" s="184" t="s">
        <v>1180</v>
      </c>
      <c r="C608" s="185" t="s">
        <v>2653</v>
      </c>
      <c r="D608" s="186" t="s">
        <v>2653</v>
      </c>
      <c r="E608" s="187" t="s">
        <v>2522</v>
      </c>
      <c r="F608" s="186" t="s">
        <v>2864</v>
      </c>
      <c r="G608" s="189" t="s">
        <v>2770</v>
      </c>
      <c r="H608" s="194">
        <v>7911103639</v>
      </c>
      <c r="I608" s="195" t="s">
        <v>2873</v>
      </c>
      <c r="J608" s="192" t="s">
        <v>2866</v>
      </c>
      <c r="K608" s="204" t="s">
        <v>2867</v>
      </c>
    </row>
    <row r="609" spans="1:11" ht="37.5">
      <c r="A609" s="182" t="s">
        <v>3623</v>
      </c>
      <c r="B609" s="184" t="s">
        <v>3624</v>
      </c>
      <c r="C609" s="185" t="s">
        <v>2653</v>
      </c>
      <c r="D609" s="186" t="s">
        <v>2653</v>
      </c>
      <c r="E609" s="187" t="s">
        <v>2527</v>
      </c>
      <c r="F609" s="186" t="s">
        <v>2871</v>
      </c>
      <c r="G609" s="189" t="s">
        <v>2777</v>
      </c>
      <c r="H609" s="194">
        <v>1592760544</v>
      </c>
      <c r="I609" s="195" t="s">
        <v>2873</v>
      </c>
      <c r="J609" s="192" t="s">
        <v>2866</v>
      </c>
      <c r="K609" s="204" t="s">
        <v>2867</v>
      </c>
    </row>
    <row r="610" spans="1:11" ht="14" customHeight="1">
      <c r="A610" s="182" t="s">
        <v>1691</v>
      </c>
      <c r="B610" s="184" t="s">
        <v>1689</v>
      </c>
      <c r="C610" s="185" t="s">
        <v>2653</v>
      </c>
      <c r="D610" s="186" t="s">
        <v>2653</v>
      </c>
      <c r="E610" s="187" t="s">
        <v>2527</v>
      </c>
      <c r="F610" s="186" t="s">
        <v>2864</v>
      </c>
      <c r="G610" s="189" t="s">
        <v>2795</v>
      </c>
      <c r="H610" s="194">
        <v>8627850949</v>
      </c>
      <c r="I610" s="195" t="s">
        <v>2873</v>
      </c>
      <c r="J610" s="192" t="s">
        <v>2866</v>
      </c>
      <c r="K610" s="204" t="s">
        <v>2867</v>
      </c>
    </row>
    <row r="611" spans="1:11" ht="31.5">
      <c r="A611" s="182" t="s">
        <v>2796</v>
      </c>
      <c r="B611" s="184" t="s">
        <v>3625</v>
      </c>
      <c r="C611" s="189" t="s">
        <v>2894</v>
      </c>
      <c r="D611" s="200" t="s">
        <v>2881</v>
      </c>
      <c r="E611" s="198" t="s">
        <v>2865</v>
      </c>
      <c r="F611" s="186" t="s">
        <v>2865</v>
      </c>
      <c r="G611" s="186" t="s">
        <v>2865</v>
      </c>
      <c r="H611" s="194">
        <v>1422887496</v>
      </c>
      <c r="I611" s="195" t="s">
        <v>2873</v>
      </c>
      <c r="J611" s="192" t="s">
        <v>2866</v>
      </c>
      <c r="K611" s="204" t="s">
        <v>2867</v>
      </c>
    </row>
    <row r="612" spans="1:11" ht="25">
      <c r="A612" s="182" t="s">
        <v>538</v>
      </c>
      <c r="B612" s="184" t="s">
        <v>536</v>
      </c>
      <c r="C612" s="185" t="s">
        <v>2653</v>
      </c>
      <c r="D612" s="186" t="s">
        <v>2653</v>
      </c>
      <c r="E612" s="187" t="s">
        <v>2522</v>
      </c>
      <c r="F612" s="186" t="s">
        <v>2871</v>
      </c>
      <c r="G612" s="189" t="s">
        <v>2775</v>
      </c>
      <c r="H612" s="194">
        <v>6828378538</v>
      </c>
      <c r="I612" s="195" t="s">
        <v>2873</v>
      </c>
      <c r="J612" s="192" t="s">
        <v>2866</v>
      </c>
      <c r="K612" s="204" t="s">
        <v>2867</v>
      </c>
    </row>
    <row r="613" spans="1:11" ht="16" customHeight="1">
      <c r="A613" s="182" t="s">
        <v>1021</v>
      </c>
      <c r="B613" s="184" t="s">
        <v>1019</v>
      </c>
      <c r="C613" s="185" t="s">
        <v>2653</v>
      </c>
      <c r="D613" s="186" t="s">
        <v>2653</v>
      </c>
      <c r="E613" s="187" t="s">
        <v>2522</v>
      </c>
      <c r="F613" s="186" t="s">
        <v>2871</v>
      </c>
      <c r="G613" s="189" t="s">
        <v>2776</v>
      </c>
      <c r="H613" s="194">
        <v>8649078857</v>
      </c>
      <c r="I613" s="195" t="s">
        <v>2873</v>
      </c>
      <c r="J613" s="192" t="s">
        <v>2866</v>
      </c>
      <c r="K613" s="204" t="s">
        <v>2867</v>
      </c>
    </row>
    <row r="614" spans="1:11">
      <c r="A614" s="182" t="s">
        <v>3634</v>
      </c>
      <c r="B614" s="184" t="s">
        <v>3635</v>
      </c>
      <c r="C614" s="203" t="s">
        <v>2950</v>
      </c>
      <c r="D614" s="186" t="s">
        <v>2653</v>
      </c>
      <c r="E614" s="198" t="s">
        <v>2865</v>
      </c>
      <c r="F614" s="186" t="s">
        <v>2865</v>
      </c>
      <c r="G614" s="186" t="s">
        <v>2865</v>
      </c>
      <c r="H614" s="194">
        <v>6538492109</v>
      </c>
      <c r="I614" s="195" t="s">
        <v>2873</v>
      </c>
      <c r="J614" s="192" t="s">
        <v>2866</v>
      </c>
      <c r="K614" s="204" t="s">
        <v>2867</v>
      </c>
    </row>
    <row r="615" spans="1:11" ht="25">
      <c r="A615" s="182" t="s">
        <v>936</v>
      </c>
      <c r="B615" s="184" t="s">
        <v>934</v>
      </c>
      <c r="C615" s="185" t="s">
        <v>2653</v>
      </c>
      <c r="D615" s="186" t="s">
        <v>2653</v>
      </c>
      <c r="E615" s="187" t="s">
        <v>2522</v>
      </c>
      <c r="F615" s="186" t="s">
        <v>2864</v>
      </c>
      <c r="G615" s="189" t="s">
        <v>2787</v>
      </c>
      <c r="H615" s="194">
        <v>8842422235</v>
      </c>
      <c r="I615" s="195" t="s">
        <v>2873</v>
      </c>
      <c r="J615" s="192" t="s">
        <v>2866</v>
      </c>
      <c r="K615" s="204" t="s">
        <v>2867</v>
      </c>
    </row>
    <row r="616" spans="1:11" ht="16" customHeight="1">
      <c r="A616" s="182" t="s">
        <v>3636</v>
      </c>
      <c r="B616" s="184" t="s">
        <v>3637</v>
      </c>
      <c r="C616" s="203" t="s">
        <v>2950</v>
      </c>
      <c r="D616" s="186" t="s">
        <v>2653</v>
      </c>
      <c r="E616" s="187" t="s">
        <v>2527</v>
      </c>
      <c r="F616" s="186" t="s">
        <v>2871</v>
      </c>
      <c r="G616" s="186" t="s">
        <v>2865</v>
      </c>
      <c r="H616" s="194">
        <v>1138445019</v>
      </c>
      <c r="I616" s="195" t="s">
        <v>2873</v>
      </c>
      <c r="J616" s="192" t="s">
        <v>2866</v>
      </c>
      <c r="K616" s="204" t="s">
        <v>2867</v>
      </c>
    </row>
    <row r="617" spans="1:11" ht="16">
      <c r="A617" s="182" t="s">
        <v>3638</v>
      </c>
      <c r="B617" s="184" t="s">
        <v>3639</v>
      </c>
      <c r="C617" s="203" t="s">
        <v>2950</v>
      </c>
      <c r="D617" s="186" t="s">
        <v>2653</v>
      </c>
      <c r="E617" s="187" t="s">
        <v>2996</v>
      </c>
      <c r="F617" s="186" t="s">
        <v>2864</v>
      </c>
      <c r="G617" s="186" t="s">
        <v>2865</v>
      </c>
      <c r="H617" s="194">
        <v>83140930607</v>
      </c>
      <c r="I617" s="195" t="s">
        <v>2873</v>
      </c>
      <c r="J617" s="193" t="s">
        <v>2869</v>
      </c>
      <c r="K617" s="204" t="s">
        <v>2870</v>
      </c>
    </row>
    <row r="618" spans="1:11" ht="21">
      <c r="A618" s="182" t="s">
        <v>3640</v>
      </c>
      <c r="B618" s="184" t="s">
        <v>3641</v>
      </c>
      <c r="C618" s="203" t="s">
        <v>2950</v>
      </c>
      <c r="D618" s="186" t="s">
        <v>2653</v>
      </c>
      <c r="E618" s="187" t="s">
        <v>2996</v>
      </c>
      <c r="F618" s="186" t="s">
        <v>2864</v>
      </c>
      <c r="G618" s="189" t="s">
        <v>2770</v>
      </c>
      <c r="H618" s="194">
        <v>6546992411</v>
      </c>
      <c r="I618" s="195" t="s">
        <v>2873</v>
      </c>
      <c r="J618" s="192" t="s">
        <v>2866</v>
      </c>
      <c r="K618" s="204" t="s">
        <v>2867</v>
      </c>
    </row>
    <row r="619" spans="1:11" ht="21">
      <c r="A619" s="182" t="s">
        <v>3642</v>
      </c>
      <c r="B619" s="184" t="s">
        <v>3643</v>
      </c>
      <c r="C619" s="203" t="s">
        <v>2950</v>
      </c>
      <c r="D619" s="186" t="s">
        <v>2653</v>
      </c>
      <c r="E619" s="198" t="s">
        <v>2865</v>
      </c>
      <c r="F619" s="186" t="s">
        <v>2865</v>
      </c>
      <c r="G619" s="186" t="s">
        <v>2865</v>
      </c>
      <c r="H619" s="194">
        <v>8838894088</v>
      </c>
      <c r="I619" s="195" t="s">
        <v>2873</v>
      </c>
      <c r="J619" s="192" t="s">
        <v>2866</v>
      </c>
      <c r="K619" s="204" t="s">
        <v>2867</v>
      </c>
    </row>
    <row r="620" spans="1:11" ht="37.5">
      <c r="A620" s="182" t="s">
        <v>3644</v>
      </c>
      <c r="B620" s="184" t="s">
        <v>1576</v>
      </c>
      <c r="C620" s="185" t="s">
        <v>2653</v>
      </c>
      <c r="D620" s="186" t="s">
        <v>2653</v>
      </c>
      <c r="E620" s="187" t="s">
        <v>2527</v>
      </c>
      <c r="F620" s="186" t="s">
        <v>2864</v>
      </c>
      <c r="G620" s="189" t="s">
        <v>2771</v>
      </c>
      <c r="H620" s="194">
        <v>8677906122</v>
      </c>
      <c r="I620" s="195" t="s">
        <v>2873</v>
      </c>
      <c r="J620" s="192" t="s">
        <v>2866</v>
      </c>
      <c r="K620" s="204" t="s">
        <v>2867</v>
      </c>
    </row>
    <row r="621" spans="1:11" ht="16">
      <c r="A621" s="182" t="s">
        <v>1312</v>
      </c>
      <c r="B621" s="184">
        <v>2613051067</v>
      </c>
      <c r="C621" s="185" t="s">
        <v>2653</v>
      </c>
      <c r="D621" s="186" t="s">
        <v>2653</v>
      </c>
      <c r="E621" s="187" t="s">
        <v>2522</v>
      </c>
      <c r="F621" s="186" t="s">
        <v>2864</v>
      </c>
      <c r="G621" s="189" t="s">
        <v>2800</v>
      </c>
      <c r="H621" s="194">
        <v>587631024</v>
      </c>
      <c r="I621" s="201" t="s">
        <v>2882</v>
      </c>
      <c r="J621" s="192" t="s">
        <v>2866</v>
      </c>
      <c r="K621" s="204" t="s">
        <v>2867</v>
      </c>
    </row>
    <row r="622" spans="1:11">
      <c r="A622" s="170"/>
      <c r="B622" s="172"/>
      <c r="C622" s="173"/>
      <c r="D622" s="174"/>
      <c r="E622" s="175"/>
      <c r="F622" s="174"/>
      <c r="G622" s="177"/>
      <c r="H622" s="174"/>
      <c r="I622" s="179"/>
      <c r="J622" s="180"/>
      <c r="K622" s="205"/>
    </row>
    <row r="623" spans="1:11">
      <c r="A623" s="171"/>
      <c r="B623" s="172"/>
      <c r="C623" s="173"/>
      <c r="D623" s="174"/>
      <c r="E623" s="175"/>
      <c r="F623" s="174"/>
      <c r="G623" s="178"/>
      <c r="H623" s="174"/>
      <c r="I623" s="179"/>
      <c r="J623" s="180"/>
      <c r="K623" s="205"/>
    </row>
    <row r="624" spans="1:11">
      <c r="A624" s="169"/>
      <c r="B624" s="172"/>
      <c r="C624" s="173"/>
      <c r="D624" s="174"/>
      <c r="E624" s="175"/>
      <c r="F624" s="176"/>
      <c r="G624" s="169"/>
      <c r="H624" s="174"/>
      <c r="I624" s="179"/>
      <c r="J624" s="180"/>
      <c r="K624" s="205"/>
    </row>
    <row r="625" spans="1:11">
      <c r="A625" s="182"/>
      <c r="B625" s="184"/>
      <c r="C625" s="185"/>
      <c r="D625" s="186"/>
      <c r="E625" s="187"/>
      <c r="F625" s="186"/>
      <c r="G625" s="189"/>
      <c r="H625" s="186"/>
      <c r="I625" s="191"/>
      <c r="J625" s="192"/>
      <c r="K625" s="204"/>
    </row>
    <row r="626" spans="1:11">
      <c r="A626" s="183"/>
      <c r="B626" s="184"/>
      <c r="C626" s="185"/>
      <c r="D626" s="186"/>
      <c r="E626" s="187"/>
      <c r="F626" s="186"/>
      <c r="G626" s="190"/>
      <c r="H626" s="186"/>
      <c r="I626" s="191"/>
      <c r="J626" s="192"/>
      <c r="K626" s="204"/>
    </row>
    <row r="627" spans="1:11">
      <c r="A627" s="181"/>
      <c r="B627" s="184"/>
      <c r="C627" s="185"/>
      <c r="D627" s="186"/>
      <c r="E627" s="187"/>
      <c r="F627" s="188"/>
      <c r="G627" s="181"/>
      <c r="H627" s="186"/>
      <c r="I627" s="191"/>
      <c r="J627" s="192"/>
      <c r="K627" s="204"/>
    </row>
    <row r="628" spans="1:11">
      <c r="A628" s="182"/>
      <c r="B628" s="184"/>
      <c r="C628" s="185"/>
      <c r="D628" s="186"/>
      <c r="E628" s="187"/>
      <c r="F628" s="186"/>
      <c r="G628" s="189"/>
      <c r="H628" s="186"/>
      <c r="I628" s="191"/>
      <c r="J628" s="193"/>
      <c r="K628" s="204"/>
    </row>
    <row r="629" spans="1:11">
      <c r="A629" s="183"/>
      <c r="B629" s="184"/>
      <c r="C629" s="185"/>
      <c r="D629" s="186"/>
      <c r="E629" s="187"/>
      <c r="F629" s="186"/>
      <c r="G629" s="190"/>
      <c r="H629" s="186"/>
      <c r="I629" s="191"/>
      <c r="J629" s="193"/>
      <c r="K629" s="204"/>
    </row>
    <row r="630" spans="1:11">
      <c r="A630" s="181"/>
      <c r="B630" s="184"/>
      <c r="C630" s="185"/>
      <c r="D630" s="186"/>
      <c r="E630" s="187"/>
      <c r="F630" s="188"/>
      <c r="G630" s="181"/>
      <c r="H630" s="186"/>
      <c r="I630" s="191"/>
      <c r="J630" s="193"/>
      <c r="K630" s="204"/>
    </row>
    <row r="631" spans="1:11">
      <c r="A631" s="182"/>
      <c r="B631" s="184"/>
      <c r="C631" s="185"/>
      <c r="D631" s="186"/>
      <c r="E631" s="187"/>
      <c r="F631" s="186"/>
      <c r="G631" s="189"/>
      <c r="H631" s="186"/>
      <c r="I631" s="191"/>
      <c r="J631" s="192"/>
      <c r="K631" s="204"/>
    </row>
    <row r="632" spans="1:11">
      <c r="A632" s="183"/>
      <c r="B632" s="184"/>
      <c r="C632" s="185"/>
      <c r="D632" s="186"/>
      <c r="E632" s="187"/>
      <c r="F632" s="186"/>
      <c r="G632" s="190"/>
      <c r="H632" s="186"/>
      <c r="I632" s="191"/>
      <c r="J632" s="192"/>
      <c r="K632" s="204"/>
    </row>
    <row r="633" spans="1:11">
      <c r="A633" s="181"/>
      <c r="B633" s="184"/>
      <c r="C633" s="185"/>
      <c r="D633" s="186"/>
      <c r="E633" s="187"/>
      <c r="F633" s="188"/>
      <c r="G633" s="181"/>
      <c r="H633" s="186"/>
      <c r="I633" s="191"/>
      <c r="J633" s="192"/>
      <c r="K633" s="204"/>
    </row>
    <row r="634" spans="1:11">
      <c r="A634" s="182"/>
      <c r="B634" s="184"/>
      <c r="C634" s="185"/>
      <c r="D634" s="186"/>
      <c r="E634" s="187"/>
      <c r="F634" s="186"/>
      <c r="G634" s="189"/>
      <c r="H634" s="186"/>
      <c r="I634" s="191"/>
      <c r="J634" s="192"/>
      <c r="K634" s="204"/>
    </row>
    <row r="635" spans="1:11">
      <c r="A635" s="183"/>
      <c r="B635" s="184"/>
      <c r="C635" s="185"/>
      <c r="D635" s="186"/>
      <c r="E635" s="187"/>
      <c r="F635" s="186"/>
      <c r="G635" s="190"/>
      <c r="H635" s="186"/>
      <c r="I635" s="191"/>
      <c r="J635" s="192"/>
      <c r="K635" s="204"/>
    </row>
    <row r="636" spans="1:11">
      <c r="A636" s="181"/>
      <c r="B636" s="184"/>
      <c r="C636" s="185"/>
      <c r="D636" s="186"/>
      <c r="E636" s="187"/>
      <c r="F636" s="188"/>
      <c r="G636" s="181"/>
      <c r="H636" s="186"/>
      <c r="I636" s="191"/>
      <c r="J636" s="192"/>
      <c r="K636" s="204"/>
    </row>
    <row r="637" spans="1:11" ht="16" customHeight="1">
      <c r="A637" s="182"/>
      <c r="B637" s="184"/>
      <c r="C637" s="185"/>
      <c r="D637" s="186"/>
      <c r="E637" s="187"/>
      <c r="F637" s="186"/>
      <c r="G637" s="189"/>
      <c r="H637" s="186"/>
      <c r="I637" s="191"/>
      <c r="J637" s="192"/>
      <c r="K637" s="204"/>
    </row>
    <row r="638" spans="1:11">
      <c r="A638" s="183"/>
      <c r="B638" s="184"/>
      <c r="C638" s="185"/>
      <c r="D638" s="186"/>
      <c r="E638" s="187"/>
      <c r="F638" s="186"/>
      <c r="G638" s="190"/>
      <c r="H638" s="186"/>
      <c r="I638" s="191"/>
      <c r="J638" s="192"/>
      <c r="K638" s="204"/>
    </row>
    <row r="639" spans="1:11">
      <c r="A639" s="181"/>
      <c r="B639" s="184"/>
      <c r="C639" s="185"/>
      <c r="D639" s="186"/>
      <c r="E639" s="187"/>
      <c r="F639" s="188"/>
      <c r="G639" s="181"/>
      <c r="H639" s="186"/>
      <c r="I639" s="191"/>
      <c r="J639" s="192"/>
      <c r="K639" s="204"/>
    </row>
    <row r="640" spans="1:11">
      <c r="A640" s="182"/>
      <c r="B640" s="184"/>
      <c r="C640" s="185"/>
      <c r="D640" s="186"/>
      <c r="E640" s="187"/>
      <c r="F640" s="186"/>
      <c r="G640" s="189"/>
      <c r="H640" s="186"/>
      <c r="I640" s="191"/>
      <c r="J640" s="192"/>
      <c r="K640" s="204"/>
    </row>
    <row r="641" spans="1:11">
      <c r="A641" s="183"/>
      <c r="B641" s="184"/>
      <c r="C641" s="185"/>
      <c r="D641" s="186"/>
      <c r="E641" s="187"/>
      <c r="F641" s="186"/>
      <c r="G641" s="190"/>
      <c r="H641" s="186"/>
      <c r="I641" s="191"/>
      <c r="J641" s="192"/>
      <c r="K641" s="204"/>
    </row>
    <row r="642" spans="1:11">
      <c r="A642" s="181"/>
      <c r="B642" s="184"/>
      <c r="C642" s="185"/>
      <c r="D642" s="186"/>
      <c r="E642" s="187"/>
      <c r="F642" s="188"/>
      <c r="G642" s="181"/>
      <c r="H642" s="186"/>
      <c r="I642" s="191"/>
      <c r="J642" s="192"/>
      <c r="K642" s="204"/>
    </row>
    <row r="643" spans="1:11">
      <c r="A643" s="182"/>
      <c r="B643" s="184"/>
      <c r="C643" s="185"/>
      <c r="D643" s="186"/>
      <c r="E643" s="187"/>
      <c r="F643" s="186"/>
      <c r="G643" s="189"/>
      <c r="H643" s="186"/>
      <c r="I643" s="191"/>
      <c r="J643" s="192"/>
      <c r="K643" s="204"/>
    </row>
    <row r="644" spans="1:11">
      <c r="A644" s="183"/>
      <c r="B644" s="184"/>
      <c r="C644" s="185"/>
      <c r="D644" s="186"/>
      <c r="E644" s="187"/>
      <c r="F644" s="186"/>
      <c r="G644" s="190"/>
      <c r="H644" s="186"/>
      <c r="I644" s="191"/>
      <c r="J644" s="192"/>
      <c r="K644" s="204"/>
    </row>
    <row r="645" spans="1:11">
      <c r="A645" s="181"/>
      <c r="B645" s="184"/>
      <c r="C645" s="185"/>
      <c r="D645" s="186"/>
      <c r="E645" s="187"/>
      <c r="F645" s="188"/>
      <c r="G645" s="181"/>
      <c r="H645" s="186"/>
      <c r="I645" s="191"/>
      <c r="J645" s="192"/>
      <c r="K645" s="204"/>
    </row>
    <row r="646" spans="1:11">
      <c r="A646" s="182"/>
      <c r="B646" s="184"/>
      <c r="C646" s="185"/>
      <c r="D646" s="186"/>
      <c r="E646" s="187"/>
      <c r="F646" s="186"/>
      <c r="G646" s="189"/>
      <c r="H646" s="186"/>
      <c r="I646" s="191"/>
      <c r="J646" s="192"/>
      <c r="K646" s="204"/>
    </row>
    <row r="647" spans="1:11">
      <c r="A647" s="183"/>
      <c r="B647" s="184"/>
      <c r="C647" s="185"/>
      <c r="D647" s="186"/>
      <c r="E647" s="187"/>
      <c r="F647" s="186"/>
      <c r="G647" s="190"/>
      <c r="H647" s="186"/>
      <c r="I647" s="191"/>
      <c r="J647" s="192"/>
      <c r="K647" s="204"/>
    </row>
    <row r="648" spans="1:11">
      <c r="A648" s="181"/>
      <c r="B648" s="184"/>
      <c r="C648" s="185"/>
      <c r="D648" s="186"/>
      <c r="E648" s="187"/>
      <c r="F648" s="188"/>
      <c r="G648" s="181"/>
      <c r="H648" s="186"/>
      <c r="I648" s="191"/>
      <c r="J648" s="192"/>
      <c r="K648" s="204"/>
    </row>
    <row r="649" spans="1:11" ht="14" customHeight="1">
      <c r="A649" s="182"/>
      <c r="B649" s="184"/>
      <c r="C649" s="185"/>
      <c r="D649" s="186"/>
      <c r="E649" s="187"/>
      <c r="F649" s="186"/>
      <c r="G649" s="189"/>
      <c r="H649" s="186"/>
      <c r="I649" s="191"/>
      <c r="J649" s="192"/>
      <c r="K649" s="204"/>
    </row>
    <row r="650" spans="1:11">
      <c r="A650" s="183"/>
      <c r="B650" s="184"/>
      <c r="C650" s="185"/>
      <c r="D650" s="186"/>
      <c r="E650" s="187"/>
      <c r="F650" s="186"/>
      <c r="G650" s="190"/>
      <c r="H650" s="186"/>
      <c r="I650" s="191"/>
      <c r="J650" s="192"/>
      <c r="K650" s="204"/>
    </row>
    <row r="651" spans="1:11">
      <c r="A651" s="181"/>
      <c r="B651" s="184"/>
      <c r="C651" s="185"/>
      <c r="D651" s="186"/>
      <c r="E651" s="187"/>
      <c r="F651" s="188"/>
      <c r="G651" s="181"/>
      <c r="H651" s="186"/>
      <c r="I651" s="191"/>
      <c r="J651" s="192"/>
      <c r="K651" s="204"/>
    </row>
    <row r="652" spans="1:11" ht="16" customHeight="1">
      <c r="A652" s="182"/>
      <c r="B652" s="184"/>
      <c r="C652" s="185"/>
      <c r="D652" s="186"/>
      <c r="E652" s="187"/>
      <c r="F652" s="186"/>
      <c r="G652" s="189"/>
      <c r="H652" s="186"/>
      <c r="I652" s="191"/>
      <c r="J652" s="193"/>
      <c r="K652" s="204"/>
    </row>
    <row r="653" spans="1:11">
      <c r="A653" s="183"/>
      <c r="B653" s="184"/>
      <c r="C653" s="185"/>
      <c r="D653" s="186"/>
      <c r="E653" s="187"/>
      <c r="F653" s="186"/>
      <c r="G653" s="190"/>
      <c r="H653" s="186"/>
      <c r="I653" s="191"/>
      <c r="J653" s="193"/>
      <c r="K653" s="204"/>
    </row>
    <row r="654" spans="1:11">
      <c r="A654" s="181"/>
      <c r="B654" s="184"/>
      <c r="C654" s="185"/>
      <c r="D654" s="186"/>
      <c r="E654" s="187"/>
      <c r="F654" s="188"/>
      <c r="G654" s="181"/>
      <c r="H654" s="186"/>
      <c r="I654" s="191"/>
      <c r="J654" s="193"/>
      <c r="K654" s="204"/>
    </row>
    <row r="655" spans="1:11" ht="16" customHeight="1">
      <c r="A655" s="182"/>
      <c r="B655" s="184"/>
      <c r="C655" s="185"/>
      <c r="D655" s="186"/>
      <c r="E655" s="187"/>
      <c r="F655" s="186"/>
      <c r="G655" s="189"/>
      <c r="H655" s="186"/>
      <c r="I655" s="191"/>
      <c r="J655" s="192"/>
      <c r="K655" s="204"/>
    </row>
    <row r="656" spans="1:11">
      <c r="A656" s="183"/>
      <c r="B656" s="184"/>
      <c r="C656" s="185"/>
      <c r="D656" s="186"/>
      <c r="E656" s="187"/>
      <c r="F656" s="186"/>
      <c r="G656" s="190"/>
      <c r="H656" s="186"/>
      <c r="I656" s="191"/>
      <c r="J656" s="192"/>
      <c r="K656" s="204"/>
    </row>
    <row r="657" spans="1:11">
      <c r="A657" s="181"/>
      <c r="B657" s="184"/>
      <c r="C657" s="185"/>
      <c r="D657" s="186"/>
      <c r="E657" s="187"/>
      <c r="F657" s="188"/>
      <c r="G657" s="181"/>
      <c r="H657" s="186"/>
      <c r="I657" s="191"/>
      <c r="J657" s="192"/>
      <c r="K657" s="204"/>
    </row>
    <row r="658" spans="1:11">
      <c r="A658" s="182"/>
      <c r="B658" s="184"/>
      <c r="C658" s="185"/>
      <c r="D658" s="186"/>
      <c r="E658" s="187"/>
      <c r="F658" s="186"/>
      <c r="G658" s="189"/>
      <c r="H658" s="186"/>
      <c r="I658" s="191"/>
      <c r="J658" s="192"/>
      <c r="K658" s="204"/>
    </row>
    <row r="659" spans="1:11">
      <c r="A659" s="183"/>
      <c r="B659" s="184"/>
      <c r="C659" s="185"/>
      <c r="D659" s="186"/>
      <c r="E659" s="187"/>
      <c r="F659" s="186"/>
      <c r="G659" s="190"/>
      <c r="H659" s="186"/>
      <c r="I659" s="191"/>
      <c r="J659" s="192"/>
      <c r="K659" s="204"/>
    </row>
    <row r="660" spans="1:11">
      <c r="A660" s="181"/>
      <c r="B660" s="184"/>
      <c r="C660" s="185"/>
      <c r="D660" s="186"/>
      <c r="E660" s="187"/>
      <c r="F660" s="188"/>
      <c r="G660" s="181"/>
      <c r="H660" s="186"/>
      <c r="I660" s="191"/>
      <c r="J660" s="192"/>
      <c r="K660" s="204"/>
    </row>
    <row r="661" spans="1:11" ht="21" customHeight="1">
      <c r="A661" s="182"/>
      <c r="B661" s="184"/>
      <c r="C661" s="185"/>
      <c r="D661" s="186"/>
      <c r="E661" s="187"/>
      <c r="F661" s="186"/>
      <c r="G661" s="189"/>
      <c r="H661" s="186"/>
      <c r="I661" s="191"/>
      <c r="J661" s="192"/>
      <c r="K661" s="204"/>
    </row>
    <row r="662" spans="1:11">
      <c r="A662" s="183"/>
      <c r="B662" s="184"/>
      <c r="C662" s="185"/>
      <c r="D662" s="186"/>
      <c r="E662" s="187"/>
      <c r="F662" s="186"/>
      <c r="G662" s="190"/>
      <c r="H662" s="186"/>
      <c r="I662" s="191"/>
      <c r="J662" s="192"/>
      <c r="K662" s="204"/>
    </row>
    <row r="663" spans="1:11">
      <c r="A663" s="181"/>
      <c r="B663" s="184"/>
      <c r="C663" s="185"/>
      <c r="D663" s="186"/>
      <c r="E663" s="187"/>
      <c r="F663" s="188"/>
      <c r="G663" s="181"/>
      <c r="H663" s="186"/>
      <c r="I663" s="191"/>
      <c r="J663" s="192"/>
      <c r="K663" s="204"/>
    </row>
    <row r="664" spans="1:11" ht="31.5" customHeight="1">
      <c r="A664" s="182"/>
      <c r="B664" s="184"/>
      <c r="C664" s="185"/>
      <c r="D664" s="186"/>
      <c r="E664" s="187"/>
      <c r="F664" s="186"/>
      <c r="G664" s="189"/>
      <c r="H664" s="186"/>
      <c r="I664" s="191"/>
      <c r="J664" s="192"/>
      <c r="K664" s="204"/>
    </row>
    <row r="665" spans="1:11">
      <c r="A665" s="183"/>
      <c r="B665" s="184"/>
      <c r="C665" s="185"/>
      <c r="D665" s="186"/>
      <c r="E665" s="187"/>
      <c r="F665" s="186"/>
      <c r="G665" s="190"/>
      <c r="H665" s="186"/>
      <c r="I665" s="191"/>
      <c r="J665" s="192"/>
      <c r="K665" s="204"/>
    </row>
    <row r="666" spans="1:11">
      <c r="A666" s="181"/>
      <c r="B666" s="184"/>
      <c r="C666" s="185"/>
      <c r="D666" s="186"/>
      <c r="E666" s="187"/>
      <c r="F666" s="188"/>
      <c r="G666" s="181"/>
      <c r="H666" s="186"/>
      <c r="I666" s="191"/>
      <c r="J666" s="192"/>
      <c r="K666" s="204"/>
    </row>
    <row r="667" spans="1:11" ht="16" customHeight="1">
      <c r="A667" s="182"/>
      <c r="B667" s="184"/>
      <c r="C667" s="185"/>
      <c r="D667" s="186"/>
      <c r="E667" s="187"/>
      <c r="F667" s="186"/>
      <c r="G667" s="189"/>
      <c r="H667" s="186"/>
      <c r="I667" s="191"/>
      <c r="J667" s="192"/>
      <c r="K667" s="204"/>
    </row>
    <row r="668" spans="1:11">
      <c r="A668" s="183"/>
      <c r="B668" s="184"/>
      <c r="C668" s="185"/>
      <c r="D668" s="186"/>
      <c r="E668" s="187"/>
      <c r="F668" s="186"/>
      <c r="G668" s="190"/>
      <c r="H668" s="186"/>
      <c r="I668" s="191"/>
      <c r="J668" s="192"/>
      <c r="K668" s="204"/>
    </row>
    <row r="669" spans="1:11">
      <c r="A669" s="181"/>
      <c r="B669" s="184"/>
      <c r="C669" s="185"/>
      <c r="D669" s="186"/>
      <c r="E669" s="187"/>
      <c r="F669" s="188"/>
      <c r="G669" s="181"/>
      <c r="H669" s="186"/>
      <c r="I669" s="191"/>
      <c r="J669" s="192"/>
      <c r="K669" s="204"/>
    </row>
    <row r="670" spans="1:11" ht="16" customHeight="1">
      <c r="A670" s="182"/>
      <c r="B670" s="184"/>
      <c r="C670" s="185"/>
      <c r="D670" s="186"/>
      <c r="E670" s="187"/>
      <c r="F670" s="186"/>
      <c r="G670" s="189"/>
      <c r="H670" s="186"/>
      <c r="I670" s="191"/>
      <c r="J670" s="192"/>
      <c r="K670" s="204"/>
    </row>
    <row r="671" spans="1:11">
      <c r="A671" s="183"/>
      <c r="B671" s="184"/>
      <c r="C671" s="185"/>
      <c r="D671" s="186"/>
      <c r="E671" s="187"/>
      <c r="F671" s="186"/>
      <c r="G671" s="190"/>
      <c r="H671" s="186"/>
      <c r="I671" s="191"/>
      <c r="J671" s="192"/>
      <c r="K671" s="204"/>
    </row>
    <row r="672" spans="1:11">
      <c r="A672" s="181"/>
      <c r="B672" s="184"/>
      <c r="C672" s="185"/>
      <c r="D672" s="186"/>
      <c r="E672" s="187"/>
      <c r="F672" s="188"/>
      <c r="G672" s="181"/>
      <c r="H672" s="186"/>
      <c r="I672" s="191"/>
      <c r="J672" s="192"/>
      <c r="K672" s="204"/>
    </row>
    <row r="673" spans="1:11" ht="24" customHeight="1">
      <c r="A673" s="182"/>
      <c r="B673" s="184"/>
      <c r="C673" s="185"/>
      <c r="D673" s="186"/>
      <c r="E673" s="187"/>
      <c r="F673" s="186"/>
      <c r="G673" s="189"/>
      <c r="H673" s="186"/>
      <c r="I673" s="191"/>
      <c r="J673" s="192"/>
      <c r="K673" s="204"/>
    </row>
    <row r="674" spans="1:11">
      <c r="A674" s="183"/>
      <c r="B674" s="184"/>
      <c r="C674" s="185"/>
      <c r="D674" s="186"/>
      <c r="E674" s="187"/>
      <c r="F674" s="186"/>
      <c r="G674" s="190"/>
      <c r="H674" s="186"/>
      <c r="I674" s="191"/>
      <c r="J674" s="192"/>
      <c r="K674" s="204"/>
    </row>
    <row r="675" spans="1:11">
      <c r="A675" s="181"/>
      <c r="B675" s="184"/>
      <c r="C675" s="185"/>
      <c r="D675" s="186"/>
      <c r="E675" s="187"/>
      <c r="F675" s="188"/>
      <c r="G675" s="181"/>
      <c r="H675" s="186"/>
      <c r="I675" s="191"/>
      <c r="J675" s="192"/>
      <c r="K675" s="204"/>
    </row>
    <row r="676" spans="1:11">
      <c r="A676" s="182"/>
      <c r="B676" s="184"/>
      <c r="C676" s="185"/>
      <c r="D676" s="186"/>
      <c r="E676" s="187"/>
      <c r="F676" s="186"/>
      <c r="G676" s="189"/>
      <c r="H676" s="186"/>
      <c r="I676" s="191"/>
      <c r="J676" s="192"/>
      <c r="K676" s="204"/>
    </row>
    <row r="677" spans="1:11">
      <c r="A677" s="183"/>
      <c r="B677" s="184"/>
      <c r="C677" s="185"/>
      <c r="D677" s="186"/>
      <c r="E677" s="187"/>
      <c r="F677" s="186"/>
      <c r="G677" s="190"/>
      <c r="H677" s="186"/>
      <c r="I677" s="191"/>
      <c r="J677" s="192"/>
      <c r="K677" s="204"/>
    </row>
    <row r="678" spans="1:11">
      <c r="A678" s="181"/>
      <c r="B678" s="184"/>
      <c r="C678" s="185"/>
      <c r="D678" s="186"/>
      <c r="E678" s="187"/>
      <c r="F678" s="188"/>
      <c r="G678" s="181"/>
      <c r="H678" s="186"/>
      <c r="I678" s="191"/>
      <c r="J678" s="192"/>
      <c r="K678" s="204"/>
    </row>
    <row r="679" spans="1:11">
      <c r="A679" s="182"/>
      <c r="B679" s="184"/>
      <c r="C679" s="185"/>
      <c r="D679" s="186"/>
      <c r="E679" s="187"/>
      <c r="F679" s="186"/>
      <c r="G679" s="189"/>
      <c r="H679" s="186"/>
      <c r="I679" s="191"/>
      <c r="J679" s="192"/>
      <c r="K679" s="204"/>
    </row>
    <row r="680" spans="1:11">
      <c r="A680" s="183"/>
      <c r="B680" s="184"/>
      <c r="C680" s="185"/>
      <c r="D680" s="186"/>
      <c r="E680" s="187"/>
      <c r="F680" s="186"/>
      <c r="G680" s="190"/>
      <c r="H680" s="186"/>
      <c r="I680" s="191"/>
      <c r="J680" s="192"/>
      <c r="K680" s="204"/>
    </row>
    <row r="681" spans="1:11">
      <c r="A681" s="181"/>
      <c r="B681" s="184"/>
      <c r="C681" s="185"/>
      <c r="D681" s="186"/>
      <c r="E681" s="187"/>
      <c r="F681" s="188"/>
      <c r="G681" s="181"/>
      <c r="H681" s="186"/>
      <c r="I681" s="191"/>
      <c r="J681" s="192"/>
      <c r="K681" s="204"/>
    </row>
    <row r="682" spans="1:11" ht="24" customHeight="1">
      <c r="A682" s="182"/>
      <c r="B682" s="184"/>
      <c r="C682" s="185"/>
      <c r="D682" s="186"/>
      <c r="E682" s="187"/>
      <c r="F682" s="186"/>
      <c r="G682" s="189"/>
      <c r="H682" s="186"/>
      <c r="I682" s="191"/>
      <c r="J682" s="192"/>
      <c r="K682" s="204"/>
    </row>
    <row r="683" spans="1:11">
      <c r="A683" s="183"/>
      <c r="B683" s="184"/>
      <c r="C683" s="185"/>
      <c r="D683" s="186"/>
      <c r="E683" s="187"/>
      <c r="F683" s="186"/>
      <c r="G683" s="190"/>
      <c r="H683" s="186"/>
      <c r="I683" s="191"/>
      <c r="J683" s="192"/>
      <c r="K683" s="204"/>
    </row>
    <row r="684" spans="1:11">
      <c r="A684" s="181"/>
      <c r="B684" s="184"/>
      <c r="C684" s="185"/>
      <c r="D684" s="186"/>
      <c r="E684" s="187"/>
      <c r="F684" s="188"/>
      <c r="G684" s="181"/>
      <c r="H684" s="186"/>
      <c r="I684" s="191"/>
      <c r="J684" s="192"/>
      <c r="K684" s="204"/>
    </row>
    <row r="685" spans="1:11" ht="16" customHeight="1">
      <c r="A685" s="182"/>
      <c r="B685" s="184"/>
      <c r="C685" s="185"/>
      <c r="D685" s="186"/>
      <c r="E685" s="187"/>
      <c r="F685" s="186"/>
      <c r="G685" s="189"/>
      <c r="H685" s="186"/>
      <c r="I685" s="191"/>
      <c r="J685" s="192"/>
      <c r="K685" s="204"/>
    </row>
    <row r="686" spans="1:11">
      <c r="A686" s="183"/>
      <c r="B686" s="184"/>
      <c r="C686" s="185"/>
      <c r="D686" s="186"/>
      <c r="E686" s="187"/>
      <c r="F686" s="186"/>
      <c r="G686" s="190"/>
      <c r="H686" s="186"/>
      <c r="I686" s="191"/>
      <c r="J686" s="192"/>
      <c r="K686" s="204"/>
    </row>
    <row r="687" spans="1:11">
      <c r="A687" s="181"/>
      <c r="B687" s="184"/>
      <c r="C687" s="185"/>
      <c r="D687" s="186"/>
      <c r="E687" s="187"/>
      <c r="F687" s="188"/>
      <c r="G687" s="181"/>
      <c r="H687" s="186"/>
      <c r="I687" s="191"/>
      <c r="J687" s="192"/>
      <c r="K687" s="204"/>
    </row>
    <row r="688" spans="1:11">
      <c r="A688" s="182"/>
      <c r="B688" s="184"/>
      <c r="C688" s="185"/>
      <c r="D688" s="186"/>
      <c r="E688" s="187"/>
      <c r="F688" s="186"/>
      <c r="G688" s="189"/>
      <c r="H688" s="186"/>
      <c r="I688" s="191"/>
      <c r="J688" s="192"/>
      <c r="K688" s="204"/>
    </row>
    <row r="689" spans="1:11">
      <c r="A689" s="183"/>
      <c r="B689" s="184"/>
      <c r="C689" s="185"/>
      <c r="D689" s="186"/>
      <c r="E689" s="187"/>
      <c r="F689" s="186"/>
      <c r="G689" s="190"/>
      <c r="H689" s="186"/>
      <c r="I689" s="191"/>
      <c r="J689" s="192"/>
      <c r="K689" s="204"/>
    </row>
    <row r="690" spans="1:11">
      <c r="A690" s="181"/>
      <c r="B690" s="184"/>
      <c r="C690" s="185"/>
      <c r="D690" s="186"/>
      <c r="E690" s="187"/>
      <c r="F690" s="188"/>
      <c r="G690" s="181"/>
      <c r="H690" s="186"/>
      <c r="I690" s="191"/>
      <c r="J690" s="192"/>
      <c r="K690" s="204"/>
    </row>
    <row r="691" spans="1:11" ht="31.5" customHeight="1">
      <c r="A691" s="182"/>
      <c r="B691" s="184"/>
      <c r="C691" s="185"/>
      <c r="D691" s="186"/>
      <c r="E691" s="187"/>
      <c r="F691" s="186"/>
      <c r="G691" s="189"/>
      <c r="H691" s="186"/>
      <c r="I691" s="191"/>
      <c r="J691" s="192"/>
      <c r="K691" s="204"/>
    </row>
    <row r="692" spans="1:11">
      <c r="A692" s="183"/>
      <c r="B692" s="184"/>
      <c r="C692" s="185"/>
      <c r="D692" s="186"/>
      <c r="E692" s="187"/>
      <c r="F692" s="186"/>
      <c r="G692" s="190"/>
      <c r="H692" s="186"/>
      <c r="I692" s="191"/>
      <c r="J692" s="192"/>
      <c r="K692" s="204"/>
    </row>
    <row r="693" spans="1:11">
      <c r="A693" s="181"/>
      <c r="B693" s="184"/>
      <c r="C693" s="185"/>
      <c r="D693" s="186"/>
      <c r="E693" s="187"/>
      <c r="F693" s="188"/>
      <c r="G693" s="181"/>
      <c r="H693" s="186"/>
      <c r="I693" s="191"/>
      <c r="J693" s="192"/>
      <c r="K693" s="204"/>
    </row>
    <row r="694" spans="1:11">
      <c r="A694" s="182"/>
      <c r="B694" s="184"/>
      <c r="C694" s="185"/>
      <c r="D694" s="186"/>
      <c r="E694" s="187"/>
      <c r="F694" s="186"/>
      <c r="G694" s="189"/>
      <c r="H694" s="186"/>
      <c r="I694" s="191"/>
      <c r="J694" s="192"/>
      <c r="K694" s="204"/>
    </row>
    <row r="695" spans="1:11">
      <c r="A695" s="183"/>
      <c r="B695" s="184"/>
      <c r="C695" s="185"/>
      <c r="D695" s="186"/>
      <c r="E695" s="187"/>
      <c r="F695" s="186"/>
      <c r="G695" s="190"/>
      <c r="H695" s="186"/>
      <c r="I695" s="191"/>
      <c r="J695" s="192"/>
      <c r="K695" s="204"/>
    </row>
    <row r="696" spans="1:11">
      <c r="A696" s="181"/>
      <c r="B696" s="184"/>
      <c r="C696" s="185"/>
      <c r="D696" s="186"/>
      <c r="E696" s="187"/>
      <c r="F696" s="188"/>
      <c r="G696" s="181"/>
      <c r="H696" s="186"/>
      <c r="I696" s="191"/>
      <c r="J696" s="192"/>
      <c r="K696" s="204"/>
    </row>
    <row r="697" spans="1:11" ht="24" customHeight="1">
      <c r="A697" s="182"/>
      <c r="B697" s="184"/>
      <c r="C697" s="185"/>
      <c r="D697" s="186"/>
      <c r="E697" s="187"/>
      <c r="F697" s="186"/>
      <c r="G697" s="189"/>
      <c r="H697" s="186"/>
      <c r="I697" s="191"/>
      <c r="J697" s="192"/>
      <c r="K697" s="204"/>
    </row>
    <row r="698" spans="1:11">
      <c r="A698" s="183"/>
      <c r="B698" s="184"/>
      <c r="C698" s="185"/>
      <c r="D698" s="186"/>
      <c r="E698" s="187"/>
      <c r="F698" s="186"/>
      <c r="G698" s="190"/>
      <c r="H698" s="186"/>
      <c r="I698" s="191"/>
      <c r="J698" s="192"/>
      <c r="K698" s="204"/>
    </row>
    <row r="699" spans="1:11">
      <c r="A699" s="181"/>
      <c r="B699" s="184"/>
      <c r="C699" s="185"/>
      <c r="D699" s="186"/>
      <c r="E699" s="187"/>
      <c r="F699" s="188"/>
      <c r="G699" s="181"/>
      <c r="H699" s="186"/>
      <c r="I699" s="191"/>
      <c r="J699" s="192"/>
      <c r="K699" s="204"/>
    </row>
    <row r="700" spans="1:11" ht="21" customHeight="1">
      <c r="A700" s="182"/>
      <c r="B700" s="184"/>
      <c r="C700" s="185"/>
      <c r="D700" s="186"/>
      <c r="E700" s="187"/>
      <c r="F700" s="186"/>
      <c r="G700" s="189"/>
      <c r="H700" s="186"/>
      <c r="I700" s="191"/>
      <c r="J700" s="192"/>
      <c r="K700" s="204"/>
    </row>
    <row r="701" spans="1:11">
      <c r="A701" s="183"/>
      <c r="B701" s="184"/>
      <c r="C701" s="185"/>
      <c r="D701" s="186"/>
      <c r="E701" s="187"/>
      <c r="F701" s="186"/>
      <c r="G701" s="190"/>
      <c r="H701" s="186"/>
      <c r="I701" s="191"/>
      <c r="J701" s="192"/>
      <c r="K701" s="204"/>
    </row>
    <row r="702" spans="1:11">
      <c r="A702" s="181"/>
      <c r="B702" s="184"/>
      <c r="C702" s="185"/>
      <c r="D702" s="186"/>
      <c r="E702" s="187"/>
      <c r="F702" s="188"/>
      <c r="G702" s="181"/>
      <c r="H702" s="186"/>
      <c r="I702" s="191"/>
      <c r="J702" s="192"/>
      <c r="K702" s="204"/>
    </row>
    <row r="703" spans="1:11" ht="21" customHeight="1">
      <c r="A703" s="182"/>
      <c r="B703" s="184"/>
      <c r="C703" s="185"/>
      <c r="D703" s="186"/>
      <c r="E703" s="187"/>
      <c r="F703" s="186"/>
      <c r="G703" s="189"/>
      <c r="H703" s="186"/>
      <c r="I703" s="191"/>
      <c r="J703" s="192"/>
      <c r="K703" s="204"/>
    </row>
    <row r="704" spans="1:11">
      <c r="A704" s="183"/>
      <c r="B704" s="184"/>
      <c r="C704" s="185"/>
      <c r="D704" s="186"/>
      <c r="E704" s="187"/>
      <c r="F704" s="186"/>
      <c r="G704" s="190"/>
      <c r="H704" s="186"/>
      <c r="I704" s="191"/>
      <c r="J704" s="192"/>
      <c r="K704" s="204"/>
    </row>
    <row r="705" spans="1:11">
      <c r="A705" s="181"/>
      <c r="B705" s="184"/>
      <c r="C705" s="185"/>
      <c r="D705" s="186"/>
      <c r="E705" s="187"/>
      <c r="F705" s="188"/>
      <c r="G705" s="181"/>
      <c r="H705" s="186"/>
      <c r="I705" s="191"/>
      <c r="J705" s="192"/>
      <c r="K705" s="204"/>
    </row>
    <row r="706" spans="1:11">
      <c r="A706" s="182"/>
      <c r="B706" s="184"/>
      <c r="C706" s="185"/>
      <c r="D706" s="186"/>
      <c r="E706" s="187"/>
      <c r="F706" s="186"/>
      <c r="G706" s="189"/>
      <c r="H706" s="186"/>
      <c r="I706" s="191"/>
      <c r="J706" s="192"/>
      <c r="K706" s="204"/>
    </row>
    <row r="707" spans="1:11">
      <c r="A707" s="183"/>
      <c r="B707" s="184"/>
      <c r="C707" s="185"/>
      <c r="D707" s="186"/>
      <c r="E707" s="187"/>
      <c r="F707" s="186"/>
      <c r="G707" s="190"/>
      <c r="H707" s="186"/>
      <c r="I707" s="191"/>
      <c r="J707" s="192"/>
      <c r="K707" s="204"/>
    </row>
    <row r="708" spans="1:11">
      <c r="A708" s="181"/>
      <c r="B708" s="184"/>
      <c r="C708" s="185"/>
      <c r="D708" s="186"/>
      <c r="E708" s="187"/>
      <c r="F708" s="188"/>
      <c r="G708" s="181"/>
      <c r="H708" s="186"/>
      <c r="I708" s="191"/>
      <c r="J708" s="192"/>
      <c r="K708" s="204"/>
    </row>
    <row r="709" spans="1:11">
      <c r="A709" s="182"/>
      <c r="B709" s="184"/>
      <c r="C709" s="185"/>
      <c r="D709" s="186"/>
      <c r="E709" s="187"/>
      <c r="F709" s="186"/>
      <c r="G709" s="189"/>
      <c r="H709" s="186"/>
      <c r="I709" s="191"/>
      <c r="J709" s="192"/>
      <c r="K709" s="204"/>
    </row>
    <row r="710" spans="1:11">
      <c r="A710" s="183"/>
      <c r="B710" s="184"/>
      <c r="C710" s="185"/>
      <c r="D710" s="186"/>
      <c r="E710" s="187"/>
      <c r="F710" s="186"/>
      <c r="G710" s="190"/>
      <c r="H710" s="186"/>
      <c r="I710" s="191"/>
      <c r="J710" s="192"/>
      <c r="K710" s="204"/>
    </row>
    <row r="711" spans="1:11">
      <c r="A711" s="181"/>
      <c r="B711" s="184"/>
      <c r="C711" s="185"/>
      <c r="D711" s="186"/>
      <c r="E711" s="187"/>
      <c r="F711" s="188"/>
      <c r="G711" s="181"/>
      <c r="H711" s="186"/>
      <c r="I711" s="191"/>
      <c r="J711" s="192"/>
      <c r="K711" s="204"/>
    </row>
    <row r="712" spans="1:11">
      <c r="A712" s="182"/>
      <c r="B712" s="184"/>
      <c r="C712" s="185"/>
      <c r="D712" s="186"/>
      <c r="E712" s="187"/>
      <c r="F712" s="186"/>
      <c r="G712" s="189"/>
      <c r="H712" s="186"/>
      <c r="I712" s="191"/>
      <c r="J712" s="192"/>
      <c r="K712" s="204"/>
    </row>
    <row r="713" spans="1:11">
      <c r="A713" s="183"/>
      <c r="B713" s="184"/>
      <c r="C713" s="185"/>
      <c r="D713" s="186"/>
      <c r="E713" s="187"/>
      <c r="F713" s="186"/>
      <c r="G713" s="190"/>
      <c r="H713" s="186"/>
      <c r="I713" s="191"/>
      <c r="J713" s="192"/>
      <c r="K713" s="204"/>
    </row>
    <row r="714" spans="1:11">
      <c r="A714" s="181"/>
      <c r="B714" s="184"/>
      <c r="C714" s="185"/>
      <c r="D714" s="186"/>
      <c r="E714" s="187"/>
      <c r="F714" s="188"/>
      <c r="G714" s="181"/>
      <c r="H714" s="186"/>
      <c r="I714" s="191"/>
      <c r="J714" s="192"/>
      <c r="K714" s="204"/>
    </row>
    <row r="715" spans="1:11">
      <c r="A715" s="182"/>
      <c r="B715" s="184"/>
      <c r="C715" s="185"/>
      <c r="D715" s="186"/>
      <c r="E715" s="187"/>
      <c r="F715" s="186"/>
      <c r="G715" s="189"/>
      <c r="H715" s="186"/>
      <c r="I715" s="191"/>
      <c r="J715" s="192"/>
      <c r="K715" s="204"/>
    </row>
    <row r="716" spans="1:11">
      <c r="A716" s="183"/>
      <c r="B716" s="184"/>
      <c r="C716" s="185"/>
      <c r="D716" s="186"/>
      <c r="E716" s="187"/>
      <c r="F716" s="186"/>
      <c r="G716" s="190"/>
      <c r="H716" s="186"/>
      <c r="I716" s="191"/>
      <c r="J716" s="192"/>
      <c r="K716" s="204"/>
    </row>
    <row r="717" spans="1:11">
      <c r="A717" s="181"/>
      <c r="B717" s="184"/>
      <c r="C717" s="185"/>
      <c r="D717" s="186"/>
      <c r="E717" s="187"/>
      <c r="F717" s="188"/>
      <c r="G717" s="181"/>
      <c r="H717" s="186"/>
      <c r="I717" s="191"/>
      <c r="J717" s="192"/>
      <c r="K717" s="204"/>
    </row>
    <row r="718" spans="1:11" ht="21" customHeight="1">
      <c r="A718" s="182"/>
      <c r="B718" s="184"/>
      <c r="C718" s="185"/>
      <c r="D718" s="186"/>
      <c r="E718" s="187"/>
      <c r="F718" s="186"/>
      <c r="G718" s="189"/>
      <c r="H718" s="186"/>
      <c r="I718" s="191"/>
      <c r="J718" s="192"/>
      <c r="K718" s="204"/>
    </row>
    <row r="719" spans="1:11">
      <c r="A719" s="183"/>
      <c r="B719" s="184"/>
      <c r="C719" s="185"/>
      <c r="D719" s="186"/>
      <c r="E719" s="187"/>
      <c r="F719" s="186"/>
      <c r="G719" s="190"/>
      <c r="H719" s="186"/>
      <c r="I719" s="191"/>
      <c r="J719" s="192"/>
      <c r="K719" s="204"/>
    </row>
    <row r="720" spans="1:11">
      <c r="A720" s="181"/>
      <c r="B720" s="184"/>
      <c r="C720" s="185"/>
      <c r="D720" s="186"/>
      <c r="E720" s="187"/>
      <c r="F720" s="188"/>
      <c r="G720" s="181"/>
      <c r="H720" s="186"/>
      <c r="I720" s="191"/>
      <c r="J720" s="192"/>
      <c r="K720" s="204"/>
    </row>
    <row r="721" spans="1:11">
      <c r="A721" s="182"/>
      <c r="B721" s="184"/>
      <c r="C721" s="185"/>
      <c r="D721" s="186"/>
      <c r="E721" s="187"/>
      <c r="F721" s="186"/>
      <c r="G721" s="189"/>
      <c r="H721" s="186"/>
      <c r="I721" s="191"/>
      <c r="J721" s="192"/>
      <c r="K721" s="204"/>
    </row>
    <row r="722" spans="1:11">
      <c r="A722" s="183"/>
      <c r="B722" s="184"/>
      <c r="C722" s="185"/>
      <c r="D722" s="186"/>
      <c r="E722" s="187"/>
      <c r="F722" s="186"/>
      <c r="G722" s="190"/>
      <c r="H722" s="186"/>
      <c r="I722" s="191"/>
      <c r="J722" s="192"/>
      <c r="K722" s="204"/>
    </row>
    <row r="723" spans="1:11">
      <c r="A723" s="181"/>
      <c r="B723" s="184"/>
      <c r="C723" s="185"/>
      <c r="D723" s="186"/>
      <c r="E723" s="187"/>
      <c r="F723" s="188"/>
      <c r="G723" s="181"/>
      <c r="H723" s="186"/>
      <c r="I723" s="191"/>
      <c r="J723" s="192"/>
      <c r="K723" s="204"/>
    </row>
    <row r="724" spans="1:11">
      <c r="A724" s="182"/>
      <c r="B724" s="184"/>
      <c r="C724" s="185"/>
      <c r="D724" s="186"/>
      <c r="E724" s="187"/>
      <c r="F724" s="186"/>
      <c r="G724" s="189"/>
      <c r="H724" s="186"/>
      <c r="I724" s="191"/>
      <c r="J724" s="192"/>
      <c r="K724" s="204"/>
    </row>
    <row r="725" spans="1:11">
      <c r="A725" s="183"/>
      <c r="B725" s="184"/>
      <c r="C725" s="185"/>
      <c r="D725" s="186"/>
      <c r="E725" s="187"/>
      <c r="F725" s="186"/>
      <c r="G725" s="190"/>
      <c r="H725" s="186"/>
      <c r="I725" s="191"/>
      <c r="J725" s="192"/>
      <c r="K725" s="204"/>
    </row>
    <row r="726" spans="1:11">
      <c r="A726" s="181"/>
      <c r="B726" s="184"/>
      <c r="C726" s="185"/>
      <c r="D726" s="186"/>
      <c r="E726" s="187"/>
      <c r="F726" s="188"/>
      <c r="G726" s="181"/>
      <c r="H726" s="186"/>
      <c r="I726" s="191"/>
      <c r="J726" s="192"/>
      <c r="K726" s="204"/>
    </row>
    <row r="727" spans="1:11" ht="16" customHeight="1">
      <c r="A727" s="182"/>
      <c r="B727" s="184"/>
      <c r="C727" s="185"/>
      <c r="D727" s="186"/>
      <c r="E727" s="187"/>
      <c r="F727" s="186"/>
      <c r="G727" s="189"/>
      <c r="H727" s="186"/>
      <c r="I727" s="191"/>
      <c r="J727" s="192"/>
      <c r="K727" s="204"/>
    </row>
    <row r="728" spans="1:11">
      <c r="A728" s="183"/>
      <c r="B728" s="184"/>
      <c r="C728" s="185"/>
      <c r="D728" s="186"/>
      <c r="E728" s="187"/>
      <c r="F728" s="186"/>
      <c r="G728" s="190"/>
      <c r="H728" s="186"/>
      <c r="I728" s="191"/>
      <c r="J728" s="192"/>
      <c r="K728" s="204"/>
    </row>
    <row r="729" spans="1:11">
      <c r="A729" s="181"/>
      <c r="B729" s="184"/>
      <c r="C729" s="185"/>
      <c r="D729" s="186"/>
      <c r="E729" s="187"/>
      <c r="F729" s="188"/>
      <c r="G729" s="181"/>
      <c r="H729" s="186"/>
      <c r="I729" s="191"/>
      <c r="J729" s="192"/>
      <c r="K729" s="204"/>
    </row>
    <row r="730" spans="1:11" ht="14" customHeight="1">
      <c r="A730" s="182"/>
      <c r="B730" s="184"/>
      <c r="C730" s="185"/>
      <c r="D730" s="186"/>
      <c r="E730" s="187"/>
      <c r="F730" s="186"/>
      <c r="G730" s="189"/>
      <c r="H730" s="186"/>
      <c r="I730" s="191"/>
      <c r="J730" s="192"/>
      <c r="K730" s="204"/>
    </row>
    <row r="731" spans="1:11">
      <c r="A731" s="183"/>
      <c r="B731" s="184"/>
      <c r="C731" s="185"/>
      <c r="D731" s="186"/>
      <c r="E731" s="187"/>
      <c r="F731" s="186"/>
      <c r="G731" s="190"/>
      <c r="H731" s="186"/>
      <c r="I731" s="191"/>
      <c r="J731" s="192"/>
      <c r="K731" s="204"/>
    </row>
    <row r="732" spans="1:11">
      <c r="A732" s="181"/>
      <c r="B732" s="184"/>
      <c r="C732" s="185"/>
      <c r="D732" s="186"/>
      <c r="E732" s="187"/>
      <c r="F732" s="188"/>
      <c r="G732" s="181"/>
      <c r="H732" s="186"/>
      <c r="I732" s="191"/>
      <c r="J732" s="192"/>
      <c r="K732" s="204"/>
    </row>
    <row r="733" spans="1:11">
      <c r="A733" s="182"/>
      <c r="B733" s="184"/>
      <c r="C733" s="185"/>
      <c r="D733" s="186"/>
      <c r="E733" s="187"/>
      <c r="F733" s="186"/>
      <c r="G733" s="189"/>
      <c r="H733" s="186"/>
      <c r="I733" s="191"/>
      <c r="J733" s="192"/>
      <c r="K733" s="204"/>
    </row>
    <row r="734" spans="1:11">
      <c r="A734" s="183"/>
      <c r="B734" s="184"/>
      <c r="C734" s="185"/>
      <c r="D734" s="186"/>
      <c r="E734" s="187"/>
      <c r="F734" s="186"/>
      <c r="G734" s="190"/>
      <c r="H734" s="186"/>
      <c r="I734" s="191"/>
      <c r="J734" s="192"/>
      <c r="K734" s="204"/>
    </row>
    <row r="735" spans="1:11">
      <c r="A735" s="181"/>
      <c r="B735" s="184"/>
      <c r="C735" s="185"/>
      <c r="D735" s="186"/>
      <c r="E735" s="187"/>
      <c r="F735" s="188"/>
      <c r="G735" s="181"/>
      <c r="H735" s="186"/>
      <c r="I735" s="191"/>
      <c r="J735" s="192"/>
      <c r="K735" s="204"/>
    </row>
    <row r="736" spans="1:11">
      <c r="A736" s="182"/>
      <c r="B736" s="184"/>
      <c r="C736" s="185"/>
      <c r="D736" s="186"/>
      <c r="E736" s="187"/>
      <c r="F736" s="186"/>
      <c r="G736" s="189"/>
      <c r="H736" s="186"/>
      <c r="I736" s="191"/>
      <c r="J736" s="192"/>
      <c r="K736" s="204"/>
    </row>
    <row r="737" spans="1:11">
      <c r="A737" s="183"/>
      <c r="B737" s="184"/>
      <c r="C737" s="185"/>
      <c r="D737" s="186"/>
      <c r="E737" s="187"/>
      <c r="F737" s="186"/>
      <c r="G737" s="190"/>
      <c r="H737" s="186"/>
      <c r="I737" s="191"/>
      <c r="J737" s="192"/>
      <c r="K737" s="204"/>
    </row>
    <row r="738" spans="1:11" ht="24" customHeight="1">
      <c r="A738" s="181"/>
      <c r="B738" s="184"/>
      <c r="C738" s="185"/>
      <c r="D738" s="186"/>
      <c r="E738" s="187"/>
      <c r="F738" s="188"/>
      <c r="G738" s="181"/>
      <c r="H738" s="186"/>
      <c r="I738" s="191"/>
      <c r="J738" s="192"/>
      <c r="K738" s="204"/>
    </row>
    <row r="739" spans="1:11">
      <c r="A739" s="182"/>
      <c r="B739" s="184"/>
      <c r="C739" s="185"/>
      <c r="D739" s="186"/>
      <c r="E739" s="187"/>
      <c r="F739" s="186"/>
      <c r="G739" s="189"/>
      <c r="H739" s="186"/>
      <c r="I739" s="191"/>
      <c r="J739" s="192"/>
      <c r="K739" s="204"/>
    </row>
    <row r="740" spans="1:11">
      <c r="A740" s="183"/>
      <c r="B740" s="184"/>
      <c r="C740" s="185"/>
      <c r="D740" s="186"/>
      <c r="E740" s="187"/>
      <c r="F740" s="186"/>
      <c r="G740" s="190"/>
      <c r="H740" s="186"/>
      <c r="I740" s="191"/>
      <c r="J740" s="192"/>
      <c r="K740" s="204"/>
    </row>
    <row r="741" spans="1:11" ht="21" customHeight="1">
      <c r="A741" s="181"/>
      <c r="B741" s="184"/>
      <c r="C741" s="185"/>
      <c r="D741" s="186"/>
      <c r="E741" s="187"/>
      <c r="F741" s="188"/>
      <c r="G741" s="181"/>
      <c r="H741" s="186"/>
      <c r="I741" s="191"/>
      <c r="J741" s="192"/>
      <c r="K741" s="204"/>
    </row>
    <row r="742" spans="1:11">
      <c r="A742" s="182"/>
      <c r="B742" s="184"/>
      <c r="C742" s="185"/>
      <c r="D742" s="186"/>
      <c r="E742" s="187"/>
      <c r="F742" s="186"/>
      <c r="G742" s="189"/>
      <c r="H742" s="186"/>
      <c r="I742" s="191"/>
      <c r="J742" s="192"/>
      <c r="K742" s="204"/>
    </row>
    <row r="743" spans="1:11">
      <c r="A743" s="183"/>
      <c r="B743" s="184"/>
      <c r="C743" s="185"/>
      <c r="D743" s="186"/>
      <c r="E743" s="187"/>
      <c r="F743" s="186"/>
      <c r="G743" s="190"/>
      <c r="H743" s="186"/>
      <c r="I743" s="191"/>
      <c r="J743" s="192"/>
      <c r="K743" s="204"/>
    </row>
    <row r="744" spans="1:11" ht="21" customHeight="1">
      <c r="A744" s="181"/>
      <c r="B744" s="184"/>
      <c r="C744" s="185"/>
      <c r="D744" s="186"/>
      <c r="E744" s="187"/>
      <c r="F744" s="188"/>
      <c r="G744" s="181"/>
      <c r="H744" s="186"/>
      <c r="I744" s="191"/>
      <c r="J744" s="192"/>
      <c r="K744" s="204"/>
    </row>
    <row r="745" spans="1:11">
      <c r="A745" s="182"/>
      <c r="B745" s="184"/>
      <c r="C745" s="185"/>
      <c r="D745" s="186"/>
      <c r="E745" s="187"/>
      <c r="F745" s="186"/>
      <c r="G745" s="189"/>
      <c r="H745" s="186"/>
      <c r="I745" s="191"/>
      <c r="J745" s="192"/>
      <c r="K745" s="204"/>
    </row>
    <row r="746" spans="1:11">
      <c r="A746" s="183"/>
      <c r="B746" s="184"/>
      <c r="C746" s="185"/>
      <c r="D746" s="186"/>
      <c r="E746" s="187"/>
      <c r="F746" s="186"/>
      <c r="G746" s="190"/>
      <c r="H746" s="186"/>
      <c r="I746" s="191"/>
      <c r="J746" s="192"/>
      <c r="K746" s="204"/>
    </row>
    <row r="747" spans="1:11" ht="16" customHeight="1">
      <c r="A747" s="181"/>
      <c r="B747" s="184"/>
      <c r="C747" s="185"/>
      <c r="D747" s="186"/>
      <c r="E747" s="187"/>
      <c r="F747" s="188"/>
      <c r="G747" s="181"/>
      <c r="H747" s="186"/>
      <c r="I747" s="191"/>
      <c r="J747" s="192"/>
      <c r="K747" s="204"/>
    </row>
    <row r="748" spans="1:11">
      <c r="A748" s="182"/>
      <c r="B748" s="184"/>
      <c r="C748" s="185"/>
      <c r="D748" s="186"/>
      <c r="E748" s="187"/>
      <c r="F748" s="186"/>
      <c r="G748" s="189"/>
      <c r="H748" s="186"/>
      <c r="I748" s="191"/>
      <c r="J748" s="192"/>
      <c r="K748" s="204"/>
    </row>
    <row r="749" spans="1:11">
      <c r="A749" s="183"/>
      <c r="B749" s="184"/>
      <c r="C749" s="185"/>
      <c r="D749" s="186"/>
      <c r="E749" s="187"/>
      <c r="F749" s="186"/>
      <c r="G749" s="190"/>
      <c r="H749" s="186"/>
      <c r="I749" s="191"/>
      <c r="J749" s="192"/>
      <c r="K749" s="204"/>
    </row>
    <row r="750" spans="1:11" ht="16" customHeight="1">
      <c r="A750" s="181"/>
      <c r="B750" s="184"/>
      <c r="C750" s="185"/>
      <c r="D750" s="186"/>
      <c r="E750" s="187"/>
      <c r="F750" s="188"/>
      <c r="G750" s="181"/>
      <c r="H750" s="186"/>
      <c r="I750" s="191"/>
      <c r="J750" s="192"/>
      <c r="K750" s="204"/>
    </row>
    <row r="751" spans="1:11">
      <c r="A751" s="182"/>
      <c r="B751" s="184"/>
      <c r="C751" s="185"/>
      <c r="D751" s="186"/>
      <c r="E751" s="187"/>
      <c r="F751" s="186"/>
      <c r="G751" s="189"/>
      <c r="H751" s="186"/>
      <c r="I751" s="191"/>
      <c r="J751" s="192"/>
      <c r="K751" s="204"/>
    </row>
    <row r="752" spans="1:11">
      <c r="A752" s="183"/>
      <c r="B752" s="184"/>
      <c r="C752" s="185"/>
      <c r="D752" s="186"/>
      <c r="E752" s="187"/>
      <c r="F752" s="186"/>
      <c r="G752" s="190"/>
      <c r="H752" s="186"/>
      <c r="I752" s="191"/>
      <c r="J752" s="192"/>
      <c r="K752" s="204"/>
    </row>
    <row r="753" spans="1:11" ht="21" customHeight="1">
      <c r="A753" s="181"/>
      <c r="B753" s="184"/>
      <c r="C753" s="185"/>
      <c r="D753" s="186"/>
      <c r="E753" s="187"/>
      <c r="F753" s="188"/>
      <c r="G753" s="181"/>
      <c r="H753" s="186"/>
      <c r="I753" s="191"/>
      <c r="J753" s="192"/>
      <c r="K753" s="204"/>
    </row>
    <row r="754" spans="1:11">
      <c r="A754" s="182"/>
      <c r="B754" s="184"/>
      <c r="C754" s="185"/>
      <c r="D754" s="186"/>
      <c r="E754" s="187"/>
      <c r="F754" s="186"/>
      <c r="G754" s="189"/>
      <c r="H754" s="186"/>
      <c r="I754" s="191"/>
      <c r="J754" s="192"/>
      <c r="K754" s="204"/>
    </row>
    <row r="755" spans="1:11">
      <c r="A755" s="183"/>
      <c r="B755" s="184"/>
      <c r="C755" s="185"/>
      <c r="D755" s="186"/>
      <c r="E755" s="187"/>
      <c r="F755" s="186"/>
      <c r="G755" s="190"/>
      <c r="H755" s="186"/>
      <c r="I755" s="191"/>
      <c r="J755" s="192"/>
      <c r="K755" s="204"/>
    </row>
    <row r="756" spans="1:11" ht="14" customHeight="1">
      <c r="A756" s="181"/>
      <c r="B756" s="184"/>
      <c r="C756" s="185"/>
      <c r="D756" s="186"/>
      <c r="E756" s="187"/>
      <c r="F756" s="188"/>
      <c r="G756" s="181"/>
      <c r="H756" s="186"/>
      <c r="I756" s="191"/>
      <c r="J756" s="192"/>
      <c r="K756" s="204"/>
    </row>
    <row r="757" spans="1:11">
      <c r="A757" s="182"/>
      <c r="B757" s="184"/>
      <c r="C757" s="185"/>
      <c r="D757" s="186"/>
      <c r="E757" s="187"/>
      <c r="F757" s="186"/>
      <c r="G757" s="189"/>
      <c r="H757" s="186"/>
      <c r="I757" s="191"/>
      <c r="J757" s="192"/>
      <c r="K757" s="204"/>
    </row>
    <row r="758" spans="1:11" ht="16" customHeight="1">
      <c r="A758" s="183"/>
      <c r="B758" s="184"/>
      <c r="C758" s="185"/>
      <c r="D758" s="186"/>
      <c r="E758" s="187"/>
      <c r="F758" s="186"/>
      <c r="G758" s="190"/>
      <c r="H758" s="186"/>
      <c r="I758" s="191"/>
      <c r="J758" s="192"/>
      <c r="K758" s="204"/>
    </row>
    <row r="759" spans="1:11">
      <c r="A759" s="181"/>
      <c r="B759" s="184"/>
      <c r="C759" s="185"/>
      <c r="D759" s="186"/>
      <c r="E759" s="187"/>
      <c r="F759" s="188"/>
      <c r="G759" s="181"/>
      <c r="H759" s="186"/>
      <c r="I759" s="191"/>
      <c r="J759" s="192"/>
      <c r="K759" s="204"/>
    </row>
    <row r="760" spans="1:11">
      <c r="A760" s="182"/>
      <c r="B760" s="184"/>
      <c r="C760" s="185"/>
      <c r="D760" s="186"/>
      <c r="E760" s="187"/>
      <c r="F760" s="186"/>
      <c r="G760" s="189"/>
      <c r="H760" s="186"/>
      <c r="I760" s="191"/>
      <c r="J760" s="192"/>
      <c r="K760" s="204"/>
    </row>
    <row r="761" spans="1:11" ht="24" customHeight="1">
      <c r="A761" s="183"/>
      <c r="B761" s="184"/>
      <c r="C761" s="185"/>
      <c r="D761" s="186"/>
      <c r="E761" s="187"/>
      <c r="F761" s="186"/>
      <c r="G761" s="190"/>
      <c r="H761" s="186"/>
      <c r="I761" s="191"/>
      <c r="J761" s="192"/>
      <c r="K761" s="204"/>
    </row>
    <row r="762" spans="1:11">
      <c r="A762" s="181"/>
      <c r="B762" s="184"/>
      <c r="C762" s="185"/>
      <c r="D762" s="186"/>
      <c r="E762" s="187"/>
      <c r="F762" s="188"/>
      <c r="G762" s="181"/>
      <c r="H762" s="186"/>
      <c r="I762" s="191"/>
      <c r="J762" s="192"/>
      <c r="K762" s="204"/>
    </row>
    <row r="763" spans="1:11">
      <c r="A763" s="182"/>
      <c r="B763" s="184"/>
      <c r="C763" s="185"/>
      <c r="D763" s="186"/>
      <c r="E763" s="187"/>
      <c r="F763" s="186"/>
      <c r="G763" s="189"/>
      <c r="H763" s="186"/>
      <c r="I763" s="191"/>
      <c r="J763" s="192"/>
      <c r="K763" s="204"/>
    </row>
    <row r="764" spans="1:11" ht="16" customHeight="1">
      <c r="A764" s="183"/>
      <c r="B764" s="184"/>
      <c r="C764" s="185"/>
      <c r="D764" s="186"/>
      <c r="E764" s="187"/>
      <c r="F764" s="186"/>
      <c r="G764" s="190"/>
      <c r="H764" s="186"/>
      <c r="I764" s="191"/>
      <c r="J764" s="192"/>
      <c r="K764" s="204"/>
    </row>
    <row r="765" spans="1:11">
      <c r="A765" s="181"/>
      <c r="B765" s="184"/>
      <c r="C765" s="185"/>
      <c r="D765" s="186"/>
      <c r="E765" s="187"/>
      <c r="F765" s="188"/>
      <c r="G765" s="181"/>
      <c r="H765" s="186"/>
      <c r="I765" s="191"/>
      <c r="J765" s="192"/>
      <c r="K765" s="204"/>
    </row>
    <row r="766" spans="1:11">
      <c r="A766" s="182"/>
      <c r="B766" s="184"/>
      <c r="C766" s="185"/>
      <c r="D766" s="186"/>
      <c r="E766" s="187"/>
      <c r="F766" s="186"/>
      <c r="G766" s="189"/>
      <c r="H766" s="186"/>
      <c r="I766" s="191"/>
      <c r="J766" s="192"/>
      <c r="K766" s="204"/>
    </row>
    <row r="767" spans="1:11">
      <c r="A767" s="183"/>
      <c r="B767" s="184"/>
      <c r="C767" s="185"/>
      <c r="D767" s="186"/>
      <c r="E767" s="187"/>
      <c r="F767" s="186"/>
      <c r="G767" s="190"/>
      <c r="H767" s="186"/>
      <c r="I767" s="191"/>
      <c r="J767" s="192"/>
      <c r="K767" s="204"/>
    </row>
    <row r="768" spans="1:11">
      <c r="A768" s="181"/>
      <c r="B768" s="184"/>
      <c r="C768" s="185"/>
      <c r="D768" s="186"/>
      <c r="E768" s="187"/>
      <c r="F768" s="188"/>
      <c r="G768" s="181"/>
      <c r="H768" s="186"/>
      <c r="I768" s="191"/>
      <c r="J768" s="192"/>
      <c r="K768" s="204"/>
    </row>
    <row r="769" spans="1:11">
      <c r="A769" s="182"/>
      <c r="B769" s="184"/>
      <c r="C769" s="185"/>
      <c r="D769" s="186"/>
      <c r="E769" s="187"/>
      <c r="F769" s="186"/>
      <c r="G769" s="189"/>
      <c r="H769" s="186"/>
      <c r="I769" s="191"/>
      <c r="J769" s="192"/>
      <c r="K769" s="204"/>
    </row>
    <row r="770" spans="1:11" ht="16" customHeight="1">
      <c r="A770" s="183"/>
      <c r="B770" s="184"/>
      <c r="C770" s="185"/>
      <c r="D770" s="186"/>
      <c r="E770" s="187"/>
      <c r="F770" s="186"/>
      <c r="G770" s="190"/>
      <c r="H770" s="186"/>
      <c r="I770" s="191"/>
      <c r="J770" s="192"/>
      <c r="K770" s="204"/>
    </row>
    <row r="771" spans="1:11">
      <c r="A771" s="181"/>
      <c r="B771" s="184"/>
      <c r="C771" s="185"/>
      <c r="D771" s="186"/>
      <c r="E771" s="187"/>
      <c r="F771" s="188"/>
      <c r="G771" s="181"/>
      <c r="H771" s="186"/>
      <c r="I771" s="191"/>
      <c r="J771" s="192"/>
      <c r="K771" s="204"/>
    </row>
    <row r="772" spans="1:11">
      <c r="A772" s="182"/>
      <c r="B772" s="184"/>
      <c r="C772" s="185"/>
      <c r="D772" s="186"/>
      <c r="E772" s="187"/>
      <c r="F772" s="186"/>
      <c r="G772" s="189"/>
      <c r="H772" s="186"/>
      <c r="I772" s="191"/>
      <c r="J772" s="192"/>
      <c r="K772" s="204"/>
    </row>
    <row r="773" spans="1:11" ht="16" customHeight="1">
      <c r="A773" s="183"/>
      <c r="B773" s="184"/>
      <c r="C773" s="185"/>
      <c r="D773" s="186"/>
      <c r="E773" s="187"/>
      <c r="F773" s="186"/>
      <c r="G773" s="190"/>
      <c r="H773" s="186"/>
      <c r="I773" s="191"/>
      <c r="J773" s="192"/>
      <c r="K773" s="204"/>
    </row>
    <row r="774" spans="1:11">
      <c r="A774" s="181"/>
      <c r="B774" s="184"/>
      <c r="C774" s="185"/>
      <c r="D774" s="186"/>
      <c r="E774" s="187"/>
      <c r="F774" s="188"/>
      <c r="G774" s="181"/>
      <c r="H774" s="186"/>
      <c r="I774" s="191"/>
      <c r="J774" s="192"/>
      <c r="K774" s="204"/>
    </row>
    <row r="775" spans="1:11">
      <c r="A775" s="182"/>
      <c r="B775" s="184"/>
      <c r="C775" s="185"/>
      <c r="D775" s="186"/>
      <c r="E775" s="187"/>
      <c r="F775" s="186"/>
      <c r="G775" s="189"/>
      <c r="H775" s="186"/>
      <c r="I775" s="191"/>
      <c r="J775" s="192"/>
      <c r="K775" s="204"/>
    </row>
    <row r="776" spans="1:11">
      <c r="A776" s="183"/>
      <c r="B776" s="184"/>
      <c r="C776" s="185"/>
      <c r="D776" s="186"/>
      <c r="E776" s="187"/>
      <c r="F776" s="186"/>
      <c r="G776" s="190"/>
      <c r="H776" s="186"/>
      <c r="I776" s="191"/>
      <c r="J776" s="192"/>
      <c r="K776" s="204"/>
    </row>
    <row r="777" spans="1:11">
      <c r="A777" s="181"/>
      <c r="B777" s="184"/>
      <c r="C777" s="185"/>
      <c r="D777" s="186"/>
      <c r="E777" s="187"/>
      <c r="F777" s="188"/>
      <c r="G777" s="181"/>
      <c r="H777" s="186"/>
      <c r="I777" s="191"/>
      <c r="J777" s="192"/>
      <c r="K777" s="204"/>
    </row>
    <row r="778" spans="1:11">
      <c r="A778" s="182"/>
      <c r="B778" s="184"/>
      <c r="C778" s="185"/>
      <c r="D778" s="186"/>
      <c r="E778" s="187"/>
      <c r="F778" s="186"/>
      <c r="G778" s="189"/>
      <c r="H778" s="186"/>
      <c r="I778" s="191"/>
      <c r="J778" s="192"/>
      <c r="K778" s="204"/>
    </row>
    <row r="779" spans="1:11" ht="16" customHeight="1">
      <c r="A779" s="183"/>
      <c r="B779" s="184"/>
      <c r="C779" s="185"/>
      <c r="D779" s="186"/>
      <c r="E779" s="187"/>
      <c r="F779" s="186"/>
      <c r="G779" s="190"/>
      <c r="H779" s="186"/>
      <c r="I779" s="191"/>
      <c r="J779" s="192"/>
      <c r="K779" s="204"/>
    </row>
    <row r="780" spans="1:11">
      <c r="A780" s="181"/>
      <c r="B780" s="184"/>
      <c r="C780" s="185"/>
      <c r="D780" s="186"/>
      <c r="E780" s="187"/>
      <c r="F780" s="188"/>
      <c r="G780" s="181"/>
      <c r="H780" s="186"/>
      <c r="I780" s="191"/>
      <c r="J780" s="192"/>
      <c r="K780" s="204"/>
    </row>
    <row r="781" spans="1:11">
      <c r="A781" s="182"/>
      <c r="B781" s="184"/>
      <c r="C781" s="185"/>
      <c r="D781" s="186"/>
      <c r="E781" s="187"/>
      <c r="F781" s="186"/>
      <c r="G781" s="189"/>
      <c r="H781" s="186"/>
      <c r="I781" s="191"/>
      <c r="J781" s="192"/>
      <c r="K781" s="204"/>
    </row>
    <row r="782" spans="1:11" ht="31.5" customHeight="1">
      <c r="A782" s="183"/>
      <c r="B782" s="184"/>
      <c r="C782" s="185"/>
      <c r="D782" s="186"/>
      <c r="E782" s="187"/>
      <c r="F782" s="186"/>
      <c r="G782" s="190"/>
      <c r="H782" s="186"/>
      <c r="I782" s="191"/>
      <c r="J782" s="192"/>
      <c r="K782" s="204"/>
    </row>
    <row r="783" spans="1:11">
      <c r="A783" s="181"/>
      <c r="B783" s="184"/>
      <c r="C783" s="185"/>
      <c r="D783" s="186"/>
      <c r="E783" s="187"/>
      <c r="F783" s="188"/>
      <c r="G783" s="181"/>
      <c r="H783" s="186"/>
      <c r="I783" s="191"/>
      <c r="J783" s="192"/>
      <c r="K783" s="204"/>
    </row>
    <row r="784" spans="1:11">
      <c r="A784" s="182"/>
      <c r="B784" s="184"/>
      <c r="C784" s="185"/>
      <c r="D784" s="186"/>
      <c r="E784" s="187"/>
      <c r="F784" s="186"/>
      <c r="G784" s="189"/>
      <c r="H784" s="186"/>
      <c r="I784" s="191"/>
      <c r="J784" s="192"/>
      <c r="K784" s="204"/>
    </row>
    <row r="785" spans="1:11" ht="16" customHeight="1">
      <c r="A785" s="183"/>
      <c r="B785" s="184"/>
      <c r="C785" s="185"/>
      <c r="D785" s="186"/>
      <c r="E785" s="187"/>
      <c r="F785" s="186"/>
      <c r="G785" s="190"/>
      <c r="H785" s="186"/>
      <c r="I785" s="191"/>
      <c r="J785" s="192"/>
      <c r="K785" s="204"/>
    </row>
    <row r="786" spans="1:11">
      <c r="A786" s="181"/>
      <c r="B786" s="184"/>
      <c r="C786" s="185"/>
      <c r="D786" s="186"/>
      <c r="E786" s="187"/>
      <c r="F786" s="188"/>
      <c r="G786" s="181"/>
      <c r="H786" s="186"/>
      <c r="I786" s="191"/>
      <c r="J786" s="192"/>
      <c r="K786" s="204"/>
    </row>
    <row r="787" spans="1:11">
      <c r="A787" s="182"/>
      <c r="B787" s="184"/>
      <c r="C787" s="185"/>
      <c r="D787" s="186"/>
      <c r="E787" s="187"/>
      <c r="F787" s="186"/>
      <c r="G787" s="189"/>
      <c r="H787" s="186"/>
      <c r="I787" s="191"/>
      <c r="J787" s="192"/>
      <c r="K787" s="204"/>
    </row>
    <row r="788" spans="1:11" ht="31.5" customHeight="1">
      <c r="A788" s="183"/>
      <c r="B788" s="184"/>
      <c r="C788" s="185"/>
      <c r="D788" s="186"/>
      <c r="E788" s="187"/>
      <c r="F788" s="186"/>
      <c r="G788" s="190"/>
      <c r="H788" s="186"/>
      <c r="I788" s="191"/>
      <c r="J788" s="192"/>
      <c r="K788" s="204"/>
    </row>
    <row r="789" spans="1:11">
      <c r="A789" s="181"/>
      <c r="B789" s="184"/>
      <c r="C789" s="185"/>
      <c r="D789" s="186"/>
      <c r="E789" s="187"/>
      <c r="F789" s="188"/>
      <c r="G789" s="181"/>
      <c r="H789" s="186"/>
      <c r="I789" s="191"/>
      <c r="J789" s="192"/>
      <c r="K789" s="204"/>
    </row>
    <row r="790" spans="1:11">
      <c r="A790" s="182"/>
      <c r="B790" s="184"/>
      <c r="C790" s="185"/>
      <c r="D790" s="186"/>
      <c r="E790" s="187"/>
      <c r="F790" s="186"/>
      <c r="G790" s="189"/>
      <c r="H790" s="186"/>
      <c r="I790" s="191"/>
      <c r="J790" s="192"/>
      <c r="K790" s="204"/>
    </row>
    <row r="791" spans="1:11" ht="24" customHeight="1">
      <c r="A791" s="183"/>
      <c r="B791" s="184"/>
      <c r="C791" s="185"/>
      <c r="D791" s="186"/>
      <c r="E791" s="187"/>
      <c r="F791" s="186"/>
      <c r="G791" s="190"/>
      <c r="H791" s="186"/>
      <c r="I791" s="191"/>
      <c r="J791" s="192"/>
      <c r="K791" s="204"/>
    </row>
    <row r="792" spans="1:11">
      <c r="A792" s="181"/>
      <c r="B792" s="184"/>
      <c r="C792" s="185"/>
      <c r="D792" s="186"/>
      <c r="E792" s="187"/>
      <c r="F792" s="188"/>
      <c r="G792" s="181"/>
      <c r="H792" s="186"/>
      <c r="I792" s="191"/>
      <c r="J792" s="192"/>
      <c r="K792" s="204"/>
    </row>
    <row r="793" spans="1:11">
      <c r="A793" s="182"/>
      <c r="B793" s="184"/>
      <c r="C793" s="185"/>
      <c r="D793" s="186"/>
      <c r="E793" s="187"/>
      <c r="F793" s="186"/>
      <c r="G793" s="189"/>
      <c r="H793" s="186"/>
      <c r="I793" s="191"/>
      <c r="J793" s="192"/>
      <c r="K793" s="204"/>
    </row>
    <row r="794" spans="1:11" ht="24" customHeight="1">
      <c r="A794" s="183"/>
      <c r="B794" s="184"/>
      <c r="C794" s="185"/>
      <c r="D794" s="186"/>
      <c r="E794" s="187"/>
      <c r="F794" s="186"/>
      <c r="G794" s="190"/>
      <c r="H794" s="186"/>
      <c r="I794" s="191"/>
      <c r="J794" s="192"/>
      <c r="K794" s="204"/>
    </row>
    <row r="795" spans="1:11">
      <c r="A795" s="181"/>
      <c r="B795" s="184"/>
      <c r="C795" s="185"/>
      <c r="D795" s="186"/>
      <c r="E795" s="187"/>
      <c r="F795" s="188"/>
      <c r="G795" s="181"/>
      <c r="H795" s="186"/>
      <c r="I795" s="191"/>
      <c r="J795" s="192"/>
      <c r="K795" s="204"/>
    </row>
    <row r="796" spans="1:11">
      <c r="A796" s="182"/>
      <c r="B796" s="184"/>
      <c r="C796" s="185"/>
      <c r="D796" s="186"/>
      <c r="E796" s="187"/>
      <c r="F796" s="186"/>
      <c r="G796" s="189"/>
      <c r="H796" s="186"/>
      <c r="I796" s="191"/>
      <c r="J796" s="192"/>
      <c r="K796" s="204"/>
    </row>
    <row r="797" spans="1:11" ht="24" customHeight="1">
      <c r="A797" s="183"/>
      <c r="B797" s="184"/>
      <c r="C797" s="185"/>
      <c r="D797" s="186"/>
      <c r="E797" s="187"/>
      <c r="F797" s="186"/>
      <c r="G797" s="190"/>
      <c r="H797" s="186"/>
      <c r="I797" s="191"/>
      <c r="J797" s="192"/>
      <c r="K797" s="204"/>
    </row>
    <row r="798" spans="1:11">
      <c r="A798" s="181"/>
      <c r="B798" s="184"/>
      <c r="C798" s="185"/>
      <c r="D798" s="186"/>
      <c r="E798" s="187"/>
      <c r="F798" s="188"/>
      <c r="G798" s="181"/>
      <c r="H798" s="186"/>
      <c r="I798" s="191"/>
      <c r="J798" s="192"/>
      <c r="K798" s="204"/>
    </row>
    <row r="799" spans="1:11">
      <c r="A799" s="182"/>
      <c r="B799" s="184"/>
      <c r="C799" s="185"/>
      <c r="D799" s="186"/>
      <c r="E799" s="187"/>
      <c r="F799" s="186"/>
      <c r="G799" s="189"/>
      <c r="H799" s="186"/>
      <c r="I799" s="191"/>
      <c r="J799" s="192"/>
      <c r="K799" s="204"/>
    </row>
    <row r="800" spans="1:11" ht="21" customHeight="1">
      <c r="A800" s="183"/>
      <c r="B800" s="184"/>
      <c r="C800" s="185"/>
      <c r="D800" s="186"/>
      <c r="E800" s="187"/>
      <c r="F800" s="186"/>
      <c r="G800" s="190"/>
      <c r="H800" s="186"/>
      <c r="I800" s="191"/>
      <c r="J800" s="192"/>
      <c r="K800" s="204"/>
    </row>
    <row r="801" spans="1:11">
      <c r="A801" s="181"/>
      <c r="B801" s="184"/>
      <c r="C801" s="185"/>
      <c r="D801" s="186"/>
      <c r="E801" s="187"/>
      <c r="F801" s="188"/>
      <c r="G801" s="181"/>
      <c r="H801" s="186"/>
      <c r="I801" s="191"/>
      <c r="J801" s="192"/>
      <c r="K801" s="204"/>
    </row>
    <row r="802" spans="1:11">
      <c r="A802" s="182"/>
      <c r="B802" s="184"/>
      <c r="C802" s="185"/>
      <c r="D802" s="186"/>
      <c r="E802" s="187"/>
      <c r="F802" s="186"/>
      <c r="G802" s="189"/>
      <c r="H802" s="186"/>
      <c r="I802" s="191"/>
      <c r="J802" s="192"/>
      <c r="K802" s="204"/>
    </row>
    <row r="803" spans="1:11">
      <c r="A803" s="183"/>
      <c r="B803" s="184"/>
      <c r="C803" s="185"/>
      <c r="D803" s="186"/>
      <c r="E803" s="187"/>
      <c r="F803" s="186"/>
      <c r="G803" s="190"/>
      <c r="H803" s="186"/>
      <c r="I803" s="191"/>
      <c r="J803" s="192"/>
      <c r="K803" s="204"/>
    </row>
    <row r="804" spans="1:11">
      <c r="A804" s="181"/>
      <c r="B804" s="184"/>
      <c r="C804" s="185"/>
      <c r="D804" s="186"/>
      <c r="E804" s="187"/>
      <c r="F804" s="188"/>
      <c r="G804" s="181"/>
      <c r="H804" s="186"/>
      <c r="I804" s="191"/>
      <c r="J804" s="192"/>
      <c r="K804" s="204"/>
    </row>
    <row r="805" spans="1:11">
      <c r="A805" s="182"/>
      <c r="B805" s="184"/>
      <c r="C805" s="185"/>
      <c r="D805" s="186"/>
      <c r="E805" s="187"/>
      <c r="F805" s="186"/>
      <c r="G805" s="189"/>
      <c r="H805" s="186"/>
      <c r="I805" s="191"/>
      <c r="J805" s="192"/>
      <c r="K805" s="204"/>
    </row>
    <row r="806" spans="1:11" ht="21" customHeight="1">
      <c r="A806" s="183"/>
      <c r="B806" s="184"/>
      <c r="C806" s="185"/>
      <c r="D806" s="186"/>
      <c r="E806" s="187"/>
      <c r="F806" s="186"/>
      <c r="G806" s="190"/>
      <c r="H806" s="186"/>
      <c r="I806" s="191"/>
      <c r="J806" s="192"/>
      <c r="K806" s="204"/>
    </row>
    <row r="807" spans="1:11">
      <c r="A807" s="181"/>
      <c r="B807" s="184"/>
      <c r="C807" s="185"/>
      <c r="D807" s="186"/>
      <c r="E807" s="187"/>
      <c r="F807" s="188"/>
      <c r="G807" s="181"/>
      <c r="H807" s="186"/>
      <c r="I807" s="191"/>
      <c r="J807" s="192"/>
      <c r="K807" s="204"/>
    </row>
    <row r="808" spans="1:11">
      <c r="A808" s="182"/>
      <c r="B808" s="184"/>
      <c r="C808" s="185"/>
      <c r="D808" s="186"/>
      <c r="E808" s="187"/>
      <c r="F808" s="186"/>
      <c r="G808" s="189"/>
      <c r="H808" s="186"/>
      <c r="I808" s="191"/>
      <c r="J808" s="192"/>
      <c r="K808" s="204"/>
    </row>
    <row r="809" spans="1:11" ht="21" customHeight="1">
      <c r="A809" s="183"/>
      <c r="B809" s="184"/>
      <c r="C809" s="185"/>
      <c r="D809" s="186"/>
      <c r="E809" s="187"/>
      <c r="F809" s="186"/>
      <c r="G809" s="190"/>
      <c r="H809" s="186"/>
      <c r="I809" s="191"/>
      <c r="J809" s="192"/>
      <c r="K809" s="204"/>
    </row>
    <row r="810" spans="1:11">
      <c r="A810" s="181"/>
      <c r="B810" s="184"/>
      <c r="C810" s="185"/>
      <c r="D810" s="186"/>
      <c r="E810" s="187"/>
      <c r="F810" s="188"/>
      <c r="G810" s="181"/>
      <c r="H810" s="186"/>
      <c r="I810" s="191"/>
      <c r="J810" s="192"/>
      <c r="K810" s="204"/>
    </row>
    <row r="811" spans="1:11">
      <c r="A811" s="182"/>
      <c r="B811" s="184"/>
      <c r="C811" s="185"/>
      <c r="D811" s="186"/>
      <c r="E811" s="187"/>
      <c r="F811" s="186"/>
      <c r="G811" s="189"/>
      <c r="H811" s="186"/>
      <c r="I811" s="191"/>
      <c r="J811" s="192"/>
      <c r="K811" s="204"/>
    </row>
    <row r="812" spans="1:11">
      <c r="A812" s="183"/>
      <c r="B812" s="184"/>
      <c r="C812" s="185"/>
      <c r="D812" s="186"/>
      <c r="E812" s="187"/>
      <c r="F812" s="186"/>
      <c r="G812" s="190"/>
      <c r="H812" s="186"/>
      <c r="I812" s="191"/>
      <c r="J812" s="192"/>
      <c r="K812" s="204"/>
    </row>
    <row r="813" spans="1:11">
      <c r="A813" s="181"/>
      <c r="B813" s="184"/>
      <c r="C813" s="185"/>
      <c r="D813" s="186"/>
      <c r="E813" s="187"/>
      <c r="F813" s="188"/>
      <c r="G813" s="181"/>
      <c r="H813" s="186"/>
      <c r="I813" s="191"/>
      <c r="J813" s="192"/>
      <c r="K813" s="204"/>
    </row>
    <row r="814" spans="1:11">
      <c r="A814" s="182"/>
      <c r="B814" s="184"/>
      <c r="C814" s="185"/>
      <c r="D814" s="186"/>
      <c r="E814" s="187"/>
      <c r="F814" s="186"/>
      <c r="G814" s="189"/>
      <c r="H814" s="186"/>
      <c r="I814" s="191"/>
      <c r="J814" s="192"/>
      <c r="K814" s="204"/>
    </row>
    <row r="815" spans="1:11" ht="21" customHeight="1">
      <c r="A815" s="183"/>
      <c r="B815" s="184"/>
      <c r="C815" s="185"/>
      <c r="D815" s="186"/>
      <c r="E815" s="187"/>
      <c r="F815" s="186"/>
      <c r="G815" s="190"/>
      <c r="H815" s="186"/>
      <c r="I815" s="191"/>
      <c r="J815" s="192"/>
      <c r="K815" s="204"/>
    </row>
    <row r="816" spans="1:11">
      <c r="A816" s="181"/>
      <c r="B816" s="184"/>
      <c r="C816" s="185"/>
      <c r="D816" s="186"/>
      <c r="E816" s="187"/>
      <c r="F816" s="188"/>
      <c r="G816" s="181"/>
      <c r="H816" s="186"/>
      <c r="I816" s="191"/>
      <c r="J816" s="192"/>
      <c r="K816" s="204"/>
    </row>
    <row r="817" spans="1:11">
      <c r="A817" s="182"/>
      <c r="B817" s="184"/>
      <c r="C817" s="185"/>
      <c r="D817" s="186"/>
      <c r="E817" s="187"/>
      <c r="F817" s="186"/>
      <c r="G817" s="189"/>
      <c r="H817" s="186"/>
      <c r="I817" s="191"/>
      <c r="J817" s="192"/>
      <c r="K817" s="204"/>
    </row>
    <row r="818" spans="1:11" ht="24" customHeight="1">
      <c r="A818" s="183"/>
      <c r="B818" s="184"/>
      <c r="C818" s="185"/>
      <c r="D818" s="186"/>
      <c r="E818" s="187"/>
      <c r="F818" s="186"/>
      <c r="G818" s="190"/>
      <c r="H818" s="186"/>
      <c r="I818" s="191"/>
      <c r="J818" s="192"/>
      <c r="K818" s="204"/>
    </row>
    <row r="819" spans="1:11">
      <c r="A819" s="181"/>
      <c r="B819" s="184"/>
      <c r="C819" s="185"/>
      <c r="D819" s="186"/>
      <c r="E819" s="187"/>
      <c r="F819" s="188"/>
      <c r="G819" s="181"/>
      <c r="H819" s="186"/>
      <c r="I819" s="191"/>
      <c r="J819" s="192"/>
      <c r="K819" s="204"/>
    </row>
    <row r="820" spans="1:11">
      <c r="A820" s="182"/>
      <c r="B820" s="184"/>
      <c r="C820" s="185"/>
      <c r="D820" s="186"/>
      <c r="E820" s="187"/>
      <c r="F820" s="186"/>
      <c r="G820" s="189"/>
      <c r="H820" s="186"/>
      <c r="I820" s="191"/>
      <c r="J820" s="192"/>
      <c r="K820" s="204"/>
    </row>
    <row r="821" spans="1:11" ht="16" customHeight="1">
      <c r="A821" s="183"/>
      <c r="B821" s="184"/>
      <c r="C821" s="185"/>
      <c r="D821" s="186"/>
      <c r="E821" s="187"/>
      <c r="F821" s="186"/>
      <c r="G821" s="190"/>
      <c r="H821" s="186"/>
      <c r="I821" s="191"/>
      <c r="J821" s="192"/>
      <c r="K821" s="204"/>
    </row>
    <row r="822" spans="1:11">
      <c r="A822" s="181"/>
      <c r="B822" s="184"/>
      <c r="C822" s="185"/>
      <c r="D822" s="186"/>
      <c r="E822" s="187"/>
      <c r="F822" s="188"/>
      <c r="G822" s="181"/>
      <c r="H822" s="186"/>
      <c r="I822" s="191"/>
      <c r="J822" s="192"/>
      <c r="K822" s="204"/>
    </row>
    <row r="823" spans="1:11">
      <c r="A823" s="182"/>
      <c r="B823" s="184"/>
      <c r="C823" s="185"/>
      <c r="D823" s="186"/>
      <c r="E823" s="187"/>
      <c r="F823" s="186"/>
      <c r="G823" s="189"/>
      <c r="H823" s="186"/>
      <c r="I823" s="191"/>
      <c r="J823" s="192"/>
      <c r="K823" s="204"/>
    </row>
    <row r="824" spans="1:11" ht="24" customHeight="1">
      <c r="A824" s="183"/>
      <c r="B824" s="184"/>
      <c r="C824" s="185"/>
      <c r="D824" s="186"/>
      <c r="E824" s="187"/>
      <c r="F824" s="186"/>
      <c r="G824" s="190"/>
      <c r="H824" s="186"/>
      <c r="I824" s="191"/>
      <c r="J824" s="192"/>
      <c r="K824" s="204"/>
    </row>
    <row r="825" spans="1:11">
      <c r="A825" s="181"/>
      <c r="B825" s="184"/>
      <c r="C825" s="185"/>
      <c r="D825" s="186"/>
      <c r="E825" s="187"/>
      <c r="F825" s="188"/>
      <c r="G825" s="181"/>
      <c r="H825" s="186"/>
      <c r="I825" s="191"/>
      <c r="J825" s="192"/>
      <c r="K825" s="204"/>
    </row>
    <row r="826" spans="1:11">
      <c r="A826" s="182"/>
      <c r="B826" s="184"/>
      <c r="C826" s="185"/>
      <c r="D826" s="186"/>
      <c r="E826" s="187"/>
      <c r="F826" s="186"/>
      <c r="G826" s="189"/>
      <c r="H826" s="186"/>
      <c r="I826" s="191"/>
      <c r="J826" s="192"/>
      <c r="K826" s="204"/>
    </row>
    <row r="827" spans="1:11" ht="24" customHeight="1">
      <c r="A827" s="183"/>
      <c r="B827" s="184"/>
      <c r="C827" s="185"/>
      <c r="D827" s="186"/>
      <c r="E827" s="187"/>
      <c r="F827" s="186"/>
      <c r="G827" s="190"/>
      <c r="H827" s="186"/>
      <c r="I827" s="191"/>
      <c r="J827" s="192"/>
      <c r="K827" s="204"/>
    </row>
    <row r="828" spans="1:11">
      <c r="A828" s="181"/>
      <c r="B828" s="184"/>
      <c r="C828" s="185"/>
      <c r="D828" s="186"/>
      <c r="E828" s="187"/>
      <c r="F828" s="188"/>
      <c r="G828" s="181"/>
      <c r="H828" s="186"/>
      <c r="I828" s="191"/>
      <c r="J828" s="192"/>
      <c r="K828" s="204"/>
    </row>
    <row r="829" spans="1:11">
      <c r="A829" s="182"/>
      <c r="B829" s="184"/>
      <c r="C829" s="185"/>
      <c r="D829" s="186"/>
      <c r="E829" s="187"/>
      <c r="F829" s="186"/>
      <c r="G829" s="189"/>
      <c r="H829" s="186"/>
      <c r="I829" s="191"/>
      <c r="J829" s="192"/>
      <c r="K829" s="204"/>
    </row>
    <row r="830" spans="1:11" ht="16" customHeight="1">
      <c r="A830" s="183"/>
      <c r="B830" s="184"/>
      <c r="C830" s="185"/>
      <c r="D830" s="186"/>
      <c r="E830" s="187"/>
      <c r="F830" s="186"/>
      <c r="G830" s="190"/>
      <c r="H830" s="186"/>
      <c r="I830" s="191"/>
      <c r="J830" s="192"/>
      <c r="K830" s="204"/>
    </row>
    <row r="831" spans="1:11">
      <c r="A831" s="181"/>
      <c r="B831" s="184"/>
      <c r="C831" s="185"/>
      <c r="D831" s="186"/>
      <c r="E831" s="187"/>
      <c r="F831" s="188"/>
      <c r="G831" s="181"/>
      <c r="H831" s="186"/>
      <c r="I831" s="191"/>
      <c r="J831" s="192"/>
      <c r="K831" s="204"/>
    </row>
    <row r="832" spans="1:11">
      <c r="A832" s="182"/>
      <c r="B832" s="184"/>
      <c r="C832" s="185"/>
      <c r="D832" s="186"/>
      <c r="E832" s="187"/>
      <c r="F832" s="186"/>
      <c r="G832" s="189"/>
      <c r="H832" s="186"/>
      <c r="I832" s="191"/>
      <c r="J832" s="192"/>
      <c r="K832" s="204"/>
    </row>
    <row r="833" spans="1:11" ht="21" customHeight="1">
      <c r="A833" s="183"/>
      <c r="B833" s="184"/>
      <c r="C833" s="185"/>
      <c r="D833" s="186"/>
      <c r="E833" s="187"/>
      <c r="F833" s="186"/>
      <c r="G833" s="190"/>
      <c r="H833" s="186"/>
      <c r="I833" s="191"/>
      <c r="J833" s="192"/>
      <c r="K833" s="204"/>
    </row>
    <row r="834" spans="1:11">
      <c r="A834" s="181"/>
      <c r="B834" s="184"/>
      <c r="C834" s="185"/>
      <c r="D834" s="186"/>
      <c r="E834" s="187"/>
      <c r="F834" s="188"/>
      <c r="G834" s="181"/>
      <c r="H834" s="186"/>
      <c r="I834" s="191"/>
      <c r="J834" s="192"/>
      <c r="K834" s="204"/>
    </row>
    <row r="835" spans="1:11">
      <c r="A835" s="182"/>
      <c r="B835" s="184"/>
      <c r="C835" s="185"/>
      <c r="D835" s="186"/>
      <c r="E835" s="187"/>
      <c r="F835" s="186"/>
      <c r="G835" s="189"/>
      <c r="H835" s="186"/>
      <c r="I835" s="191"/>
      <c r="J835" s="192"/>
      <c r="K835" s="204"/>
    </row>
    <row r="836" spans="1:11" ht="21" customHeight="1">
      <c r="A836" s="183"/>
      <c r="B836" s="184"/>
      <c r="C836" s="185"/>
      <c r="D836" s="186"/>
      <c r="E836" s="187"/>
      <c r="F836" s="186"/>
      <c r="G836" s="190"/>
      <c r="H836" s="186"/>
      <c r="I836" s="191"/>
      <c r="J836" s="192"/>
      <c r="K836" s="204"/>
    </row>
    <row r="837" spans="1:11">
      <c r="A837" s="181"/>
      <c r="B837" s="184"/>
      <c r="C837" s="185"/>
      <c r="D837" s="186"/>
      <c r="E837" s="187"/>
      <c r="F837" s="188"/>
      <c r="G837" s="181"/>
      <c r="H837" s="186"/>
      <c r="I837" s="191"/>
      <c r="J837" s="192"/>
      <c r="K837" s="204"/>
    </row>
    <row r="838" spans="1:11">
      <c r="A838" s="182"/>
      <c r="B838" s="184"/>
      <c r="C838" s="185"/>
      <c r="D838" s="186"/>
      <c r="E838" s="187"/>
      <c r="F838" s="186"/>
      <c r="G838" s="189"/>
      <c r="H838" s="186"/>
      <c r="I838" s="191"/>
      <c r="J838" s="192"/>
      <c r="K838" s="204"/>
    </row>
    <row r="839" spans="1:11" ht="21" customHeight="1">
      <c r="A839" s="183"/>
      <c r="B839" s="184"/>
      <c r="C839" s="185"/>
      <c r="D839" s="186"/>
      <c r="E839" s="187"/>
      <c r="F839" s="186"/>
      <c r="G839" s="190"/>
      <c r="H839" s="186"/>
      <c r="I839" s="191"/>
      <c r="J839" s="192"/>
      <c r="K839" s="204"/>
    </row>
    <row r="840" spans="1:11">
      <c r="A840" s="181"/>
      <c r="B840" s="184"/>
      <c r="C840" s="185"/>
      <c r="D840" s="186"/>
      <c r="E840" s="187"/>
      <c r="F840" s="188"/>
      <c r="G840" s="181"/>
      <c r="H840" s="186"/>
      <c r="I840" s="191"/>
      <c r="J840" s="192"/>
      <c r="K840" s="204"/>
    </row>
    <row r="841" spans="1:11">
      <c r="A841" s="182"/>
      <c r="B841" s="184"/>
      <c r="C841" s="185"/>
      <c r="D841" s="186"/>
      <c r="E841" s="187"/>
      <c r="F841" s="186"/>
      <c r="G841" s="189"/>
      <c r="H841" s="186"/>
      <c r="I841" s="191"/>
      <c r="J841" s="192"/>
      <c r="K841" s="204"/>
    </row>
    <row r="842" spans="1:11" ht="21" customHeight="1">
      <c r="A842" s="183"/>
      <c r="B842" s="184"/>
      <c r="C842" s="185"/>
      <c r="D842" s="186"/>
      <c r="E842" s="187"/>
      <c r="F842" s="186"/>
      <c r="G842" s="190"/>
      <c r="H842" s="186"/>
      <c r="I842" s="191"/>
      <c r="J842" s="192"/>
      <c r="K842" s="204"/>
    </row>
    <row r="843" spans="1:11">
      <c r="A843" s="181"/>
      <c r="B843" s="184"/>
      <c r="C843" s="185"/>
      <c r="D843" s="186"/>
      <c r="E843" s="187"/>
      <c r="F843" s="188"/>
      <c r="G843" s="181"/>
      <c r="H843" s="186"/>
      <c r="I843" s="191"/>
      <c r="J843" s="192"/>
      <c r="K843" s="204"/>
    </row>
    <row r="844" spans="1:11">
      <c r="A844" s="182"/>
      <c r="B844" s="184"/>
      <c r="C844" s="185"/>
      <c r="D844" s="186"/>
      <c r="E844" s="187"/>
      <c r="F844" s="186"/>
      <c r="G844" s="189"/>
      <c r="H844" s="186"/>
      <c r="I844" s="191"/>
      <c r="J844" s="192"/>
      <c r="K844" s="204"/>
    </row>
    <row r="845" spans="1:11" ht="21" customHeight="1">
      <c r="A845" s="183"/>
      <c r="B845" s="184"/>
      <c r="C845" s="185"/>
      <c r="D845" s="186"/>
      <c r="E845" s="187"/>
      <c r="F845" s="186"/>
      <c r="G845" s="190"/>
      <c r="H845" s="186"/>
      <c r="I845" s="191"/>
      <c r="J845" s="192"/>
      <c r="K845" s="204"/>
    </row>
    <row r="846" spans="1:11">
      <c r="A846" s="181"/>
      <c r="B846" s="184"/>
      <c r="C846" s="185"/>
      <c r="D846" s="186"/>
      <c r="E846" s="187"/>
      <c r="F846" s="188"/>
      <c r="G846" s="181"/>
      <c r="H846" s="186"/>
      <c r="I846" s="191"/>
      <c r="J846" s="192"/>
      <c r="K846" s="204"/>
    </row>
    <row r="847" spans="1:11">
      <c r="A847" s="182"/>
      <c r="B847" s="184"/>
      <c r="C847" s="185"/>
      <c r="D847" s="186"/>
      <c r="E847" s="187"/>
      <c r="F847" s="186"/>
      <c r="G847" s="189"/>
      <c r="H847" s="186"/>
      <c r="I847" s="191"/>
      <c r="J847" s="192"/>
      <c r="K847" s="204"/>
    </row>
    <row r="848" spans="1:11" ht="21" customHeight="1">
      <c r="A848" s="183"/>
      <c r="B848" s="184"/>
      <c r="C848" s="185"/>
      <c r="D848" s="186"/>
      <c r="E848" s="187"/>
      <c r="F848" s="186"/>
      <c r="G848" s="190"/>
      <c r="H848" s="186"/>
      <c r="I848" s="191"/>
      <c r="J848" s="192"/>
      <c r="K848" s="204"/>
    </row>
    <row r="849" spans="1:11">
      <c r="A849" s="181"/>
      <c r="B849" s="184"/>
      <c r="C849" s="185"/>
      <c r="D849" s="186"/>
      <c r="E849" s="187"/>
      <c r="F849" s="188"/>
      <c r="G849" s="181"/>
      <c r="H849" s="186"/>
      <c r="I849" s="191"/>
      <c r="J849" s="192"/>
      <c r="K849" s="204"/>
    </row>
    <row r="850" spans="1:11">
      <c r="A850" s="182"/>
      <c r="B850" s="184"/>
      <c r="C850" s="185"/>
      <c r="D850" s="186"/>
      <c r="E850" s="187"/>
      <c r="F850" s="186"/>
      <c r="G850" s="189"/>
      <c r="H850" s="186"/>
      <c r="I850" s="191"/>
      <c r="J850" s="192"/>
      <c r="K850" s="204"/>
    </row>
    <row r="851" spans="1:11" ht="21" customHeight="1">
      <c r="A851" s="183"/>
      <c r="B851" s="184"/>
      <c r="C851" s="185"/>
      <c r="D851" s="186"/>
      <c r="E851" s="187"/>
      <c r="F851" s="186"/>
      <c r="G851" s="190"/>
      <c r="H851" s="186"/>
      <c r="I851" s="191"/>
      <c r="J851" s="192"/>
      <c r="K851" s="204"/>
    </row>
    <row r="852" spans="1:11">
      <c r="A852" s="181"/>
      <c r="B852" s="184"/>
      <c r="C852" s="185"/>
      <c r="D852" s="186"/>
      <c r="E852" s="187"/>
      <c r="F852" s="188"/>
      <c r="G852" s="181"/>
      <c r="H852" s="186"/>
      <c r="I852" s="191"/>
      <c r="J852" s="192"/>
      <c r="K852" s="204"/>
    </row>
    <row r="853" spans="1:11">
      <c r="A853" s="182"/>
      <c r="B853" s="184"/>
      <c r="C853" s="185"/>
      <c r="D853" s="186"/>
      <c r="E853" s="187"/>
      <c r="F853" s="186"/>
      <c r="G853" s="189"/>
      <c r="H853" s="186"/>
      <c r="I853" s="191"/>
      <c r="J853" s="192"/>
      <c r="K853" s="204"/>
    </row>
    <row r="854" spans="1:11" ht="21" customHeight="1">
      <c r="A854" s="183"/>
      <c r="B854" s="184"/>
      <c r="C854" s="185"/>
      <c r="D854" s="186"/>
      <c r="E854" s="187"/>
      <c r="F854" s="186"/>
      <c r="G854" s="190"/>
      <c r="H854" s="186"/>
      <c r="I854" s="191"/>
      <c r="J854" s="192"/>
      <c r="K854" s="204"/>
    </row>
    <row r="855" spans="1:11">
      <c r="A855" s="181"/>
      <c r="B855" s="184"/>
      <c r="C855" s="185"/>
      <c r="D855" s="186"/>
      <c r="E855" s="187"/>
      <c r="F855" s="188"/>
      <c r="G855" s="181"/>
      <c r="H855" s="186"/>
      <c r="I855" s="191"/>
      <c r="J855" s="192"/>
      <c r="K855" s="204"/>
    </row>
    <row r="856" spans="1:11">
      <c r="A856" s="182"/>
      <c r="B856" s="184"/>
      <c r="C856" s="185"/>
      <c r="D856" s="186"/>
      <c r="E856" s="187"/>
      <c r="F856" s="186"/>
      <c r="G856" s="189"/>
      <c r="H856" s="186"/>
      <c r="I856" s="191"/>
      <c r="J856" s="192"/>
      <c r="K856" s="204"/>
    </row>
    <row r="857" spans="1:11" ht="21" customHeight="1">
      <c r="A857" s="183"/>
      <c r="B857" s="184"/>
      <c r="C857" s="185"/>
      <c r="D857" s="186"/>
      <c r="E857" s="187"/>
      <c r="F857" s="186"/>
      <c r="G857" s="190"/>
      <c r="H857" s="186"/>
      <c r="I857" s="191"/>
      <c r="J857" s="192"/>
      <c r="K857" s="204"/>
    </row>
    <row r="858" spans="1:11">
      <c r="A858" s="181"/>
      <c r="B858" s="184"/>
      <c r="C858" s="185"/>
      <c r="D858" s="186"/>
      <c r="E858" s="187"/>
      <c r="F858" s="188"/>
      <c r="G858" s="181"/>
      <c r="H858" s="186"/>
      <c r="I858" s="191"/>
      <c r="J858" s="192"/>
      <c r="K858" s="204"/>
    </row>
    <row r="859" spans="1:11">
      <c r="A859" s="182"/>
      <c r="B859" s="184"/>
      <c r="C859" s="185"/>
      <c r="D859" s="186"/>
      <c r="E859" s="187"/>
      <c r="F859" s="186"/>
      <c r="G859" s="189"/>
      <c r="H859" s="186"/>
      <c r="I859" s="191"/>
      <c r="J859" s="192"/>
      <c r="K859" s="204"/>
    </row>
    <row r="860" spans="1:11" ht="21" customHeight="1">
      <c r="A860" s="183"/>
      <c r="B860" s="184"/>
      <c r="C860" s="185"/>
      <c r="D860" s="186"/>
      <c r="E860" s="187"/>
      <c r="F860" s="186"/>
      <c r="G860" s="190"/>
      <c r="H860" s="186"/>
      <c r="I860" s="191"/>
      <c r="J860" s="192"/>
      <c r="K860" s="204"/>
    </row>
    <row r="861" spans="1:11">
      <c r="A861" s="181"/>
      <c r="B861" s="184"/>
      <c r="C861" s="185"/>
      <c r="D861" s="186"/>
      <c r="E861" s="187"/>
      <c r="F861" s="188"/>
      <c r="G861" s="181"/>
      <c r="H861" s="186"/>
      <c r="I861" s="191"/>
      <c r="J861" s="192"/>
      <c r="K861" s="204"/>
    </row>
    <row r="862" spans="1:11">
      <c r="A862" s="182"/>
      <c r="B862" s="184"/>
      <c r="C862" s="185"/>
      <c r="D862" s="186"/>
      <c r="E862" s="187"/>
      <c r="F862" s="186"/>
      <c r="G862" s="189"/>
      <c r="H862" s="186"/>
      <c r="I862" s="191"/>
      <c r="J862" s="192"/>
      <c r="K862" s="204"/>
    </row>
    <row r="863" spans="1:11" ht="21" customHeight="1">
      <c r="A863" s="183"/>
      <c r="B863" s="184"/>
      <c r="C863" s="185"/>
      <c r="D863" s="186"/>
      <c r="E863" s="187"/>
      <c r="F863" s="186"/>
      <c r="G863" s="190"/>
      <c r="H863" s="186"/>
      <c r="I863" s="191"/>
      <c r="J863" s="192"/>
      <c r="K863" s="204"/>
    </row>
    <row r="864" spans="1:11">
      <c r="A864" s="181"/>
      <c r="B864" s="184"/>
      <c r="C864" s="185"/>
      <c r="D864" s="186"/>
      <c r="E864" s="187"/>
      <c r="F864" s="188"/>
      <c r="G864" s="181"/>
      <c r="H864" s="186"/>
      <c r="I864" s="191"/>
      <c r="J864" s="192"/>
      <c r="K864" s="204"/>
    </row>
    <row r="865" spans="1:11">
      <c r="A865" s="182"/>
      <c r="B865" s="184"/>
      <c r="C865" s="185"/>
      <c r="D865" s="186"/>
      <c r="E865" s="187"/>
      <c r="F865" s="186"/>
      <c r="G865" s="189"/>
      <c r="H865" s="186"/>
      <c r="I865" s="191"/>
      <c r="J865" s="192"/>
      <c r="K865" s="204"/>
    </row>
    <row r="866" spans="1:11" ht="21" customHeight="1">
      <c r="A866" s="183"/>
      <c r="B866" s="184"/>
      <c r="C866" s="185"/>
      <c r="D866" s="186"/>
      <c r="E866" s="187"/>
      <c r="F866" s="186"/>
      <c r="G866" s="190"/>
      <c r="H866" s="186"/>
      <c r="I866" s="191"/>
      <c r="J866" s="192"/>
      <c r="K866" s="204"/>
    </row>
    <row r="867" spans="1:11">
      <c r="A867" s="181"/>
      <c r="B867" s="184"/>
      <c r="C867" s="185"/>
      <c r="D867" s="186"/>
      <c r="E867" s="187"/>
      <c r="F867" s="188"/>
      <c r="G867" s="181"/>
      <c r="H867" s="186"/>
      <c r="I867" s="191"/>
      <c r="J867" s="192"/>
      <c r="K867" s="204"/>
    </row>
    <row r="868" spans="1:11">
      <c r="A868" s="182"/>
      <c r="B868" s="184"/>
      <c r="C868" s="185"/>
      <c r="D868" s="186"/>
      <c r="E868" s="187"/>
      <c r="F868" s="186"/>
      <c r="G868" s="189"/>
      <c r="H868" s="186"/>
      <c r="I868" s="191"/>
      <c r="J868" s="192"/>
      <c r="K868" s="204"/>
    </row>
    <row r="869" spans="1:11" ht="16" customHeight="1">
      <c r="A869" s="183"/>
      <c r="B869" s="184"/>
      <c r="C869" s="185"/>
      <c r="D869" s="186"/>
      <c r="E869" s="187"/>
      <c r="F869" s="186"/>
      <c r="G869" s="190"/>
      <c r="H869" s="186"/>
      <c r="I869" s="191"/>
      <c r="J869" s="192"/>
      <c r="K869" s="204"/>
    </row>
    <row r="870" spans="1:11">
      <c r="A870" s="181"/>
      <c r="B870" s="184"/>
      <c r="C870" s="185"/>
      <c r="D870" s="186"/>
      <c r="E870" s="187"/>
      <c r="F870" s="188"/>
      <c r="G870" s="181"/>
      <c r="H870" s="186"/>
      <c r="I870" s="191"/>
      <c r="J870" s="192"/>
      <c r="K870" s="204"/>
    </row>
    <row r="871" spans="1:11">
      <c r="A871" s="182"/>
      <c r="B871" s="184"/>
      <c r="C871" s="185"/>
      <c r="D871" s="186"/>
      <c r="E871" s="187"/>
      <c r="F871" s="186"/>
      <c r="G871" s="189"/>
      <c r="H871" s="186"/>
      <c r="I871" s="191"/>
      <c r="J871" s="192"/>
      <c r="K871" s="204"/>
    </row>
    <row r="872" spans="1:11" ht="16" customHeight="1">
      <c r="A872" s="183"/>
      <c r="B872" s="184"/>
      <c r="C872" s="185"/>
      <c r="D872" s="186"/>
      <c r="E872" s="187"/>
      <c r="F872" s="186"/>
      <c r="G872" s="190"/>
      <c r="H872" s="186"/>
      <c r="I872" s="191"/>
      <c r="J872" s="192"/>
      <c r="K872" s="204"/>
    </row>
    <row r="873" spans="1:11">
      <c r="A873" s="181"/>
      <c r="B873" s="184"/>
      <c r="C873" s="185"/>
      <c r="D873" s="186"/>
      <c r="E873" s="187"/>
      <c r="F873" s="188"/>
      <c r="G873" s="181"/>
      <c r="H873" s="186"/>
      <c r="I873" s="191"/>
      <c r="J873" s="192"/>
      <c r="K873" s="204"/>
    </row>
    <row r="874" spans="1:11">
      <c r="A874" s="182"/>
      <c r="B874" s="184"/>
      <c r="C874" s="185"/>
      <c r="D874" s="186"/>
      <c r="E874" s="187"/>
      <c r="F874" s="186"/>
      <c r="G874" s="189"/>
      <c r="H874" s="186"/>
      <c r="I874" s="191"/>
      <c r="J874" s="193"/>
      <c r="K874" s="204"/>
    </row>
    <row r="875" spans="1:11" ht="16" customHeight="1">
      <c r="A875" s="183"/>
      <c r="B875" s="184"/>
      <c r="C875" s="185"/>
      <c r="D875" s="186"/>
      <c r="E875" s="187"/>
      <c r="F875" s="186"/>
      <c r="G875" s="190"/>
      <c r="H875" s="186"/>
      <c r="I875" s="191"/>
      <c r="J875" s="193"/>
      <c r="K875" s="204"/>
    </row>
    <row r="876" spans="1:11">
      <c r="A876" s="181"/>
      <c r="B876" s="184"/>
      <c r="C876" s="185"/>
      <c r="D876" s="186"/>
      <c r="E876" s="187"/>
      <c r="F876" s="188"/>
      <c r="G876" s="181"/>
      <c r="H876" s="186"/>
      <c r="I876" s="191"/>
      <c r="J876" s="193"/>
      <c r="K876" s="204"/>
    </row>
    <row r="877" spans="1:11">
      <c r="A877" s="182"/>
      <c r="B877" s="184"/>
      <c r="C877" s="185"/>
      <c r="D877" s="186"/>
      <c r="E877" s="187"/>
      <c r="F877" s="186"/>
      <c r="G877" s="189"/>
      <c r="H877" s="186"/>
      <c r="I877" s="191"/>
      <c r="J877" s="192"/>
      <c r="K877" s="204"/>
    </row>
    <row r="878" spans="1:11" ht="21" customHeight="1">
      <c r="A878" s="183"/>
      <c r="B878" s="184"/>
      <c r="C878" s="185"/>
      <c r="D878" s="186"/>
      <c r="E878" s="187"/>
      <c r="F878" s="186"/>
      <c r="G878" s="190"/>
      <c r="H878" s="186"/>
      <c r="I878" s="191"/>
      <c r="J878" s="192"/>
      <c r="K878" s="204"/>
    </row>
    <row r="879" spans="1:11">
      <c r="A879" s="181"/>
      <c r="B879" s="184"/>
      <c r="C879" s="185"/>
      <c r="D879" s="186"/>
      <c r="E879" s="187"/>
      <c r="F879" s="188"/>
      <c r="G879" s="181"/>
      <c r="H879" s="186"/>
      <c r="I879" s="191"/>
      <c r="J879" s="192"/>
      <c r="K879" s="204"/>
    </row>
    <row r="880" spans="1:11">
      <c r="A880" s="182"/>
      <c r="B880" s="184"/>
      <c r="C880" s="185"/>
      <c r="D880" s="186"/>
      <c r="E880" s="187"/>
      <c r="F880" s="186"/>
      <c r="G880" s="189"/>
      <c r="H880" s="186"/>
      <c r="I880" s="191"/>
      <c r="J880" s="192"/>
      <c r="K880" s="204"/>
    </row>
    <row r="881" spans="1:11" ht="24" customHeight="1">
      <c r="A881" s="183"/>
      <c r="B881" s="184"/>
      <c r="C881" s="185"/>
      <c r="D881" s="186"/>
      <c r="E881" s="187"/>
      <c r="F881" s="186"/>
      <c r="G881" s="190"/>
      <c r="H881" s="186"/>
      <c r="I881" s="191"/>
      <c r="J881" s="192"/>
      <c r="K881" s="204"/>
    </row>
    <row r="882" spans="1:11">
      <c r="A882" s="181"/>
      <c r="B882" s="184"/>
      <c r="C882" s="185"/>
      <c r="D882" s="186"/>
      <c r="E882" s="187"/>
      <c r="F882" s="188"/>
      <c r="G882" s="181"/>
      <c r="H882" s="186"/>
      <c r="I882" s="191"/>
      <c r="J882" s="192"/>
      <c r="K882" s="204"/>
    </row>
    <row r="883" spans="1:11">
      <c r="A883" s="182"/>
      <c r="B883" s="184"/>
      <c r="C883" s="185"/>
      <c r="D883" s="186"/>
      <c r="E883" s="187"/>
      <c r="F883" s="186"/>
      <c r="G883" s="189"/>
      <c r="H883" s="186"/>
      <c r="I883" s="191"/>
      <c r="J883" s="192"/>
      <c r="K883" s="204"/>
    </row>
    <row r="884" spans="1:11">
      <c r="A884" s="183"/>
      <c r="B884" s="184"/>
      <c r="C884" s="185"/>
      <c r="D884" s="186"/>
      <c r="E884" s="187"/>
      <c r="F884" s="186"/>
      <c r="G884" s="190"/>
      <c r="H884" s="186"/>
      <c r="I884" s="191"/>
      <c r="J884" s="192"/>
      <c r="K884" s="204"/>
    </row>
    <row r="885" spans="1:11">
      <c r="A885" s="181"/>
      <c r="B885" s="184"/>
      <c r="C885" s="185"/>
      <c r="D885" s="186"/>
      <c r="E885" s="187"/>
      <c r="F885" s="188"/>
      <c r="G885" s="181"/>
      <c r="H885" s="186"/>
      <c r="I885" s="191"/>
      <c r="J885" s="192"/>
      <c r="K885" s="204"/>
    </row>
    <row r="886" spans="1:11">
      <c r="A886" s="182"/>
      <c r="B886" s="184"/>
      <c r="C886" s="185"/>
      <c r="D886" s="186"/>
      <c r="E886" s="187"/>
      <c r="F886" s="186"/>
      <c r="G886" s="189"/>
      <c r="H886" s="186"/>
      <c r="I886" s="191"/>
      <c r="J886" s="192"/>
      <c r="K886" s="204"/>
    </row>
    <row r="887" spans="1:11">
      <c r="A887" s="183"/>
      <c r="B887" s="184"/>
      <c r="C887" s="185"/>
      <c r="D887" s="186"/>
      <c r="E887" s="187"/>
      <c r="F887" s="186"/>
      <c r="G887" s="190"/>
      <c r="H887" s="186"/>
      <c r="I887" s="191"/>
      <c r="J887" s="192"/>
      <c r="K887" s="204"/>
    </row>
    <row r="888" spans="1:11">
      <c r="A888" s="181"/>
      <c r="B888" s="184"/>
      <c r="C888" s="185"/>
      <c r="D888" s="186"/>
      <c r="E888" s="187"/>
      <c r="F888" s="188"/>
      <c r="G888" s="181"/>
      <c r="H888" s="186"/>
      <c r="I888" s="191"/>
      <c r="J888" s="192"/>
      <c r="K888" s="204"/>
    </row>
    <row r="889" spans="1:11">
      <c r="A889" s="182"/>
      <c r="B889" s="184"/>
      <c r="C889" s="185"/>
      <c r="D889" s="186"/>
      <c r="E889" s="187"/>
      <c r="F889" s="186"/>
      <c r="G889" s="189"/>
      <c r="H889" s="186"/>
      <c r="I889" s="191"/>
      <c r="J889" s="192"/>
      <c r="K889" s="204"/>
    </row>
    <row r="890" spans="1:11">
      <c r="A890" s="183"/>
      <c r="B890" s="184"/>
      <c r="C890" s="185"/>
      <c r="D890" s="186"/>
      <c r="E890" s="187"/>
      <c r="F890" s="186"/>
      <c r="G890" s="190"/>
      <c r="H890" s="186"/>
      <c r="I890" s="191"/>
      <c r="J890" s="192"/>
      <c r="K890" s="204"/>
    </row>
    <row r="891" spans="1:11">
      <c r="A891" s="181"/>
      <c r="B891" s="184"/>
      <c r="C891" s="185"/>
      <c r="D891" s="186"/>
      <c r="E891" s="187"/>
      <c r="F891" s="188"/>
      <c r="G891" s="181"/>
      <c r="H891" s="186"/>
      <c r="I891" s="191"/>
      <c r="J891" s="192"/>
      <c r="K891" s="204"/>
    </row>
    <row r="892" spans="1:11">
      <c r="A892" s="182"/>
      <c r="B892" s="184"/>
      <c r="C892" s="185"/>
      <c r="D892" s="186"/>
      <c r="E892" s="187"/>
      <c r="F892" s="186"/>
      <c r="G892" s="189"/>
      <c r="H892" s="186"/>
      <c r="I892" s="191"/>
      <c r="J892" s="192"/>
      <c r="K892" s="204"/>
    </row>
    <row r="893" spans="1:11">
      <c r="A893" s="183"/>
      <c r="B893" s="184"/>
      <c r="C893" s="185"/>
      <c r="D893" s="186"/>
      <c r="E893" s="187"/>
      <c r="F893" s="186"/>
      <c r="G893" s="190"/>
      <c r="H893" s="186"/>
      <c r="I893" s="191"/>
      <c r="J893" s="192"/>
      <c r="K893" s="204"/>
    </row>
    <row r="894" spans="1:11">
      <c r="A894" s="181"/>
      <c r="B894" s="184"/>
      <c r="C894" s="185"/>
      <c r="D894" s="186"/>
      <c r="E894" s="187"/>
      <c r="F894" s="188"/>
      <c r="G894" s="181"/>
      <c r="H894" s="186"/>
      <c r="I894" s="191"/>
      <c r="J894" s="192"/>
      <c r="K894" s="204"/>
    </row>
    <row r="895" spans="1:11">
      <c r="A895" s="182"/>
      <c r="B895" s="184"/>
      <c r="C895" s="185"/>
      <c r="D895" s="186"/>
      <c r="E895" s="187"/>
      <c r="F895" s="186"/>
      <c r="G895" s="189"/>
      <c r="H895" s="186"/>
      <c r="I895" s="191"/>
      <c r="J895" s="192"/>
      <c r="K895" s="204"/>
    </row>
    <row r="896" spans="1:11" ht="16" customHeight="1">
      <c r="A896" s="183"/>
      <c r="B896" s="184"/>
      <c r="C896" s="185"/>
      <c r="D896" s="186"/>
      <c r="E896" s="187"/>
      <c r="F896" s="186"/>
      <c r="G896" s="190"/>
      <c r="H896" s="186"/>
      <c r="I896" s="191"/>
      <c r="J896" s="192"/>
      <c r="K896" s="204"/>
    </row>
    <row r="897" spans="1:11">
      <c r="A897" s="181"/>
      <c r="B897" s="184"/>
      <c r="C897" s="185"/>
      <c r="D897" s="186"/>
      <c r="E897" s="187"/>
      <c r="F897" s="188"/>
      <c r="G897" s="181"/>
      <c r="H897" s="186"/>
      <c r="I897" s="191"/>
      <c r="J897" s="192"/>
      <c r="K897" s="204"/>
    </row>
    <row r="898" spans="1:11">
      <c r="A898" s="182"/>
      <c r="B898" s="184"/>
      <c r="C898" s="185"/>
      <c r="D898" s="186"/>
      <c r="E898" s="187"/>
      <c r="F898" s="186"/>
      <c r="G898" s="189"/>
      <c r="H898" s="186"/>
      <c r="I898" s="191"/>
      <c r="J898" s="192"/>
      <c r="K898" s="204"/>
    </row>
    <row r="899" spans="1:11">
      <c r="A899" s="183"/>
      <c r="B899" s="184"/>
      <c r="C899" s="185"/>
      <c r="D899" s="186"/>
      <c r="E899" s="187"/>
      <c r="F899" s="186"/>
      <c r="G899" s="190"/>
      <c r="H899" s="186"/>
      <c r="I899" s="191"/>
      <c r="J899" s="192"/>
      <c r="K899" s="204"/>
    </row>
    <row r="900" spans="1:11">
      <c r="A900" s="181"/>
      <c r="B900" s="184"/>
      <c r="C900" s="185"/>
      <c r="D900" s="186"/>
      <c r="E900" s="187"/>
      <c r="F900" s="188"/>
      <c r="G900" s="181"/>
      <c r="H900" s="186"/>
      <c r="I900" s="191"/>
      <c r="J900" s="192"/>
      <c r="K900" s="204"/>
    </row>
    <row r="901" spans="1:11">
      <c r="A901" s="182"/>
      <c r="B901" s="184"/>
      <c r="C901" s="185"/>
      <c r="D901" s="186"/>
      <c r="E901" s="187"/>
      <c r="F901" s="186"/>
      <c r="G901" s="189"/>
      <c r="H901" s="186"/>
      <c r="I901" s="191"/>
      <c r="J901" s="192"/>
      <c r="K901" s="204"/>
    </row>
    <row r="902" spans="1:11">
      <c r="A902" s="183"/>
      <c r="B902" s="184"/>
      <c r="C902" s="185"/>
      <c r="D902" s="186"/>
      <c r="E902" s="187"/>
      <c r="F902" s="186"/>
      <c r="G902" s="190"/>
      <c r="H902" s="186"/>
      <c r="I902" s="191"/>
      <c r="J902" s="192"/>
      <c r="K902" s="204"/>
    </row>
    <row r="903" spans="1:11">
      <c r="A903" s="181"/>
      <c r="B903" s="184"/>
      <c r="C903" s="185"/>
      <c r="D903" s="186"/>
      <c r="E903" s="187"/>
      <c r="F903" s="188"/>
      <c r="G903" s="181"/>
      <c r="H903" s="186"/>
      <c r="I903" s="191"/>
      <c r="J903" s="192"/>
      <c r="K903" s="204"/>
    </row>
    <row r="904" spans="1:11">
      <c r="A904" s="182"/>
      <c r="B904" s="184"/>
      <c r="C904" s="185"/>
      <c r="D904" s="186"/>
      <c r="E904" s="187"/>
      <c r="F904" s="186"/>
      <c r="G904" s="189"/>
      <c r="H904" s="186"/>
      <c r="I904" s="191"/>
      <c r="J904" s="192"/>
      <c r="K904" s="204"/>
    </row>
    <row r="905" spans="1:11">
      <c r="A905" s="183"/>
      <c r="B905" s="184"/>
      <c r="C905" s="185"/>
      <c r="D905" s="186"/>
      <c r="E905" s="187"/>
      <c r="F905" s="186"/>
      <c r="G905" s="190"/>
      <c r="H905" s="186"/>
      <c r="I905" s="191"/>
      <c r="J905" s="192"/>
      <c r="K905" s="204"/>
    </row>
    <row r="906" spans="1:11">
      <c r="A906" s="181"/>
      <c r="B906" s="184"/>
      <c r="C906" s="185"/>
      <c r="D906" s="186"/>
      <c r="E906" s="187"/>
      <c r="F906" s="188"/>
      <c r="G906" s="181"/>
      <c r="H906" s="186"/>
      <c r="I906" s="191"/>
      <c r="J906" s="192"/>
      <c r="K906" s="204"/>
    </row>
    <row r="907" spans="1:11">
      <c r="A907" s="182"/>
      <c r="B907" s="184"/>
      <c r="C907" s="185"/>
      <c r="D907" s="186"/>
      <c r="E907" s="187"/>
      <c r="F907" s="186"/>
      <c r="G907" s="189"/>
      <c r="H907" s="186"/>
      <c r="I907" s="191"/>
      <c r="J907" s="192"/>
      <c r="K907" s="204"/>
    </row>
    <row r="908" spans="1:11">
      <c r="A908" s="183"/>
      <c r="B908" s="184"/>
      <c r="C908" s="185"/>
      <c r="D908" s="186"/>
      <c r="E908" s="187"/>
      <c r="F908" s="186"/>
      <c r="G908" s="190"/>
      <c r="H908" s="186"/>
      <c r="I908" s="191"/>
      <c r="J908" s="192"/>
      <c r="K908" s="204"/>
    </row>
    <row r="909" spans="1:11">
      <c r="A909" s="181"/>
      <c r="B909" s="184"/>
      <c r="C909" s="185"/>
      <c r="D909" s="186"/>
      <c r="E909" s="187"/>
      <c r="F909" s="188"/>
      <c r="G909" s="181"/>
      <c r="H909" s="186"/>
      <c r="I909" s="191"/>
      <c r="J909" s="192"/>
      <c r="K909" s="204"/>
    </row>
    <row r="910" spans="1:11">
      <c r="A910" s="182"/>
      <c r="B910" s="184"/>
      <c r="C910" s="185"/>
      <c r="D910" s="186"/>
      <c r="E910" s="187"/>
      <c r="F910" s="186"/>
      <c r="G910" s="189"/>
      <c r="H910" s="186"/>
      <c r="I910" s="191"/>
      <c r="J910" s="192"/>
      <c r="K910" s="204"/>
    </row>
    <row r="911" spans="1:11" ht="21" customHeight="1">
      <c r="A911" s="183"/>
      <c r="B911" s="184"/>
      <c r="C911" s="185"/>
      <c r="D911" s="186"/>
      <c r="E911" s="187"/>
      <c r="F911" s="186"/>
      <c r="G911" s="190"/>
      <c r="H911" s="186"/>
      <c r="I911" s="191"/>
      <c r="J911" s="192"/>
      <c r="K911" s="204"/>
    </row>
    <row r="912" spans="1:11">
      <c r="A912" s="181"/>
      <c r="B912" s="184"/>
      <c r="C912" s="185"/>
      <c r="D912" s="186"/>
      <c r="E912" s="187"/>
      <c r="F912" s="188"/>
      <c r="G912" s="181"/>
      <c r="H912" s="186"/>
      <c r="I912" s="191"/>
      <c r="J912" s="192"/>
      <c r="K912" s="204"/>
    </row>
    <row r="913" spans="1:11">
      <c r="A913" s="182"/>
      <c r="B913" s="184"/>
      <c r="C913" s="185"/>
      <c r="D913" s="186"/>
      <c r="E913" s="187"/>
      <c r="F913" s="186"/>
      <c r="G913" s="189"/>
      <c r="H913" s="186"/>
      <c r="I913" s="191"/>
      <c r="J913" s="192"/>
      <c r="K913" s="204"/>
    </row>
    <row r="914" spans="1:11">
      <c r="A914" s="183"/>
      <c r="B914" s="184"/>
      <c r="C914" s="185"/>
      <c r="D914" s="186"/>
      <c r="E914" s="187"/>
      <c r="F914" s="186"/>
      <c r="G914" s="190"/>
      <c r="H914" s="186"/>
      <c r="I914" s="191"/>
      <c r="J914" s="192"/>
      <c r="K914" s="204"/>
    </row>
    <row r="915" spans="1:11">
      <c r="A915" s="181"/>
      <c r="B915" s="184"/>
      <c r="C915" s="185"/>
      <c r="D915" s="186"/>
      <c r="E915" s="187"/>
      <c r="F915" s="188"/>
      <c r="G915" s="181"/>
      <c r="H915" s="186"/>
      <c r="I915" s="191"/>
      <c r="J915" s="192"/>
      <c r="K915" s="204"/>
    </row>
    <row r="916" spans="1:11">
      <c r="A916" s="182"/>
      <c r="B916" s="184"/>
      <c r="C916" s="185"/>
      <c r="D916" s="186"/>
      <c r="E916" s="187"/>
      <c r="F916" s="186"/>
      <c r="G916" s="189"/>
      <c r="H916" s="186"/>
      <c r="I916" s="191"/>
      <c r="J916" s="192"/>
      <c r="K916" s="204"/>
    </row>
    <row r="917" spans="1:11" ht="21" customHeight="1">
      <c r="A917" s="183"/>
      <c r="B917" s="184"/>
      <c r="C917" s="185"/>
      <c r="D917" s="186"/>
      <c r="E917" s="187"/>
      <c r="F917" s="186"/>
      <c r="G917" s="190"/>
      <c r="H917" s="186"/>
      <c r="I917" s="191"/>
      <c r="J917" s="192"/>
      <c r="K917" s="204"/>
    </row>
    <row r="918" spans="1:11">
      <c r="A918" s="181"/>
      <c r="B918" s="184"/>
      <c r="C918" s="185"/>
      <c r="D918" s="186"/>
      <c r="E918" s="187"/>
      <c r="F918" s="188"/>
      <c r="G918" s="181"/>
      <c r="H918" s="186"/>
      <c r="I918" s="191"/>
      <c r="J918" s="192"/>
      <c r="K918" s="204"/>
    </row>
    <row r="919" spans="1:11">
      <c r="A919" s="182"/>
      <c r="B919" s="184"/>
      <c r="C919" s="185"/>
      <c r="D919" s="186"/>
      <c r="E919" s="187"/>
      <c r="F919" s="186"/>
      <c r="G919" s="189"/>
      <c r="H919" s="186"/>
      <c r="I919" s="191"/>
      <c r="J919" s="192"/>
      <c r="K919" s="204"/>
    </row>
    <row r="920" spans="1:11" ht="24" customHeight="1">
      <c r="A920" s="183"/>
      <c r="B920" s="184"/>
      <c r="C920" s="185"/>
      <c r="D920" s="186"/>
      <c r="E920" s="187"/>
      <c r="F920" s="186"/>
      <c r="G920" s="190"/>
      <c r="H920" s="186"/>
      <c r="I920" s="191"/>
      <c r="J920" s="192"/>
      <c r="K920" s="204"/>
    </row>
    <row r="921" spans="1:11">
      <c r="A921" s="181"/>
      <c r="B921" s="184"/>
      <c r="C921" s="185"/>
      <c r="D921" s="186"/>
      <c r="E921" s="187"/>
      <c r="F921" s="188"/>
      <c r="G921" s="181"/>
      <c r="H921" s="186"/>
      <c r="I921" s="191"/>
      <c r="J921" s="192"/>
      <c r="K921" s="204"/>
    </row>
    <row r="922" spans="1:11">
      <c r="A922" s="182"/>
      <c r="B922" s="184"/>
      <c r="C922" s="185"/>
      <c r="D922" s="186"/>
      <c r="E922" s="187"/>
      <c r="F922" s="186"/>
      <c r="G922" s="189"/>
      <c r="H922" s="186"/>
      <c r="I922" s="191"/>
      <c r="J922" s="193"/>
      <c r="K922" s="204"/>
    </row>
    <row r="923" spans="1:11" ht="16" customHeight="1">
      <c r="A923" s="183"/>
      <c r="B923" s="184"/>
      <c r="C923" s="185"/>
      <c r="D923" s="186"/>
      <c r="E923" s="187"/>
      <c r="F923" s="186"/>
      <c r="G923" s="190"/>
      <c r="H923" s="186"/>
      <c r="I923" s="191"/>
      <c r="J923" s="193"/>
      <c r="K923" s="204"/>
    </row>
    <row r="924" spans="1:11">
      <c r="A924" s="181"/>
      <c r="B924" s="184"/>
      <c r="C924" s="185"/>
      <c r="D924" s="186"/>
      <c r="E924" s="187"/>
      <c r="F924" s="188"/>
      <c r="G924" s="181"/>
      <c r="H924" s="186"/>
      <c r="I924" s="191"/>
      <c r="J924" s="193"/>
      <c r="K924" s="204"/>
    </row>
    <row r="925" spans="1:11">
      <c r="A925" s="182"/>
      <c r="B925" s="184"/>
      <c r="C925" s="185"/>
      <c r="D925" s="186"/>
      <c r="E925" s="187"/>
      <c r="F925" s="186"/>
      <c r="G925" s="189"/>
      <c r="H925" s="186"/>
      <c r="I925" s="191"/>
      <c r="J925" s="192"/>
      <c r="K925" s="204"/>
    </row>
    <row r="926" spans="1:11">
      <c r="A926" s="183"/>
      <c r="B926" s="184"/>
      <c r="C926" s="185"/>
      <c r="D926" s="186"/>
      <c r="E926" s="187"/>
      <c r="F926" s="186"/>
      <c r="G926" s="190"/>
      <c r="H926" s="186"/>
      <c r="I926" s="191"/>
      <c r="J926" s="192"/>
      <c r="K926" s="204"/>
    </row>
    <row r="927" spans="1:11">
      <c r="A927" s="181"/>
      <c r="B927" s="184"/>
      <c r="C927" s="185"/>
      <c r="D927" s="186"/>
      <c r="E927" s="187"/>
      <c r="F927" s="188"/>
      <c r="G927" s="181"/>
      <c r="H927" s="186"/>
      <c r="I927" s="191"/>
      <c r="J927" s="192"/>
      <c r="K927" s="204"/>
    </row>
    <row r="928" spans="1:11">
      <c r="A928" s="182"/>
      <c r="B928" s="184"/>
      <c r="C928" s="185"/>
      <c r="D928" s="186"/>
      <c r="E928" s="187"/>
      <c r="F928" s="186"/>
      <c r="G928" s="189"/>
      <c r="H928" s="186"/>
      <c r="I928" s="191"/>
      <c r="J928" s="192"/>
      <c r="K928" s="204"/>
    </row>
    <row r="929" spans="1:11" ht="16" customHeight="1">
      <c r="A929" s="183"/>
      <c r="B929" s="184"/>
      <c r="C929" s="185"/>
      <c r="D929" s="186"/>
      <c r="E929" s="187"/>
      <c r="F929" s="186"/>
      <c r="G929" s="190"/>
      <c r="H929" s="186"/>
      <c r="I929" s="191"/>
      <c r="J929" s="192"/>
      <c r="K929" s="204"/>
    </row>
    <row r="930" spans="1:11">
      <c r="A930" s="181"/>
      <c r="B930" s="184"/>
      <c r="C930" s="185"/>
      <c r="D930" s="186"/>
      <c r="E930" s="187"/>
      <c r="F930" s="188"/>
      <c r="G930" s="181"/>
      <c r="H930" s="186"/>
      <c r="I930" s="191"/>
      <c r="J930" s="192"/>
      <c r="K930" s="204"/>
    </row>
    <row r="931" spans="1:11">
      <c r="A931" s="183"/>
      <c r="B931" s="184"/>
      <c r="C931" s="185"/>
      <c r="D931" s="186"/>
      <c r="E931" s="187"/>
      <c r="F931" s="186"/>
      <c r="G931" s="190"/>
      <c r="H931" s="194"/>
      <c r="I931" s="196"/>
      <c r="J931" s="192"/>
      <c r="K931" s="204"/>
    </row>
    <row r="932" spans="1:11" ht="24" customHeight="1">
      <c r="A932" s="186"/>
      <c r="B932" s="184"/>
      <c r="C932" s="185"/>
      <c r="D932" s="186"/>
      <c r="E932" s="187"/>
      <c r="F932" s="188"/>
      <c r="G932" s="181"/>
      <c r="H932" s="194"/>
      <c r="I932" s="196"/>
      <c r="J932" s="192"/>
      <c r="K932" s="204"/>
    </row>
    <row r="933" spans="1:11">
      <c r="A933" s="183"/>
      <c r="B933" s="184"/>
      <c r="C933" s="185"/>
      <c r="D933" s="186"/>
      <c r="E933" s="187"/>
      <c r="F933" s="186"/>
      <c r="G933" s="190"/>
      <c r="H933" s="194"/>
      <c r="I933" s="196"/>
      <c r="J933" s="192"/>
      <c r="K933" s="204"/>
    </row>
    <row r="934" spans="1:11">
      <c r="A934" s="186"/>
      <c r="B934" s="184"/>
      <c r="C934" s="185"/>
      <c r="D934" s="186"/>
      <c r="E934" s="187"/>
      <c r="F934" s="188"/>
      <c r="G934" s="181"/>
      <c r="H934" s="194"/>
      <c r="I934" s="196"/>
      <c r="J934" s="192"/>
      <c r="K934" s="204"/>
    </row>
    <row r="935" spans="1:11" ht="21" customHeight="1">
      <c r="A935" s="183"/>
      <c r="B935" s="184"/>
      <c r="C935" s="185"/>
      <c r="D935" s="186"/>
      <c r="E935" s="187"/>
      <c r="F935" s="186"/>
      <c r="G935" s="190"/>
      <c r="H935" s="194"/>
      <c r="I935" s="196"/>
      <c r="J935" s="192"/>
      <c r="K935" s="204"/>
    </row>
    <row r="936" spans="1:11">
      <c r="A936" s="186"/>
      <c r="B936" s="184"/>
      <c r="C936" s="185"/>
      <c r="D936" s="186"/>
      <c r="E936" s="187"/>
      <c r="F936" s="188"/>
      <c r="G936" s="181"/>
      <c r="H936" s="194"/>
      <c r="I936" s="196"/>
      <c r="J936" s="192"/>
      <c r="K936" s="204"/>
    </row>
    <row r="937" spans="1:11">
      <c r="A937" s="183"/>
      <c r="B937" s="184"/>
      <c r="C937" s="197"/>
      <c r="D937" s="186"/>
      <c r="E937" s="198"/>
      <c r="F937" s="186"/>
      <c r="G937" s="186"/>
      <c r="H937" s="194"/>
      <c r="I937" s="196"/>
      <c r="J937" s="192"/>
      <c r="K937" s="204"/>
    </row>
    <row r="938" spans="1:11" ht="16" customHeight="1">
      <c r="A938" s="186"/>
      <c r="B938" s="184"/>
      <c r="C938" s="197"/>
      <c r="D938" s="186"/>
      <c r="E938" s="198"/>
      <c r="F938" s="186"/>
      <c r="G938" s="186"/>
      <c r="H938" s="194"/>
      <c r="I938" s="196"/>
      <c r="J938" s="192"/>
      <c r="K938" s="204"/>
    </row>
    <row r="939" spans="1:11">
      <c r="A939" s="183"/>
      <c r="B939" s="184"/>
      <c r="C939" s="189"/>
      <c r="D939" s="200"/>
      <c r="E939" s="198"/>
      <c r="F939" s="186"/>
      <c r="G939" s="186"/>
      <c r="H939" s="194"/>
      <c r="I939" s="196"/>
      <c r="J939" s="192"/>
      <c r="K939" s="204"/>
    </row>
    <row r="940" spans="1:11">
      <c r="A940" s="199"/>
      <c r="B940" s="184"/>
      <c r="C940" s="189"/>
      <c r="D940" s="200"/>
      <c r="E940" s="198"/>
      <c r="F940" s="186"/>
      <c r="G940" s="186"/>
      <c r="H940" s="194"/>
      <c r="I940" s="196"/>
      <c r="J940" s="192"/>
      <c r="K940" s="204"/>
    </row>
    <row r="941" spans="1:11">
      <c r="A941" s="182"/>
      <c r="B941" s="184"/>
      <c r="C941" s="185"/>
      <c r="D941" s="186"/>
      <c r="E941" s="187"/>
      <c r="F941" s="186"/>
      <c r="G941" s="189"/>
      <c r="H941" s="186"/>
      <c r="I941" s="191"/>
      <c r="J941" s="192"/>
      <c r="K941" s="204"/>
    </row>
    <row r="942" spans="1:11">
      <c r="A942" s="183"/>
      <c r="B942" s="184"/>
      <c r="C942" s="185"/>
      <c r="D942" s="186"/>
      <c r="E942" s="187"/>
      <c r="F942" s="186"/>
      <c r="G942" s="190"/>
      <c r="H942" s="186"/>
      <c r="I942" s="191"/>
      <c r="J942" s="192"/>
      <c r="K942" s="204"/>
    </row>
    <row r="943" spans="1:11">
      <c r="A943" s="186"/>
      <c r="B943" s="184"/>
      <c r="C943" s="185"/>
      <c r="D943" s="186"/>
      <c r="E943" s="187"/>
      <c r="F943" s="188"/>
      <c r="G943" s="181"/>
      <c r="H943" s="186"/>
      <c r="I943" s="191"/>
      <c r="J943" s="192"/>
      <c r="K943" s="204"/>
    </row>
    <row r="944" spans="1:11" ht="31.5" customHeight="1">
      <c r="A944" s="183"/>
      <c r="B944" s="184"/>
      <c r="C944" s="185"/>
      <c r="D944" s="186"/>
      <c r="E944" s="187"/>
      <c r="F944" s="186"/>
      <c r="G944" s="190"/>
      <c r="H944" s="194"/>
      <c r="I944" s="196"/>
      <c r="J944" s="192"/>
      <c r="K944" s="204"/>
    </row>
    <row r="945" spans="1:11">
      <c r="A945" s="186"/>
      <c r="B945" s="184"/>
      <c r="C945" s="185"/>
      <c r="D945" s="186"/>
      <c r="E945" s="187"/>
      <c r="F945" s="188"/>
      <c r="G945" s="181"/>
      <c r="H945" s="194"/>
      <c r="I945" s="196"/>
      <c r="J945" s="192"/>
      <c r="K945" s="204"/>
    </row>
    <row r="946" spans="1:11">
      <c r="A946" s="183"/>
      <c r="B946" s="184"/>
      <c r="C946" s="185"/>
      <c r="D946" s="186"/>
      <c r="E946" s="187"/>
      <c r="F946" s="186"/>
      <c r="G946" s="190"/>
      <c r="H946" s="194"/>
      <c r="I946" s="196"/>
      <c r="J946" s="192"/>
      <c r="K946" s="204"/>
    </row>
    <row r="947" spans="1:11">
      <c r="A947" s="186"/>
      <c r="B947" s="184"/>
      <c r="C947" s="185"/>
      <c r="D947" s="186"/>
      <c r="E947" s="187"/>
      <c r="F947" s="188"/>
      <c r="G947" s="181"/>
      <c r="H947" s="194"/>
      <c r="I947" s="196"/>
      <c r="J947" s="192"/>
      <c r="K947" s="204"/>
    </row>
    <row r="948" spans="1:11">
      <c r="A948" s="183"/>
      <c r="B948" s="184"/>
      <c r="C948" s="185"/>
      <c r="D948" s="186"/>
      <c r="E948" s="187"/>
      <c r="F948" s="186"/>
      <c r="G948" s="190"/>
      <c r="H948" s="194"/>
      <c r="I948" s="196"/>
      <c r="J948" s="192"/>
      <c r="K948" s="204"/>
    </row>
    <row r="949" spans="1:11">
      <c r="A949" s="186"/>
      <c r="B949" s="184"/>
      <c r="C949" s="185"/>
      <c r="D949" s="186"/>
      <c r="E949" s="187"/>
      <c r="F949" s="188"/>
      <c r="G949" s="181"/>
      <c r="H949" s="194"/>
      <c r="I949" s="196"/>
      <c r="J949" s="192"/>
      <c r="K949" s="204"/>
    </row>
    <row r="950" spans="1:11" ht="31.5" customHeight="1">
      <c r="A950" s="183"/>
      <c r="B950" s="184"/>
      <c r="C950" s="200"/>
      <c r="D950" s="186"/>
      <c r="E950" s="187"/>
      <c r="F950" s="186"/>
      <c r="G950" s="190"/>
      <c r="H950" s="194"/>
      <c r="I950" s="196"/>
      <c r="J950" s="192"/>
      <c r="K950" s="204"/>
    </row>
    <row r="951" spans="1:11">
      <c r="A951" s="186"/>
      <c r="B951" s="184"/>
      <c r="C951" s="200"/>
      <c r="D951" s="186"/>
      <c r="E951" s="187"/>
      <c r="F951" s="188"/>
      <c r="G951" s="181"/>
      <c r="H951" s="194"/>
      <c r="I951" s="196"/>
      <c r="J951" s="192"/>
      <c r="K951" s="204"/>
    </row>
    <row r="952" spans="1:11">
      <c r="A952" s="183"/>
      <c r="B952" s="184"/>
      <c r="C952" s="185"/>
      <c r="D952" s="186"/>
      <c r="E952" s="187"/>
      <c r="F952" s="186"/>
      <c r="G952" s="190"/>
      <c r="H952" s="194"/>
      <c r="I952" s="196"/>
      <c r="J952" s="192"/>
      <c r="K952" s="204"/>
    </row>
    <row r="953" spans="1:11" ht="21" customHeight="1">
      <c r="A953" s="186"/>
      <c r="B953" s="184"/>
      <c r="C953" s="185"/>
      <c r="D953" s="186"/>
      <c r="E953" s="187"/>
      <c r="F953" s="188"/>
      <c r="G953" s="181"/>
      <c r="H953" s="194"/>
      <c r="I953" s="196"/>
      <c r="J953" s="192"/>
      <c r="K953" s="204"/>
    </row>
    <row r="954" spans="1:11">
      <c r="A954" s="183"/>
      <c r="B954" s="184"/>
      <c r="C954" s="185"/>
      <c r="D954" s="186"/>
      <c r="E954" s="187"/>
      <c r="F954" s="186"/>
      <c r="G954" s="190"/>
      <c r="H954" s="194"/>
      <c r="I954" s="196"/>
      <c r="J954" s="192"/>
      <c r="K954" s="204"/>
    </row>
    <row r="955" spans="1:11">
      <c r="A955" s="186"/>
      <c r="B955" s="184"/>
      <c r="C955" s="185"/>
      <c r="D955" s="186"/>
      <c r="E955" s="187"/>
      <c r="F955" s="188"/>
      <c r="G955" s="181"/>
      <c r="H955" s="194"/>
      <c r="I955" s="196"/>
      <c r="J955" s="192"/>
      <c r="K955" s="204"/>
    </row>
    <row r="956" spans="1:11" ht="21" customHeight="1">
      <c r="A956" s="183"/>
      <c r="B956" s="184"/>
      <c r="C956" s="185"/>
      <c r="D956" s="186"/>
      <c r="E956" s="187"/>
      <c r="F956" s="186"/>
      <c r="G956" s="190"/>
      <c r="H956" s="194"/>
      <c r="I956" s="196"/>
      <c r="J956" s="192"/>
      <c r="K956" s="204"/>
    </row>
    <row r="957" spans="1:11">
      <c r="A957" s="186"/>
      <c r="B957" s="184"/>
      <c r="C957" s="185"/>
      <c r="D957" s="186"/>
      <c r="E957" s="187"/>
      <c r="F957" s="188"/>
      <c r="G957" s="181"/>
      <c r="H957" s="194"/>
      <c r="I957" s="196"/>
      <c r="J957" s="192"/>
      <c r="K957" s="204"/>
    </row>
    <row r="958" spans="1:11">
      <c r="A958" s="183"/>
      <c r="B958" s="184"/>
      <c r="C958" s="185"/>
      <c r="D958" s="186"/>
      <c r="E958" s="187"/>
      <c r="F958" s="186"/>
      <c r="G958" s="190"/>
      <c r="H958" s="194"/>
      <c r="I958" s="196"/>
      <c r="J958" s="192"/>
      <c r="K958" s="204"/>
    </row>
    <row r="959" spans="1:11" ht="16" customHeight="1">
      <c r="A959" s="186"/>
      <c r="B959" s="184"/>
      <c r="C959" s="185"/>
      <c r="D959" s="186"/>
      <c r="E959" s="187"/>
      <c r="F959" s="188"/>
      <c r="G959" s="181"/>
      <c r="H959" s="194"/>
      <c r="I959" s="196"/>
      <c r="J959" s="192"/>
      <c r="K959" s="204"/>
    </row>
    <row r="960" spans="1:11">
      <c r="A960" s="183"/>
      <c r="B960" s="184"/>
      <c r="C960" s="185"/>
      <c r="D960" s="186"/>
      <c r="E960" s="187"/>
      <c r="F960" s="186"/>
      <c r="G960" s="190"/>
      <c r="H960" s="194"/>
      <c r="I960" s="196"/>
      <c r="J960" s="192"/>
      <c r="K960" s="204"/>
    </row>
    <row r="961" spans="1:11">
      <c r="A961" s="186"/>
      <c r="B961" s="184"/>
      <c r="C961" s="185"/>
      <c r="D961" s="186"/>
      <c r="E961" s="187"/>
      <c r="F961" s="188"/>
      <c r="G961" s="181"/>
      <c r="H961" s="194"/>
      <c r="I961" s="196"/>
      <c r="J961" s="192"/>
      <c r="K961" s="204"/>
    </row>
    <row r="962" spans="1:11">
      <c r="A962" s="183"/>
      <c r="B962" s="184"/>
      <c r="C962" s="189"/>
      <c r="D962" s="200"/>
      <c r="E962" s="198"/>
      <c r="F962" s="186"/>
      <c r="G962" s="186"/>
      <c r="H962" s="194"/>
      <c r="I962" s="196"/>
      <c r="J962" s="192"/>
      <c r="K962" s="204"/>
    </row>
    <row r="963" spans="1:11">
      <c r="A963" s="199"/>
      <c r="B963" s="184"/>
      <c r="C963" s="189"/>
      <c r="D963" s="200"/>
      <c r="E963" s="198"/>
      <c r="F963" s="186"/>
      <c r="G963" s="186"/>
      <c r="H963" s="194"/>
      <c r="I963" s="196"/>
      <c r="J963" s="192"/>
      <c r="K963" s="204"/>
    </row>
    <row r="964" spans="1:11">
      <c r="A964" s="183"/>
      <c r="B964" s="184"/>
      <c r="C964" s="185"/>
      <c r="D964" s="186"/>
      <c r="E964" s="187"/>
      <c r="F964" s="186"/>
      <c r="G964" s="190"/>
      <c r="H964" s="194"/>
      <c r="I964" s="196"/>
      <c r="J964" s="192"/>
      <c r="K964" s="204"/>
    </row>
    <row r="965" spans="1:11" ht="24" customHeight="1">
      <c r="A965" s="186"/>
      <c r="B965" s="184"/>
      <c r="C965" s="185"/>
      <c r="D965" s="186"/>
      <c r="E965" s="187"/>
      <c r="F965" s="188"/>
      <c r="G965" s="181"/>
      <c r="H965" s="194"/>
      <c r="I965" s="196"/>
      <c r="J965" s="192"/>
      <c r="K965" s="204"/>
    </row>
    <row r="966" spans="1:11">
      <c r="A966" s="183"/>
      <c r="B966" s="184"/>
      <c r="C966" s="185"/>
      <c r="D966" s="186"/>
      <c r="E966" s="187"/>
      <c r="F966" s="186"/>
      <c r="G966" s="190"/>
      <c r="H966" s="194"/>
      <c r="I966" s="196"/>
      <c r="J966" s="192"/>
      <c r="K966" s="204"/>
    </row>
    <row r="967" spans="1:11">
      <c r="A967" s="186"/>
      <c r="B967" s="184"/>
      <c r="C967" s="185"/>
      <c r="D967" s="186"/>
      <c r="E967" s="187"/>
      <c r="F967" s="188"/>
      <c r="G967" s="181"/>
      <c r="H967" s="194"/>
      <c r="I967" s="196"/>
      <c r="J967" s="192"/>
      <c r="K967" s="204"/>
    </row>
    <row r="968" spans="1:11" ht="21" customHeight="1">
      <c r="A968" s="183"/>
      <c r="B968" s="184"/>
      <c r="C968" s="189"/>
      <c r="D968" s="200"/>
      <c r="E968" s="198"/>
      <c r="F968" s="186"/>
      <c r="G968" s="186"/>
      <c r="H968" s="194"/>
      <c r="I968" s="196"/>
      <c r="J968" s="192"/>
      <c r="K968" s="204"/>
    </row>
    <row r="969" spans="1:11">
      <c r="A969" s="199"/>
      <c r="B969" s="184"/>
      <c r="C969" s="189"/>
      <c r="D969" s="200"/>
      <c r="E969" s="198"/>
      <c r="F969" s="186"/>
      <c r="G969" s="186"/>
      <c r="H969" s="194"/>
      <c r="I969" s="196"/>
      <c r="J969" s="192"/>
      <c r="K969" s="204"/>
    </row>
    <row r="970" spans="1:11">
      <c r="A970" s="183"/>
      <c r="B970" s="184"/>
      <c r="C970" s="185"/>
      <c r="D970" s="186"/>
      <c r="E970" s="187"/>
      <c r="F970" s="186"/>
      <c r="G970" s="190"/>
      <c r="H970" s="186"/>
      <c r="I970" s="196"/>
      <c r="J970" s="192"/>
      <c r="K970" s="204"/>
    </row>
    <row r="971" spans="1:11" ht="21" customHeight="1">
      <c r="A971" s="186"/>
      <c r="B971" s="184"/>
      <c r="C971" s="185"/>
      <c r="D971" s="186"/>
      <c r="E971" s="187"/>
      <c r="F971" s="188"/>
      <c r="G971" s="181"/>
      <c r="H971" s="181"/>
      <c r="I971" s="196"/>
      <c r="J971" s="192"/>
      <c r="K971" s="204"/>
    </row>
    <row r="972" spans="1:11">
      <c r="A972" s="183"/>
      <c r="B972" s="184"/>
      <c r="C972" s="202"/>
      <c r="D972" s="186"/>
      <c r="E972" s="187"/>
      <c r="F972" s="186"/>
      <c r="G972" s="190"/>
      <c r="H972" s="194"/>
      <c r="I972" s="196"/>
      <c r="J972" s="192"/>
      <c r="K972" s="204"/>
    </row>
    <row r="973" spans="1:11">
      <c r="A973" s="186"/>
      <c r="B973" s="184"/>
      <c r="C973" s="202"/>
      <c r="D973" s="186"/>
      <c r="E973" s="187"/>
      <c r="F973" s="188"/>
      <c r="G973" s="181"/>
      <c r="H973" s="194"/>
      <c r="I973" s="196"/>
      <c r="J973" s="192"/>
      <c r="K973" s="204"/>
    </row>
    <row r="974" spans="1:11">
      <c r="A974" s="183"/>
      <c r="B974" s="184"/>
      <c r="C974" s="185"/>
      <c r="D974" s="186"/>
      <c r="E974" s="187"/>
      <c r="F974" s="186"/>
      <c r="G974" s="190"/>
      <c r="H974" s="194"/>
      <c r="I974" s="196"/>
      <c r="J974" s="192"/>
      <c r="K974" s="204"/>
    </row>
    <row r="975" spans="1:11">
      <c r="A975" s="186"/>
      <c r="B975" s="184"/>
      <c r="C975" s="185"/>
      <c r="D975" s="186"/>
      <c r="E975" s="187"/>
      <c r="F975" s="188"/>
      <c r="G975" s="181"/>
      <c r="H975" s="194"/>
      <c r="I975" s="196"/>
      <c r="J975" s="192"/>
      <c r="K975" s="204"/>
    </row>
    <row r="976" spans="1:11">
      <c r="A976" s="183"/>
      <c r="B976" s="184"/>
      <c r="C976" s="185"/>
      <c r="D976" s="186"/>
      <c r="E976" s="187"/>
      <c r="F976" s="186"/>
      <c r="G976" s="190"/>
      <c r="H976" s="194"/>
      <c r="I976" s="196"/>
      <c r="J976" s="192"/>
      <c r="K976" s="204"/>
    </row>
    <row r="977" spans="1:11">
      <c r="A977" s="186"/>
      <c r="B977" s="184"/>
      <c r="C977" s="185"/>
      <c r="D977" s="186"/>
      <c r="E977" s="187"/>
      <c r="F977" s="188"/>
      <c r="G977" s="181"/>
      <c r="H977" s="194"/>
      <c r="I977" s="196"/>
      <c r="J977" s="192"/>
      <c r="K977" s="204"/>
    </row>
    <row r="978" spans="1:11">
      <c r="A978" s="183"/>
      <c r="B978" s="184"/>
      <c r="C978" s="185"/>
      <c r="D978" s="186"/>
      <c r="E978" s="187"/>
      <c r="F978" s="186"/>
      <c r="G978" s="190"/>
      <c r="H978" s="194"/>
      <c r="I978" s="196"/>
      <c r="J978" s="192"/>
      <c r="K978" s="204"/>
    </row>
    <row r="979" spans="1:11">
      <c r="A979" s="186"/>
      <c r="B979" s="184"/>
      <c r="C979" s="185"/>
      <c r="D979" s="186"/>
      <c r="E979" s="187"/>
      <c r="F979" s="188"/>
      <c r="G979" s="181"/>
      <c r="H979" s="194"/>
      <c r="I979" s="196"/>
      <c r="J979" s="192"/>
      <c r="K979" s="204"/>
    </row>
    <row r="980" spans="1:11" ht="21" customHeight="1">
      <c r="A980" s="183"/>
      <c r="B980" s="184"/>
      <c r="C980" s="185"/>
      <c r="D980" s="186"/>
      <c r="E980" s="187"/>
      <c r="F980" s="186"/>
      <c r="G980" s="190"/>
      <c r="H980" s="194"/>
      <c r="I980" s="196"/>
      <c r="J980" s="192"/>
      <c r="K980" s="204"/>
    </row>
    <row r="981" spans="1:11">
      <c r="A981" s="186"/>
      <c r="B981" s="184"/>
      <c r="C981" s="185"/>
      <c r="D981" s="186"/>
      <c r="E981" s="187"/>
      <c r="F981" s="188"/>
      <c r="G981" s="181"/>
      <c r="H981" s="194"/>
      <c r="I981" s="196"/>
      <c r="J981" s="192"/>
      <c r="K981" s="204"/>
    </row>
    <row r="982" spans="1:11">
      <c r="A982" s="183"/>
      <c r="B982" s="184"/>
      <c r="C982" s="185"/>
      <c r="D982" s="186"/>
      <c r="E982" s="187"/>
      <c r="F982" s="186"/>
      <c r="G982" s="190"/>
      <c r="H982" s="194"/>
      <c r="I982" s="196"/>
      <c r="J982" s="192"/>
      <c r="K982" s="204"/>
    </row>
    <row r="983" spans="1:11">
      <c r="A983" s="186"/>
      <c r="B983" s="184"/>
      <c r="C983" s="185"/>
      <c r="D983" s="186"/>
      <c r="E983" s="187"/>
      <c r="F983" s="188"/>
      <c r="G983" s="181"/>
      <c r="H983" s="194"/>
      <c r="I983" s="196"/>
      <c r="J983" s="192"/>
      <c r="K983" s="204"/>
    </row>
    <row r="984" spans="1:11">
      <c r="A984" s="183"/>
      <c r="B984" s="184"/>
      <c r="C984" s="185"/>
      <c r="D984" s="186"/>
      <c r="E984" s="187"/>
      <c r="F984" s="186"/>
      <c r="G984" s="190"/>
      <c r="H984" s="194"/>
      <c r="I984" s="196"/>
      <c r="J984" s="192"/>
      <c r="K984" s="204"/>
    </row>
    <row r="985" spans="1:11">
      <c r="A985" s="186"/>
      <c r="B985" s="184"/>
      <c r="C985" s="185"/>
      <c r="D985" s="186"/>
      <c r="E985" s="187"/>
      <c r="F985" s="188"/>
      <c r="G985" s="181"/>
      <c r="H985" s="194"/>
      <c r="I985" s="196"/>
      <c r="J985" s="192"/>
      <c r="K985" s="204"/>
    </row>
    <row r="986" spans="1:11" ht="14" customHeight="1">
      <c r="A986" s="183"/>
      <c r="B986" s="184"/>
      <c r="C986" s="185"/>
      <c r="D986" s="186"/>
      <c r="E986" s="187"/>
      <c r="F986" s="186"/>
      <c r="G986" s="190"/>
      <c r="H986" s="194"/>
      <c r="I986" s="196"/>
      <c r="J986" s="192"/>
      <c r="K986" s="204"/>
    </row>
    <row r="987" spans="1:11">
      <c r="A987" s="186"/>
      <c r="B987" s="184"/>
      <c r="C987" s="185"/>
      <c r="D987" s="186"/>
      <c r="E987" s="187"/>
      <c r="F987" s="188"/>
      <c r="G987" s="181"/>
      <c r="H987" s="194"/>
      <c r="I987" s="196"/>
      <c r="J987" s="192"/>
      <c r="K987" s="204"/>
    </row>
    <row r="988" spans="1:11">
      <c r="A988" s="183"/>
      <c r="B988" s="184"/>
      <c r="C988" s="185"/>
      <c r="D988" s="186"/>
      <c r="E988" s="187"/>
      <c r="F988" s="186"/>
      <c r="G988" s="190"/>
      <c r="H988" s="194"/>
      <c r="I988" s="196"/>
      <c r="J988" s="192"/>
      <c r="K988" s="204"/>
    </row>
    <row r="989" spans="1:11" ht="16" customHeight="1">
      <c r="A989" s="186"/>
      <c r="B989" s="184"/>
      <c r="C989" s="185"/>
      <c r="D989" s="186"/>
      <c r="E989" s="187"/>
      <c r="F989" s="188"/>
      <c r="G989" s="181"/>
      <c r="H989" s="194"/>
      <c r="I989" s="196"/>
      <c r="J989" s="192"/>
      <c r="K989" s="204"/>
    </row>
    <row r="990" spans="1:11">
      <c r="A990" s="183"/>
      <c r="B990" s="184"/>
      <c r="C990" s="185"/>
      <c r="D990" s="186"/>
      <c r="E990" s="187"/>
      <c r="F990" s="186"/>
      <c r="G990" s="190"/>
      <c r="H990" s="194"/>
      <c r="I990" s="196"/>
      <c r="J990" s="192"/>
      <c r="K990" s="204"/>
    </row>
    <row r="991" spans="1:11">
      <c r="A991" s="186"/>
      <c r="B991" s="184"/>
      <c r="C991" s="185"/>
      <c r="D991" s="186"/>
      <c r="E991" s="187"/>
      <c r="F991" s="188"/>
      <c r="G991" s="181"/>
      <c r="H991" s="194"/>
      <c r="I991" s="196"/>
      <c r="J991" s="192"/>
      <c r="K991" s="204"/>
    </row>
    <row r="992" spans="1:11">
      <c r="A992" s="183"/>
      <c r="B992" s="184"/>
      <c r="C992" s="197"/>
      <c r="D992" s="186"/>
      <c r="E992" s="198"/>
      <c r="F992" s="186"/>
      <c r="G992" s="186"/>
      <c r="H992" s="194"/>
      <c r="I992" s="196"/>
      <c r="J992" s="192"/>
      <c r="K992" s="204"/>
    </row>
    <row r="993" spans="1:11">
      <c r="A993" s="186"/>
      <c r="B993" s="184"/>
      <c r="C993" s="197"/>
      <c r="D993" s="186"/>
      <c r="E993" s="198"/>
      <c r="F993" s="186"/>
      <c r="G993" s="186"/>
      <c r="H993" s="194"/>
      <c r="I993" s="196"/>
      <c r="J993" s="192"/>
      <c r="K993" s="204"/>
    </row>
    <row r="994" spans="1:11">
      <c r="A994" s="183"/>
      <c r="B994" s="184"/>
      <c r="C994" s="185"/>
      <c r="D994" s="186"/>
      <c r="E994" s="187"/>
      <c r="F994" s="186"/>
      <c r="G994" s="190"/>
      <c r="H994" s="194"/>
      <c r="I994" s="196"/>
      <c r="J994" s="192"/>
      <c r="K994" s="204"/>
    </row>
    <row r="995" spans="1:11" ht="16" customHeight="1">
      <c r="A995" s="186"/>
      <c r="B995" s="184"/>
      <c r="C995" s="185"/>
      <c r="D995" s="186"/>
      <c r="E995" s="187"/>
      <c r="F995" s="188"/>
      <c r="G995" s="181"/>
      <c r="H995" s="194"/>
      <c r="I995" s="196"/>
      <c r="J995" s="192"/>
      <c r="K995" s="204"/>
    </row>
    <row r="996" spans="1:11">
      <c r="A996" s="183"/>
      <c r="B996" s="184"/>
      <c r="C996" s="185"/>
      <c r="D996" s="186"/>
      <c r="E996" s="187"/>
      <c r="F996" s="186"/>
      <c r="G996" s="190"/>
      <c r="H996" s="194"/>
      <c r="I996" s="196"/>
      <c r="J996" s="192"/>
      <c r="K996" s="204"/>
    </row>
    <row r="997" spans="1:11">
      <c r="A997" s="186"/>
      <c r="B997" s="184"/>
      <c r="C997" s="185"/>
      <c r="D997" s="186"/>
      <c r="E997" s="187"/>
      <c r="F997" s="188"/>
      <c r="G997" s="181"/>
      <c r="H997" s="194"/>
      <c r="I997" s="196"/>
      <c r="J997" s="192"/>
      <c r="K997" s="204"/>
    </row>
    <row r="998" spans="1:11">
      <c r="A998" s="183"/>
      <c r="B998" s="184"/>
      <c r="C998" s="185"/>
      <c r="D998" s="186"/>
      <c r="E998" s="187"/>
      <c r="F998" s="186"/>
      <c r="G998" s="190"/>
      <c r="H998" s="194"/>
      <c r="I998" s="196"/>
      <c r="J998" s="192"/>
      <c r="K998" s="204"/>
    </row>
    <row r="999" spans="1:11">
      <c r="A999" s="186"/>
      <c r="B999" s="184"/>
      <c r="C999" s="185"/>
      <c r="D999" s="186"/>
      <c r="E999" s="187"/>
      <c r="F999" s="188"/>
      <c r="G999" s="181"/>
      <c r="H999" s="194"/>
      <c r="I999" s="196"/>
      <c r="J999" s="192"/>
      <c r="K999" s="204"/>
    </row>
    <row r="1000" spans="1:11">
      <c r="A1000" s="183"/>
      <c r="B1000" s="184"/>
      <c r="C1000" s="185"/>
      <c r="D1000" s="186"/>
      <c r="E1000" s="187"/>
      <c r="F1000" s="186"/>
      <c r="G1000" s="190"/>
      <c r="H1000" s="194"/>
      <c r="I1000" s="196"/>
      <c r="J1000" s="192"/>
      <c r="K1000" s="204"/>
    </row>
    <row r="1001" spans="1:11" ht="21" customHeight="1">
      <c r="A1001" s="186"/>
      <c r="B1001" s="184"/>
      <c r="C1001" s="185"/>
      <c r="D1001" s="186"/>
      <c r="E1001" s="187"/>
      <c r="F1001" s="188"/>
      <c r="G1001" s="181"/>
      <c r="H1001" s="194"/>
      <c r="I1001" s="196"/>
      <c r="J1001" s="192"/>
      <c r="K1001" s="204"/>
    </row>
    <row r="1002" spans="1:11">
      <c r="A1002" s="183"/>
      <c r="B1002" s="184"/>
      <c r="C1002" s="189"/>
      <c r="D1002" s="200"/>
      <c r="E1002" s="198"/>
      <c r="F1002" s="186"/>
      <c r="G1002" s="186"/>
      <c r="H1002" s="194"/>
      <c r="I1002" s="196"/>
      <c r="J1002" s="192"/>
      <c r="K1002" s="204"/>
    </row>
    <row r="1003" spans="1:11">
      <c r="A1003" s="199"/>
      <c r="B1003" s="184"/>
      <c r="C1003" s="189"/>
      <c r="D1003" s="200"/>
      <c r="E1003" s="198"/>
      <c r="F1003" s="186"/>
      <c r="G1003" s="186"/>
      <c r="H1003" s="194"/>
      <c r="I1003" s="196"/>
      <c r="J1003" s="192"/>
      <c r="K1003" s="204"/>
    </row>
    <row r="1004" spans="1:11">
      <c r="A1004" s="183"/>
      <c r="B1004" s="184"/>
      <c r="C1004" s="185"/>
      <c r="D1004" s="186"/>
      <c r="E1004" s="187"/>
      <c r="F1004" s="186"/>
      <c r="G1004" s="190"/>
      <c r="H1004" s="194"/>
      <c r="I1004" s="196"/>
      <c r="J1004" s="192"/>
      <c r="K1004" s="204"/>
    </row>
    <row r="1005" spans="1:11">
      <c r="A1005" s="186"/>
      <c r="B1005" s="184"/>
      <c r="C1005" s="185"/>
      <c r="D1005" s="186"/>
      <c r="E1005" s="187"/>
      <c r="F1005" s="188"/>
      <c r="G1005" s="181"/>
      <c r="H1005" s="194"/>
      <c r="I1005" s="196"/>
      <c r="J1005" s="192"/>
      <c r="K1005" s="204"/>
    </row>
    <row r="1006" spans="1:11">
      <c r="A1006" s="183"/>
      <c r="B1006" s="184"/>
      <c r="C1006" s="185"/>
      <c r="D1006" s="186"/>
      <c r="E1006" s="187"/>
      <c r="F1006" s="186"/>
      <c r="G1006" s="190"/>
      <c r="H1006" s="194"/>
      <c r="I1006" s="196"/>
      <c r="J1006" s="192"/>
      <c r="K1006" s="204"/>
    </row>
    <row r="1007" spans="1:11">
      <c r="A1007" s="186"/>
      <c r="B1007" s="184"/>
      <c r="C1007" s="185"/>
      <c r="D1007" s="186"/>
      <c r="E1007" s="187"/>
      <c r="F1007" s="188"/>
      <c r="G1007" s="181"/>
      <c r="H1007" s="194"/>
      <c r="I1007" s="196"/>
      <c r="J1007" s="192"/>
      <c r="K1007" s="204"/>
    </row>
    <row r="1008" spans="1:11">
      <c r="A1008" s="183"/>
      <c r="B1008" s="184"/>
      <c r="C1008" s="185"/>
      <c r="D1008" s="186"/>
      <c r="E1008" s="187"/>
      <c r="F1008" s="186"/>
      <c r="G1008" s="190"/>
      <c r="H1008" s="194"/>
      <c r="I1008" s="196"/>
      <c r="J1008" s="192"/>
      <c r="K1008" s="204"/>
    </row>
    <row r="1009" spans="1:11">
      <c r="A1009" s="186"/>
      <c r="B1009" s="184"/>
      <c r="C1009" s="185"/>
      <c r="D1009" s="186"/>
      <c r="E1009" s="187"/>
      <c r="F1009" s="188"/>
      <c r="G1009" s="181"/>
      <c r="H1009" s="194"/>
      <c r="I1009" s="196"/>
      <c r="J1009" s="192"/>
      <c r="K1009" s="204"/>
    </row>
    <row r="1010" spans="1:11" ht="24" customHeight="1">
      <c r="A1010" s="183"/>
      <c r="B1010" s="184"/>
      <c r="C1010" s="197"/>
      <c r="D1010" s="186"/>
      <c r="E1010" s="198"/>
      <c r="F1010" s="186"/>
      <c r="G1010" s="186"/>
      <c r="H1010" s="194"/>
      <c r="I1010" s="196"/>
      <c r="J1010" s="192"/>
      <c r="K1010" s="204"/>
    </row>
    <row r="1011" spans="1:11">
      <c r="A1011" s="186"/>
      <c r="B1011" s="184"/>
      <c r="C1011" s="197"/>
      <c r="D1011" s="186"/>
      <c r="E1011" s="198"/>
      <c r="F1011" s="186"/>
      <c r="G1011" s="186"/>
      <c r="H1011" s="194"/>
      <c r="I1011" s="196"/>
      <c r="J1011" s="192"/>
      <c r="K1011" s="204"/>
    </row>
    <row r="1012" spans="1:11">
      <c r="A1012" s="183"/>
      <c r="B1012" s="184"/>
      <c r="C1012" s="185"/>
      <c r="D1012" s="186"/>
      <c r="E1012" s="187"/>
      <c r="F1012" s="186"/>
      <c r="G1012" s="190"/>
      <c r="H1012" s="194"/>
      <c r="I1012" s="196"/>
      <c r="J1012" s="192"/>
      <c r="K1012" s="204"/>
    </row>
    <row r="1013" spans="1:11">
      <c r="A1013" s="186"/>
      <c r="B1013" s="184"/>
      <c r="C1013" s="185"/>
      <c r="D1013" s="186"/>
      <c r="E1013" s="187"/>
      <c r="F1013" s="188"/>
      <c r="G1013" s="181"/>
      <c r="H1013" s="194"/>
      <c r="I1013" s="196"/>
      <c r="J1013" s="192"/>
      <c r="K1013" s="204"/>
    </row>
    <row r="1014" spans="1:11">
      <c r="A1014" s="183"/>
      <c r="B1014" s="184"/>
      <c r="C1014" s="185"/>
      <c r="D1014" s="186"/>
      <c r="E1014" s="187"/>
      <c r="F1014" s="186"/>
      <c r="G1014" s="190"/>
      <c r="H1014" s="194"/>
      <c r="I1014" s="196"/>
      <c r="J1014" s="192"/>
      <c r="K1014" s="204"/>
    </row>
    <row r="1015" spans="1:11">
      <c r="A1015" s="186"/>
      <c r="B1015" s="184"/>
      <c r="C1015" s="185"/>
      <c r="D1015" s="186"/>
      <c r="E1015" s="187"/>
      <c r="F1015" s="188"/>
      <c r="G1015" s="181"/>
      <c r="H1015" s="194"/>
      <c r="I1015" s="196"/>
      <c r="J1015" s="192"/>
      <c r="K1015" s="204"/>
    </row>
    <row r="1016" spans="1:11">
      <c r="A1016" s="183"/>
      <c r="B1016" s="184"/>
      <c r="C1016" s="197"/>
      <c r="D1016" s="186"/>
      <c r="E1016" s="198"/>
      <c r="F1016" s="186"/>
      <c r="G1016" s="186"/>
      <c r="H1016" s="194"/>
      <c r="I1016" s="196"/>
      <c r="J1016" s="192"/>
      <c r="K1016" s="204"/>
    </row>
    <row r="1017" spans="1:11">
      <c r="A1017" s="186"/>
      <c r="B1017" s="184"/>
      <c r="C1017" s="197"/>
      <c r="D1017" s="186"/>
      <c r="E1017" s="198"/>
      <c r="F1017" s="186"/>
      <c r="G1017" s="186"/>
      <c r="H1017" s="194"/>
      <c r="I1017" s="196"/>
      <c r="J1017" s="192"/>
      <c r="K1017" s="204"/>
    </row>
    <row r="1018" spans="1:11">
      <c r="A1018" s="183"/>
      <c r="B1018" s="184"/>
      <c r="C1018" s="185"/>
      <c r="D1018" s="186"/>
      <c r="E1018" s="187"/>
      <c r="F1018" s="186"/>
      <c r="G1018" s="190"/>
      <c r="H1018" s="194"/>
      <c r="I1018" s="196"/>
      <c r="J1018" s="192"/>
      <c r="K1018" s="204"/>
    </row>
    <row r="1019" spans="1:11">
      <c r="A1019" s="186"/>
      <c r="B1019" s="184"/>
      <c r="C1019" s="185"/>
      <c r="D1019" s="186"/>
      <c r="E1019" s="187"/>
      <c r="F1019" s="188"/>
      <c r="G1019" s="181"/>
      <c r="H1019" s="194"/>
      <c r="I1019" s="196"/>
      <c r="J1019" s="192"/>
      <c r="K1019" s="204"/>
    </row>
    <row r="1020" spans="1:11">
      <c r="A1020" s="183"/>
      <c r="B1020" s="184"/>
      <c r="C1020" s="185"/>
      <c r="D1020" s="186"/>
      <c r="E1020" s="187"/>
      <c r="F1020" s="186"/>
      <c r="G1020" s="190"/>
      <c r="H1020" s="194"/>
      <c r="I1020" s="196"/>
      <c r="J1020" s="192"/>
      <c r="K1020" s="204"/>
    </row>
    <row r="1021" spans="1:11">
      <c r="A1021" s="186"/>
      <c r="B1021" s="184"/>
      <c r="C1021" s="185"/>
      <c r="D1021" s="186"/>
      <c r="E1021" s="187"/>
      <c r="F1021" s="188"/>
      <c r="G1021" s="181"/>
      <c r="H1021" s="194"/>
      <c r="I1021" s="196"/>
      <c r="J1021" s="192"/>
      <c r="K1021" s="204"/>
    </row>
    <row r="1022" spans="1:11" ht="24" customHeight="1">
      <c r="A1022" s="183"/>
      <c r="B1022" s="184"/>
      <c r="C1022" s="185"/>
      <c r="D1022" s="186"/>
      <c r="E1022" s="187"/>
      <c r="F1022" s="186"/>
      <c r="G1022" s="190"/>
      <c r="H1022" s="194"/>
      <c r="I1022" s="196"/>
      <c r="J1022" s="192"/>
      <c r="K1022" s="204"/>
    </row>
    <row r="1023" spans="1:11">
      <c r="A1023" s="186"/>
      <c r="B1023" s="184"/>
      <c r="C1023" s="185"/>
      <c r="D1023" s="186"/>
      <c r="E1023" s="187"/>
      <c r="F1023" s="188"/>
      <c r="G1023" s="181"/>
      <c r="H1023" s="194"/>
      <c r="I1023" s="196"/>
      <c r="J1023" s="192"/>
      <c r="K1023" s="204"/>
    </row>
    <row r="1024" spans="1:11">
      <c r="A1024" s="183"/>
      <c r="B1024" s="184"/>
      <c r="C1024" s="185"/>
      <c r="D1024" s="186"/>
      <c r="E1024" s="187"/>
      <c r="F1024" s="186"/>
      <c r="G1024" s="190"/>
      <c r="H1024" s="194"/>
      <c r="I1024" s="196"/>
      <c r="J1024" s="192"/>
      <c r="K1024" s="204"/>
    </row>
    <row r="1025" spans="1:11" ht="21" customHeight="1">
      <c r="A1025" s="186"/>
      <c r="B1025" s="184"/>
      <c r="C1025" s="185"/>
      <c r="D1025" s="186"/>
      <c r="E1025" s="187"/>
      <c r="F1025" s="188"/>
      <c r="G1025" s="181"/>
      <c r="H1025" s="194"/>
      <c r="I1025" s="196"/>
      <c r="J1025" s="192"/>
      <c r="K1025" s="204"/>
    </row>
    <row r="1026" spans="1:11">
      <c r="A1026" s="183"/>
      <c r="B1026" s="184"/>
      <c r="C1026" s="185"/>
      <c r="D1026" s="186"/>
      <c r="E1026" s="187"/>
      <c r="F1026" s="186"/>
      <c r="G1026" s="190"/>
      <c r="H1026" s="194"/>
      <c r="I1026" s="196"/>
      <c r="J1026" s="192"/>
      <c r="K1026" s="204"/>
    </row>
    <row r="1027" spans="1:11">
      <c r="A1027" s="186"/>
      <c r="B1027" s="184"/>
      <c r="C1027" s="185"/>
      <c r="D1027" s="186"/>
      <c r="E1027" s="187"/>
      <c r="F1027" s="188"/>
      <c r="G1027" s="181"/>
      <c r="H1027" s="194"/>
      <c r="I1027" s="196"/>
      <c r="J1027" s="192"/>
      <c r="K1027" s="204"/>
    </row>
    <row r="1028" spans="1:11" ht="21" customHeight="1">
      <c r="A1028" s="182"/>
      <c r="B1028" s="184"/>
      <c r="C1028" s="185"/>
      <c r="D1028" s="186"/>
      <c r="E1028" s="187"/>
      <c r="F1028" s="186"/>
      <c r="G1028" s="189"/>
      <c r="H1028" s="186"/>
      <c r="I1028" s="191"/>
      <c r="J1028" s="192"/>
      <c r="K1028" s="204"/>
    </row>
    <row r="1029" spans="1:11">
      <c r="A1029" s="183"/>
      <c r="B1029" s="184"/>
      <c r="C1029" s="185"/>
      <c r="D1029" s="186"/>
      <c r="E1029" s="187"/>
      <c r="F1029" s="186"/>
      <c r="G1029" s="190"/>
      <c r="H1029" s="186"/>
      <c r="I1029" s="191"/>
      <c r="J1029" s="192"/>
      <c r="K1029" s="204"/>
    </row>
    <row r="1030" spans="1:11">
      <c r="A1030" s="181"/>
      <c r="B1030" s="184"/>
      <c r="C1030" s="185"/>
      <c r="D1030" s="186"/>
      <c r="E1030" s="187"/>
      <c r="F1030" s="188"/>
      <c r="G1030" s="181"/>
      <c r="H1030" s="186"/>
      <c r="I1030" s="191"/>
      <c r="J1030" s="192"/>
      <c r="K1030" s="204"/>
    </row>
    <row r="1031" spans="1:11" ht="21" customHeight="1">
      <c r="A1031" s="183"/>
      <c r="B1031" s="184"/>
      <c r="C1031" s="189"/>
      <c r="D1031" s="200"/>
      <c r="E1031" s="198"/>
      <c r="F1031" s="186"/>
      <c r="G1031" s="186"/>
      <c r="H1031" s="186"/>
      <c r="I1031" s="196"/>
      <c r="J1031" s="192"/>
      <c r="K1031" s="204"/>
    </row>
    <row r="1032" spans="1:11">
      <c r="A1032" s="186"/>
      <c r="B1032" s="184"/>
      <c r="C1032" s="189"/>
      <c r="D1032" s="200"/>
      <c r="E1032" s="198"/>
      <c r="F1032" s="186"/>
      <c r="G1032" s="186"/>
      <c r="H1032" s="181"/>
      <c r="I1032" s="196"/>
      <c r="J1032" s="192"/>
      <c r="K1032" s="204"/>
    </row>
    <row r="1033" spans="1:11">
      <c r="A1033" s="183"/>
      <c r="B1033" s="184"/>
      <c r="C1033" s="185"/>
      <c r="D1033" s="186"/>
      <c r="E1033" s="187"/>
      <c r="F1033" s="186"/>
      <c r="G1033" s="190"/>
      <c r="H1033" s="194"/>
      <c r="I1033" s="196"/>
      <c r="J1033" s="192"/>
      <c r="K1033" s="204"/>
    </row>
    <row r="1034" spans="1:11" ht="16" customHeight="1">
      <c r="A1034" s="181"/>
      <c r="B1034" s="184"/>
      <c r="C1034" s="185"/>
      <c r="D1034" s="186"/>
      <c r="E1034" s="187"/>
      <c r="F1034" s="188"/>
      <c r="G1034" s="181"/>
      <c r="H1034" s="194"/>
      <c r="I1034" s="196"/>
      <c r="J1034" s="192"/>
      <c r="K1034" s="204"/>
    </row>
    <row r="1035" spans="1:11">
      <c r="A1035" s="183"/>
      <c r="B1035" s="184"/>
      <c r="C1035" s="200"/>
      <c r="D1035" s="186"/>
      <c r="E1035" s="187"/>
      <c r="F1035" s="186"/>
      <c r="G1035" s="190"/>
      <c r="H1035" s="194"/>
      <c r="I1035" s="196"/>
      <c r="J1035" s="192"/>
      <c r="K1035" s="204"/>
    </row>
    <row r="1036" spans="1:11">
      <c r="A1036" s="186"/>
      <c r="B1036" s="184"/>
      <c r="C1036" s="200"/>
      <c r="D1036" s="186"/>
      <c r="E1036" s="187"/>
      <c r="F1036" s="188"/>
      <c r="G1036" s="181"/>
      <c r="H1036" s="194"/>
      <c r="I1036" s="196"/>
      <c r="J1036" s="192"/>
      <c r="K1036" s="204"/>
    </row>
    <row r="1037" spans="1:11" ht="24" customHeight="1">
      <c r="A1037" s="183"/>
      <c r="B1037" s="184"/>
      <c r="C1037" s="185"/>
      <c r="D1037" s="186"/>
      <c r="E1037" s="187"/>
      <c r="F1037" s="186"/>
      <c r="G1037" s="190"/>
      <c r="H1037" s="194"/>
      <c r="I1037" s="196"/>
      <c r="J1037" s="192"/>
      <c r="K1037" s="204"/>
    </row>
    <row r="1038" spans="1:11">
      <c r="A1038" s="186"/>
      <c r="B1038" s="184"/>
      <c r="C1038" s="185"/>
      <c r="D1038" s="186"/>
      <c r="E1038" s="187"/>
      <c r="F1038" s="188"/>
      <c r="G1038" s="181"/>
      <c r="H1038" s="194"/>
      <c r="I1038" s="196"/>
      <c r="J1038" s="192"/>
      <c r="K1038" s="204"/>
    </row>
    <row r="1039" spans="1:11">
      <c r="A1039" s="183"/>
      <c r="B1039" s="184"/>
      <c r="C1039" s="185"/>
      <c r="D1039" s="186"/>
      <c r="E1039" s="187"/>
      <c r="F1039" s="186"/>
      <c r="G1039" s="190"/>
      <c r="H1039" s="194"/>
      <c r="I1039" s="196"/>
      <c r="J1039" s="192"/>
      <c r="K1039" s="204"/>
    </row>
    <row r="1040" spans="1:11">
      <c r="A1040" s="186"/>
      <c r="B1040" s="184"/>
      <c r="C1040" s="185"/>
      <c r="D1040" s="186"/>
      <c r="E1040" s="187"/>
      <c r="F1040" s="188"/>
      <c r="G1040" s="181"/>
      <c r="H1040" s="194"/>
      <c r="I1040" s="196"/>
      <c r="J1040" s="192"/>
      <c r="K1040" s="204"/>
    </row>
    <row r="1041" spans="1:11">
      <c r="A1041" s="183"/>
      <c r="B1041" s="184"/>
      <c r="C1041" s="185"/>
      <c r="D1041" s="186"/>
      <c r="E1041" s="198"/>
      <c r="F1041" s="186"/>
      <c r="G1041" s="186"/>
      <c r="H1041" s="186"/>
      <c r="I1041" s="196"/>
      <c r="J1041" s="192"/>
      <c r="K1041" s="204"/>
    </row>
    <row r="1042" spans="1:11">
      <c r="A1042" s="186"/>
      <c r="B1042" s="184"/>
      <c r="C1042" s="185"/>
      <c r="D1042" s="186"/>
      <c r="E1042" s="198"/>
      <c r="F1042" s="186"/>
      <c r="G1042" s="186"/>
      <c r="H1042" s="181"/>
      <c r="I1042" s="196"/>
      <c r="J1042" s="192"/>
      <c r="K1042" s="204"/>
    </row>
    <row r="1043" spans="1:11" ht="16" customHeight="1">
      <c r="A1043" s="183"/>
      <c r="B1043" s="184"/>
      <c r="C1043" s="185"/>
      <c r="D1043" s="186"/>
      <c r="E1043" s="187"/>
      <c r="F1043" s="186"/>
      <c r="G1043" s="190"/>
      <c r="H1043" s="194"/>
      <c r="I1043" s="196"/>
      <c r="J1043" s="192"/>
      <c r="K1043" s="204"/>
    </row>
    <row r="1044" spans="1:11">
      <c r="A1044" s="186"/>
      <c r="B1044" s="184"/>
      <c r="C1044" s="185"/>
      <c r="D1044" s="186"/>
      <c r="E1044" s="187"/>
      <c r="F1044" s="188"/>
      <c r="G1044" s="181"/>
      <c r="H1044" s="194"/>
      <c r="I1044" s="196"/>
      <c r="J1044" s="192"/>
      <c r="K1044" s="204"/>
    </row>
    <row r="1045" spans="1:11">
      <c r="A1045" s="183"/>
      <c r="B1045" s="184"/>
      <c r="C1045" s="185"/>
      <c r="D1045" s="186"/>
      <c r="E1045" s="187"/>
      <c r="F1045" s="186"/>
      <c r="G1045" s="190"/>
      <c r="H1045" s="194"/>
      <c r="I1045" s="196"/>
      <c r="J1045" s="192"/>
      <c r="K1045" s="204"/>
    </row>
    <row r="1046" spans="1:11" ht="14" customHeight="1">
      <c r="A1046" s="186"/>
      <c r="B1046" s="184"/>
      <c r="C1046" s="185"/>
      <c r="D1046" s="186"/>
      <c r="E1046" s="187"/>
      <c r="F1046" s="188"/>
      <c r="G1046" s="181"/>
      <c r="H1046" s="194"/>
      <c r="I1046" s="196"/>
      <c r="J1046" s="192"/>
      <c r="K1046" s="204"/>
    </row>
    <row r="1047" spans="1:11">
      <c r="A1047" s="183"/>
      <c r="B1047" s="184"/>
      <c r="C1047" s="185"/>
      <c r="D1047" s="186"/>
      <c r="E1047" s="187"/>
      <c r="F1047" s="186"/>
      <c r="G1047" s="190"/>
      <c r="H1047" s="194"/>
      <c r="I1047" s="196"/>
      <c r="J1047" s="192"/>
      <c r="K1047" s="204"/>
    </row>
    <row r="1048" spans="1:11">
      <c r="A1048" s="186"/>
      <c r="B1048" s="184"/>
      <c r="C1048" s="185"/>
      <c r="D1048" s="186"/>
      <c r="E1048" s="187"/>
      <c r="F1048" s="188"/>
      <c r="G1048" s="181"/>
      <c r="H1048" s="194"/>
      <c r="I1048" s="196"/>
      <c r="J1048" s="192"/>
      <c r="K1048" s="204"/>
    </row>
    <row r="1049" spans="1:11">
      <c r="A1049" s="183"/>
      <c r="B1049" s="184"/>
      <c r="C1049" s="185"/>
      <c r="D1049" s="186"/>
      <c r="E1049" s="187"/>
      <c r="F1049" s="186"/>
      <c r="G1049" s="190"/>
      <c r="H1049" s="194"/>
      <c r="I1049" s="196"/>
      <c r="J1049" s="192"/>
      <c r="K1049" s="204"/>
    </row>
    <row r="1050" spans="1:11">
      <c r="A1050" s="186"/>
      <c r="B1050" s="184"/>
      <c r="C1050" s="185"/>
      <c r="D1050" s="186"/>
      <c r="E1050" s="187"/>
      <c r="F1050" s="188"/>
      <c r="G1050" s="181"/>
      <c r="H1050" s="194"/>
      <c r="I1050" s="196"/>
      <c r="J1050" s="192"/>
      <c r="K1050" s="204"/>
    </row>
    <row r="1051" spans="1:11">
      <c r="A1051" s="183"/>
      <c r="B1051" s="184"/>
      <c r="C1051" s="185"/>
      <c r="D1051" s="186"/>
      <c r="E1051" s="187"/>
      <c r="F1051" s="186"/>
      <c r="G1051" s="190"/>
      <c r="H1051" s="194"/>
      <c r="I1051" s="196"/>
      <c r="J1051" s="192"/>
      <c r="K1051" s="204"/>
    </row>
    <row r="1052" spans="1:11">
      <c r="A1052" s="186"/>
      <c r="B1052" s="184"/>
      <c r="C1052" s="185"/>
      <c r="D1052" s="186"/>
      <c r="E1052" s="187"/>
      <c r="F1052" s="188"/>
      <c r="G1052" s="181"/>
      <c r="H1052" s="194"/>
      <c r="I1052" s="196"/>
      <c r="J1052" s="192"/>
      <c r="K1052" s="204"/>
    </row>
    <row r="1053" spans="1:11">
      <c r="A1053" s="183"/>
      <c r="B1053" s="184"/>
      <c r="C1053" s="185"/>
      <c r="D1053" s="186"/>
      <c r="E1053" s="187"/>
      <c r="F1053" s="186"/>
      <c r="G1053" s="190"/>
      <c r="H1053" s="194"/>
      <c r="I1053" s="196"/>
      <c r="J1053" s="192"/>
      <c r="K1053" s="204"/>
    </row>
    <row r="1054" spans="1:11">
      <c r="A1054" s="186"/>
      <c r="B1054" s="184"/>
      <c r="C1054" s="185"/>
      <c r="D1054" s="186"/>
      <c r="E1054" s="187"/>
      <c r="F1054" s="188"/>
      <c r="G1054" s="181"/>
      <c r="H1054" s="194"/>
      <c r="I1054" s="196"/>
      <c r="J1054" s="192"/>
      <c r="K1054" s="204"/>
    </row>
    <row r="1055" spans="1:11">
      <c r="A1055" s="182"/>
      <c r="B1055" s="184"/>
      <c r="C1055" s="185"/>
      <c r="D1055" s="186"/>
      <c r="E1055" s="187"/>
      <c r="F1055" s="186"/>
      <c r="G1055" s="189"/>
      <c r="H1055" s="186"/>
      <c r="I1055" s="191"/>
      <c r="J1055" s="192"/>
      <c r="K1055" s="204"/>
    </row>
    <row r="1056" spans="1:11">
      <c r="A1056" s="183"/>
      <c r="B1056" s="184"/>
      <c r="C1056" s="185"/>
      <c r="D1056" s="186"/>
      <c r="E1056" s="187"/>
      <c r="F1056" s="186"/>
      <c r="G1056" s="190"/>
      <c r="H1056" s="186"/>
      <c r="I1056" s="191"/>
      <c r="J1056" s="192"/>
      <c r="K1056" s="204"/>
    </row>
    <row r="1057" spans="1:11" ht="16" customHeight="1">
      <c r="A1057" s="181"/>
      <c r="B1057" s="184"/>
      <c r="C1057" s="185"/>
      <c r="D1057" s="186"/>
      <c r="E1057" s="187"/>
      <c r="F1057" s="188"/>
      <c r="G1057" s="181"/>
      <c r="H1057" s="186"/>
      <c r="I1057" s="191"/>
      <c r="J1057" s="192"/>
      <c r="K1057" s="204"/>
    </row>
    <row r="1058" spans="1:11">
      <c r="A1058" s="183"/>
      <c r="B1058" s="184"/>
      <c r="C1058" s="185"/>
      <c r="D1058" s="186"/>
      <c r="E1058" s="187"/>
      <c r="F1058" s="186"/>
      <c r="G1058" s="190"/>
      <c r="H1058" s="194"/>
      <c r="I1058" s="196"/>
      <c r="J1058" s="192"/>
      <c r="K1058" s="204"/>
    </row>
    <row r="1059" spans="1:11">
      <c r="A1059" s="186"/>
      <c r="B1059" s="184"/>
      <c r="C1059" s="185"/>
      <c r="D1059" s="186"/>
      <c r="E1059" s="187"/>
      <c r="F1059" s="188"/>
      <c r="G1059" s="181"/>
      <c r="H1059" s="194"/>
      <c r="I1059" s="196"/>
      <c r="J1059" s="192"/>
      <c r="K1059" s="204"/>
    </row>
    <row r="1060" spans="1:11" ht="16" customHeight="1">
      <c r="A1060" s="183"/>
      <c r="B1060" s="184"/>
      <c r="C1060" s="185"/>
      <c r="D1060" s="186"/>
      <c r="E1060" s="187"/>
      <c r="F1060" s="186"/>
      <c r="G1060" s="190"/>
      <c r="H1060" s="194"/>
      <c r="I1060" s="196"/>
      <c r="J1060" s="192"/>
      <c r="K1060" s="204"/>
    </row>
    <row r="1061" spans="1:11">
      <c r="A1061" s="186"/>
      <c r="B1061" s="184"/>
      <c r="C1061" s="185"/>
      <c r="D1061" s="186"/>
      <c r="E1061" s="187"/>
      <c r="F1061" s="188"/>
      <c r="G1061" s="181"/>
      <c r="H1061" s="194"/>
      <c r="I1061" s="196"/>
      <c r="J1061" s="192"/>
      <c r="K1061" s="204"/>
    </row>
    <row r="1062" spans="1:11">
      <c r="A1062" s="183"/>
      <c r="B1062" s="184"/>
      <c r="C1062" s="200"/>
      <c r="D1062" s="186"/>
      <c r="E1062" s="187"/>
      <c r="F1062" s="186"/>
      <c r="G1062" s="190"/>
      <c r="H1062" s="194"/>
      <c r="I1062" s="196"/>
      <c r="J1062" s="192"/>
      <c r="K1062" s="204"/>
    </row>
    <row r="1063" spans="1:11">
      <c r="A1063" s="186"/>
      <c r="B1063" s="184"/>
      <c r="C1063" s="200"/>
      <c r="D1063" s="186"/>
      <c r="E1063" s="187"/>
      <c r="F1063" s="188"/>
      <c r="G1063" s="181"/>
      <c r="H1063" s="194"/>
      <c r="I1063" s="196"/>
      <c r="J1063" s="192"/>
      <c r="K1063" s="204"/>
    </row>
    <row r="1064" spans="1:11">
      <c r="A1064" s="182"/>
      <c r="B1064" s="184"/>
      <c r="C1064" s="203"/>
      <c r="D1064" s="186"/>
      <c r="E1064" s="198"/>
      <c r="F1064" s="186"/>
      <c r="G1064" s="186"/>
      <c r="H1064" s="186"/>
      <c r="I1064" s="191"/>
      <c r="J1064" s="193"/>
      <c r="K1064" s="204"/>
    </row>
    <row r="1065" spans="1:11">
      <c r="A1065" s="183"/>
      <c r="B1065" s="184"/>
      <c r="C1065" s="203"/>
      <c r="D1065" s="186"/>
      <c r="E1065" s="198"/>
      <c r="F1065" s="186"/>
      <c r="G1065" s="186"/>
      <c r="H1065" s="186"/>
      <c r="I1065" s="191"/>
      <c r="J1065" s="193"/>
      <c r="K1065" s="204"/>
    </row>
    <row r="1066" spans="1:11">
      <c r="A1066" s="183"/>
      <c r="B1066" s="184"/>
      <c r="C1066" s="197"/>
      <c r="D1066" s="186"/>
      <c r="E1066" s="198"/>
      <c r="F1066" s="186"/>
      <c r="G1066" s="186"/>
      <c r="H1066" s="194"/>
      <c r="I1066" s="196"/>
      <c r="J1066" s="192"/>
      <c r="K1066" s="204"/>
    </row>
    <row r="1067" spans="1:11">
      <c r="A1067" s="186"/>
      <c r="B1067" s="184"/>
      <c r="C1067" s="197"/>
      <c r="D1067" s="186"/>
      <c r="E1067" s="198"/>
      <c r="F1067" s="186"/>
      <c r="G1067" s="186"/>
      <c r="H1067" s="194"/>
      <c r="I1067" s="196"/>
      <c r="J1067" s="192"/>
      <c r="K1067" s="204"/>
    </row>
    <row r="1068" spans="1:11">
      <c r="A1068" s="183"/>
      <c r="B1068" s="184"/>
      <c r="C1068" s="185"/>
      <c r="D1068" s="186"/>
      <c r="E1068" s="187"/>
      <c r="F1068" s="186"/>
      <c r="G1068" s="190"/>
      <c r="H1068" s="194"/>
      <c r="I1068" s="196"/>
      <c r="J1068" s="192"/>
      <c r="K1068" s="204"/>
    </row>
    <row r="1069" spans="1:11" ht="21" customHeight="1">
      <c r="A1069" s="186"/>
      <c r="B1069" s="184"/>
      <c r="C1069" s="185"/>
      <c r="D1069" s="186"/>
      <c r="E1069" s="187"/>
      <c r="F1069" s="188"/>
      <c r="G1069" s="181"/>
      <c r="H1069" s="194"/>
      <c r="I1069" s="196"/>
      <c r="J1069" s="192"/>
      <c r="K1069" s="204"/>
    </row>
    <row r="1070" spans="1:11">
      <c r="A1070" s="183"/>
      <c r="B1070" s="184"/>
      <c r="C1070" s="185"/>
      <c r="D1070" s="186"/>
      <c r="E1070" s="187"/>
      <c r="F1070" s="186"/>
      <c r="G1070" s="190"/>
      <c r="H1070" s="194"/>
      <c r="I1070" s="196"/>
      <c r="J1070" s="192"/>
      <c r="K1070" s="204"/>
    </row>
    <row r="1071" spans="1:11">
      <c r="A1071" s="186"/>
      <c r="B1071" s="184"/>
      <c r="C1071" s="185"/>
      <c r="D1071" s="186"/>
      <c r="E1071" s="187"/>
      <c r="F1071" s="188"/>
      <c r="G1071" s="181"/>
      <c r="H1071" s="194"/>
      <c r="I1071" s="196"/>
      <c r="J1071" s="192"/>
      <c r="K1071" s="204"/>
    </row>
    <row r="1072" spans="1:11">
      <c r="A1072" s="183"/>
      <c r="B1072" s="184"/>
      <c r="C1072" s="202"/>
      <c r="D1072" s="186"/>
      <c r="E1072" s="187"/>
      <c r="F1072" s="186"/>
      <c r="G1072" s="190"/>
      <c r="H1072" s="194"/>
      <c r="I1072" s="196"/>
      <c r="J1072" s="192"/>
      <c r="K1072" s="204"/>
    </row>
    <row r="1073" spans="1:11">
      <c r="A1073" s="186"/>
      <c r="B1073" s="184"/>
      <c r="C1073" s="202"/>
      <c r="D1073" s="186"/>
      <c r="E1073" s="187"/>
      <c r="F1073" s="188"/>
      <c r="G1073" s="181"/>
      <c r="H1073" s="194"/>
      <c r="I1073" s="196"/>
      <c r="J1073" s="192"/>
      <c r="K1073" s="204"/>
    </row>
    <row r="1074" spans="1:11">
      <c r="A1074" s="183"/>
      <c r="B1074" s="184"/>
      <c r="C1074" s="189"/>
      <c r="D1074" s="200"/>
      <c r="E1074" s="198"/>
      <c r="F1074" s="186"/>
      <c r="G1074" s="186"/>
      <c r="H1074" s="194"/>
      <c r="I1074" s="196"/>
      <c r="J1074" s="192"/>
      <c r="K1074" s="204"/>
    </row>
    <row r="1075" spans="1:11">
      <c r="A1075" s="199"/>
      <c r="B1075" s="184"/>
      <c r="C1075" s="189"/>
      <c r="D1075" s="200"/>
      <c r="E1075" s="198"/>
      <c r="F1075" s="186"/>
      <c r="G1075" s="186"/>
      <c r="H1075" s="194"/>
      <c r="I1075" s="196"/>
      <c r="J1075" s="192"/>
      <c r="K1075" s="204"/>
    </row>
    <row r="1076" spans="1:11">
      <c r="A1076" s="182"/>
      <c r="B1076" s="184"/>
      <c r="C1076" s="185"/>
      <c r="D1076" s="186"/>
      <c r="E1076" s="187"/>
      <c r="F1076" s="186"/>
      <c r="G1076" s="189"/>
      <c r="H1076" s="186"/>
      <c r="I1076" s="191"/>
      <c r="J1076" s="192"/>
      <c r="K1076" s="204"/>
    </row>
    <row r="1077" spans="1:11">
      <c r="A1077" s="183"/>
      <c r="B1077" s="184"/>
      <c r="C1077" s="185"/>
      <c r="D1077" s="186"/>
      <c r="E1077" s="187"/>
      <c r="F1077" s="186"/>
      <c r="G1077" s="190"/>
      <c r="H1077" s="186"/>
      <c r="I1077" s="191"/>
      <c r="J1077" s="192"/>
      <c r="K1077" s="204"/>
    </row>
    <row r="1078" spans="1:11" ht="14" customHeight="1">
      <c r="A1078" s="186"/>
      <c r="B1078" s="184"/>
      <c r="C1078" s="185"/>
      <c r="D1078" s="186"/>
      <c r="E1078" s="187"/>
      <c r="F1078" s="188"/>
      <c r="G1078" s="181"/>
      <c r="H1078" s="186"/>
      <c r="I1078" s="191"/>
      <c r="J1078" s="192"/>
      <c r="K1078" s="204"/>
    </row>
    <row r="1079" spans="1:11">
      <c r="A1079" s="183"/>
      <c r="B1079" s="184"/>
      <c r="C1079" s="185"/>
      <c r="D1079" s="186"/>
      <c r="E1079" s="187"/>
      <c r="F1079" s="186"/>
      <c r="G1079" s="190"/>
      <c r="H1079" s="194"/>
      <c r="I1079" s="196"/>
      <c r="J1079" s="192"/>
      <c r="K1079" s="204"/>
    </row>
    <row r="1080" spans="1:11">
      <c r="A1080" s="181"/>
      <c r="B1080" s="184"/>
      <c r="C1080" s="185"/>
      <c r="D1080" s="186"/>
      <c r="E1080" s="187"/>
      <c r="F1080" s="188"/>
      <c r="G1080" s="181"/>
      <c r="H1080" s="194"/>
      <c r="I1080" s="196"/>
      <c r="J1080" s="192"/>
      <c r="K1080" s="204"/>
    </row>
    <row r="1081" spans="1:11" ht="16" customHeight="1">
      <c r="A1081" s="183"/>
      <c r="B1081" s="184"/>
      <c r="C1081" s="185"/>
      <c r="D1081" s="186"/>
      <c r="E1081" s="187"/>
      <c r="F1081" s="186"/>
      <c r="G1081" s="190"/>
      <c r="H1081" s="194"/>
      <c r="I1081" s="196"/>
      <c r="J1081" s="192"/>
      <c r="K1081" s="204"/>
    </row>
    <row r="1082" spans="1:11">
      <c r="A1082" s="181"/>
      <c r="B1082" s="184"/>
      <c r="C1082" s="185"/>
      <c r="D1082" s="186"/>
      <c r="E1082" s="187"/>
      <c r="F1082" s="188"/>
      <c r="G1082" s="181"/>
      <c r="H1082" s="194"/>
      <c r="I1082" s="196"/>
      <c r="J1082" s="192"/>
      <c r="K1082" s="204"/>
    </row>
    <row r="1083" spans="1:11">
      <c r="A1083" s="183"/>
      <c r="B1083" s="184"/>
      <c r="C1083" s="185"/>
      <c r="D1083" s="186"/>
      <c r="E1083" s="187"/>
      <c r="F1083" s="186"/>
      <c r="G1083" s="190"/>
      <c r="H1083" s="194"/>
      <c r="I1083" s="196"/>
      <c r="J1083" s="192"/>
      <c r="K1083" s="204"/>
    </row>
    <row r="1084" spans="1:11" ht="21" customHeight="1">
      <c r="A1084" s="186"/>
      <c r="B1084" s="184"/>
      <c r="C1084" s="185"/>
      <c r="D1084" s="186"/>
      <c r="E1084" s="187"/>
      <c r="F1084" s="188"/>
      <c r="G1084" s="181"/>
      <c r="H1084" s="194"/>
      <c r="I1084" s="196"/>
      <c r="J1084" s="192"/>
      <c r="K1084" s="204"/>
    </row>
    <row r="1085" spans="1:11">
      <c r="A1085" s="183"/>
      <c r="B1085" s="184"/>
      <c r="C1085" s="185"/>
      <c r="D1085" s="186"/>
      <c r="E1085" s="187"/>
      <c r="F1085" s="186"/>
      <c r="G1085" s="190"/>
      <c r="H1085" s="194"/>
      <c r="I1085" s="196"/>
      <c r="J1085" s="192"/>
      <c r="K1085" s="204"/>
    </row>
    <row r="1086" spans="1:11">
      <c r="A1086" s="186"/>
      <c r="B1086" s="184"/>
      <c r="C1086" s="185"/>
      <c r="D1086" s="186"/>
      <c r="E1086" s="187"/>
      <c r="F1086" s="188"/>
      <c r="G1086" s="181"/>
      <c r="H1086" s="194"/>
      <c r="I1086" s="196"/>
      <c r="J1086" s="192"/>
      <c r="K1086" s="204"/>
    </row>
    <row r="1087" spans="1:11" ht="21" customHeight="1">
      <c r="A1087" s="183"/>
      <c r="B1087" s="184"/>
      <c r="C1087" s="185"/>
      <c r="D1087" s="186"/>
      <c r="E1087" s="187"/>
      <c r="F1087" s="186"/>
      <c r="G1087" s="190"/>
      <c r="H1087" s="194"/>
      <c r="I1087" s="196"/>
      <c r="J1087" s="192"/>
      <c r="K1087" s="204"/>
    </row>
    <row r="1088" spans="1:11">
      <c r="A1088" s="186"/>
      <c r="B1088" s="184"/>
      <c r="C1088" s="185"/>
      <c r="D1088" s="186"/>
      <c r="E1088" s="187"/>
      <c r="F1088" s="188"/>
      <c r="G1088" s="181"/>
      <c r="H1088" s="194"/>
      <c r="I1088" s="196"/>
      <c r="J1088" s="192"/>
      <c r="K1088" s="204"/>
    </row>
    <row r="1089" spans="1:11">
      <c r="A1089" s="183"/>
      <c r="B1089" s="184"/>
      <c r="C1089" s="185"/>
      <c r="D1089" s="186"/>
      <c r="E1089" s="187"/>
      <c r="F1089" s="186"/>
      <c r="G1089" s="190"/>
      <c r="H1089" s="194"/>
      <c r="I1089" s="196"/>
      <c r="J1089" s="192"/>
      <c r="K1089" s="204"/>
    </row>
    <row r="1090" spans="1:11">
      <c r="A1090" s="186"/>
      <c r="B1090" s="184"/>
      <c r="C1090" s="185"/>
      <c r="D1090" s="186"/>
      <c r="E1090" s="187"/>
      <c r="F1090" s="188"/>
      <c r="G1090" s="181"/>
      <c r="H1090" s="194"/>
      <c r="I1090" s="196"/>
      <c r="J1090" s="192"/>
      <c r="K1090" s="204"/>
    </row>
    <row r="1091" spans="1:11">
      <c r="A1091" s="183"/>
      <c r="B1091" s="184"/>
      <c r="C1091" s="185"/>
      <c r="D1091" s="186"/>
      <c r="E1091" s="187"/>
      <c r="F1091" s="186"/>
      <c r="G1091" s="190"/>
      <c r="H1091" s="194"/>
      <c r="I1091" s="196"/>
      <c r="J1091" s="192"/>
      <c r="K1091" s="204"/>
    </row>
    <row r="1092" spans="1:11">
      <c r="A1092" s="186"/>
      <c r="B1092" s="184"/>
      <c r="C1092" s="185"/>
      <c r="D1092" s="186"/>
      <c r="E1092" s="187"/>
      <c r="F1092" s="188"/>
      <c r="G1092" s="181"/>
      <c r="H1092" s="194"/>
      <c r="I1092" s="196"/>
      <c r="J1092" s="192"/>
      <c r="K1092" s="204"/>
    </row>
    <row r="1093" spans="1:11">
      <c r="A1093" s="183"/>
      <c r="B1093" s="184"/>
      <c r="C1093" s="185"/>
      <c r="D1093" s="186"/>
      <c r="E1093" s="187"/>
      <c r="F1093" s="186"/>
      <c r="G1093" s="190"/>
      <c r="H1093" s="194"/>
      <c r="I1093" s="196"/>
      <c r="J1093" s="192"/>
      <c r="K1093" s="204"/>
    </row>
    <row r="1094" spans="1:11">
      <c r="A1094" s="186"/>
      <c r="B1094" s="184"/>
      <c r="C1094" s="185"/>
      <c r="D1094" s="186"/>
      <c r="E1094" s="187"/>
      <c r="F1094" s="188"/>
      <c r="G1094" s="181"/>
      <c r="H1094" s="194"/>
      <c r="I1094" s="196"/>
      <c r="J1094" s="192"/>
      <c r="K1094" s="204"/>
    </row>
    <row r="1095" spans="1:11">
      <c r="A1095" s="183"/>
      <c r="B1095" s="184"/>
      <c r="C1095" s="203"/>
      <c r="D1095" s="186"/>
      <c r="E1095" s="198"/>
      <c r="F1095" s="186"/>
      <c r="G1095" s="186"/>
      <c r="H1095" s="194"/>
      <c r="I1095" s="196"/>
      <c r="J1095" s="192"/>
      <c r="K1095" s="204"/>
    </row>
    <row r="1096" spans="1:11">
      <c r="A1096" s="186"/>
      <c r="B1096" s="184"/>
      <c r="C1096" s="203"/>
      <c r="D1096" s="186"/>
      <c r="E1096" s="198"/>
      <c r="F1096" s="186"/>
      <c r="G1096" s="186"/>
      <c r="H1096" s="194"/>
      <c r="I1096" s="196"/>
      <c r="J1096" s="192"/>
      <c r="K1096" s="204"/>
    </row>
    <row r="1097" spans="1:11">
      <c r="A1097" s="183"/>
      <c r="B1097" s="184"/>
      <c r="C1097" s="185"/>
      <c r="D1097" s="186"/>
      <c r="E1097" s="187"/>
      <c r="F1097" s="186"/>
      <c r="G1097" s="190"/>
      <c r="H1097" s="194"/>
      <c r="I1097" s="196"/>
      <c r="J1097" s="192"/>
      <c r="K1097" s="204"/>
    </row>
    <row r="1098" spans="1:11">
      <c r="A1098" s="186"/>
      <c r="B1098" s="184"/>
      <c r="C1098" s="185"/>
      <c r="D1098" s="186"/>
      <c r="E1098" s="187"/>
      <c r="F1098" s="188"/>
      <c r="G1098" s="181"/>
      <c r="H1098" s="194"/>
      <c r="I1098" s="196"/>
      <c r="J1098" s="192"/>
      <c r="K1098" s="204"/>
    </row>
    <row r="1099" spans="1:11">
      <c r="A1099" s="183"/>
      <c r="B1099" s="184"/>
      <c r="C1099" s="185"/>
      <c r="D1099" s="186"/>
      <c r="E1099" s="187"/>
      <c r="F1099" s="186"/>
      <c r="G1099" s="190"/>
      <c r="H1099" s="194"/>
      <c r="I1099" s="196"/>
      <c r="J1099" s="192"/>
      <c r="K1099" s="204"/>
    </row>
    <row r="1100" spans="1:11">
      <c r="A1100" s="186"/>
      <c r="B1100" s="184"/>
      <c r="C1100" s="185"/>
      <c r="D1100" s="186"/>
      <c r="E1100" s="187"/>
      <c r="F1100" s="188"/>
      <c r="G1100" s="181"/>
      <c r="H1100" s="194"/>
      <c r="I1100" s="196"/>
      <c r="J1100" s="192"/>
      <c r="K1100" s="204"/>
    </row>
    <row r="1101" spans="1:11">
      <c r="A1101" s="183"/>
      <c r="B1101" s="184"/>
      <c r="C1101" s="185"/>
      <c r="D1101" s="186"/>
      <c r="E1101" s="187"/>
      <c r="F1101" s="186"/>
      <c r="G1101" s="190"/>
      <c r="H1101" s="194"/>
      <c r="I1101" s="196"/>
      <c r="J1101" s="192"/>
      <c r="K1101" s="204"/>
    </row>
    <row r="1102" spans="1:11" ht="21" customHeight="1">
      <c r="A1102" s="186"/>
      <c r="B1102" s="184"/>
      <c r="C1102" s="185"/>
      <c r="D1102" s="186"/>
      <c r="E1102" s="187"/>
      <c r="F1102" s="188"/>
      <c r="G1102" s="181"/>
      <c r="H1102" s="194"/>
      <c r="I1102" s="196"/>
      <c r="J1102" s="192"/>
      <c r="K1102" s="204"/>
    </row>
    <row r="1103" spans="1:11">
      <c r="A1103" s="183"/>
      <c r="B1103" s="184"/>
      <c r="C1103" s="185"/>
      <c r="D1103" s="186"/>
      <c r="E1103" s="198"/>
      <c r="F1103" s="186"/>
      <c r="G1103" s="186"/>
      <c r="H1103" s="186"/>
      <c r="I1103" s="196"/>
      <c r="J1103" s="192"/>
      <c r="K1103" s="204"/>
    </row>
    <row r="1104" spans="1:11">
      <c r="A1104" s="186"/>
      <c r="B1104" s="184"/>
      <c r="C1104" s="185"/>
      <c r="D1104" s="186"/>
      <c r="E1104" s="198"/>
      <c r="F1104" s="186"/>
      <c r="G1104" s="186"/>
      <c r="H1104" s="181"/>
      <c r="I1104" s="196"/>
      <c r="J1104" s="192"/>
      <c r="K1104" s="204"/>
    </row>
    <row r="1105" spans="1:11" ht="21" customHeight="1">
      <c r="A1105" s="183"/>
      <c r="B1105" s="184"/>
      <c r="C1105" s="185"/>
      <c r="D1105" s="186"/>
      <c r="E1105" s="187"/>
      <c r="F1105" s="186"/>
      <c r="G1105" s="190"/>
      <c r="H1105" s="194"/>
      <c r="I1105" s="196"/>
      <c r="J1105" s="192"/>
      <c r="K1105" s="204"/>
    </row>
    <row r="1106" spans="1:11">
      <c r="A1106" s="186"/>
      <c r="B1106" s="184"/>
      <c r="C1106" s="185"/>
      <c r="D1106" s="186"/>
      <c r="E1106" s="187"/>
      <c r="F1106" s="188"/>
      <c r="G1106" s="181"/>
      <c r="H1106" s="194"/>
      <c r="I1106" s="196"/>
      <c r="J1106" s="192"/>
      <c r="K1106" s="204"/>
    </row>
    <row r="1107" spans="1:11">
      <c r="A1107" s="183"/>
      <c r="B1107" s="184"/>
      <c r="C1107" s="203"/>
      <c r="D1107" s="186"/>
      <c r="E1107" s="187"/>
      <c r="F1107" s="186"/>
      <c r="G1107" s="190"/>
      <c r="H1107" s="194"/>
      <c r="I1107" s="196"/>
      <c r="J1107" s="192"/>
      <c r="K1107" s="204"/>
    </row>
    <row r="1108" spans="1:11">
      <c r="A1108" s="186"/>
      <c r="B1108" s="184"/>
      <c r="C1108" s="203"/>
      <c r="D1108" s="186"/>
      <c r="E1108" s="187"/>
      <c r="F1108" s="188"/>
      <c r="G1108" s="181"/>
      <c r="H1108" s="194"/>
      <c r="I1108" s="196"/>
      <c r="J1108" s="192"/>
      <c r="K1108" s="204"/>
    </row>
    <row r="1109" spans="1:11">
      <c r="A1109" s="183"/>
      <c r="B1109" s="184"/>
      <c r="C1109" s="185"/>
      <c r="D1109" s="186"/>
      <c r="E1109" s="187"/>
      <c r="F1109" s="186"/>
      <c r="G1109" s="190"/>
      <c r="H1109" s="194"/>
      <c r="I1109" s="196"/>
      <c r="J1109" s="192"/>
      <c r="K1109" s="204"/>
    </row>
    <row r="1110" spans="1:11">
      <c r="A1110" s="186"/>
      <c r="B1110" s="184"/>
      <c r="C1110" s="185"/>
      <c r="D1110" s="186"/>
      <c r="E1110" s="187"/>
      <c r="F1110" s="188"/>
      <c r="G1110" s="181"/>
      <c r="H1110" s="194"/>
      <c r="I1110" s="196"/>
      <c r="J1110" s="192"/>
      <c r="K1110" s="204"/>
    </row>
    <row r="1111" spans="1:11" ht="24" customHeight="1">
      <c r="A1111" s="183"/>
      <c r="B1111" s="184"/>
      <c r="C1111" s="185"/>
      <c r="D1111" s="186"/>
      <c r="E1111" s="198"/>
      <c r="F1111" s="186"/>
      <c r="G1111" s="186"/>
      <c r="H1111" s="186"/>
      <c r="I1111" s="196"/>
      <c r="J1111" s="192"/>
      <c r="K1111" s="204"/>
    </row>
    <row r="1112" spans="1:11">
      <c r="A1112" s="186"/>
      <c r="B1112" s="184"/>
      <c r="C1112" s="185"/>
      <c r="D1112" s="186"/>
      <c r="E1112" s="198"/>
      <c r="F1112" s="186"/>
      <c r="G1112" s="186"/>
      <c r="H1112" s="181"/>
      <c r="I1112" s="196"/>
      <c r="J1112" s="192"/>
      <c r="K1112" s="204"/>
    </row>
    <row r="1113" spans="1:11">
      <c r="A1113" s="183"/>
      <c r="B1113" s="184"/>
      <c r="C1113" s="203"/>
      <c r="D1113" s="186"/>
      <c r="E1113" s="198"/>
      <c r="F1113" s="186"/>
      <c r="G1113" s="186"/>
      <c r="H1113" s="186"/>
      <c r="I1113" s="196"/>
      <c r="J1113" s="192"/>
      <c r="K1113" s="204"/>
    </row>
    <row r="1114" spans="1:11" ht="24" customHeight="1">
      <c r="A1114" s="186"/>
      <c r="B1114" s="184"/>
      <c r="C1114" s="203"/>
      <c r="D1114" s="186"/>
      <c r="E1114" s="198"/>
      <c r="F1114" s="186"/>
      <c r="G1114" s="186"/>
      <c r="H1114" s="181"/>
      <c r="I1114" s="196"/>
      <c r="J1114" s="192"/>
      <c r="K1114" s="204"/>
    </row>
    <row r="1115" spans="1:11">
      <c r="A1115" s="183"/>
      <c r="B1115" s="184"/>
      <c r="C1115" s="185"/>
      <c r="D1115" s="186"/>
      <c r="E1115" s="187"/>
      <c r="F1115" s="186"/>
      <c r="G1115" s="190"/>
      <c r="H1115" s="194"/>
      <c r="I1115" s="196"/>
      <c r="J1115" s="192"/>
      <c r="K1115" s="204"/>
    </row>
    <row r="1116" spans="1:11">
      <c r="A1116" s="186"/>
      <c r="B1116" s="184"/>
      <c r="C1116" s="185"/>
      <c r="D1116" s="186"/>
      <c r="E1116" s="187"/>
      <c r="F1116" s="188"/>
      <c r="G1116" s="181"/>
      <c r="H1116" s="194"/>
      <c r="I1116" s="196"/>
      <c r="J1116" s="192"/>
      <c r="K1116" s="204"/>
    </row>
    <row r="1117" spans="1:11">
      <c r="A1117" s="183"/>
      <c r="B1117" s="184"/>
      <c r="C1117" s="185"/>
      <c r="D1117" s="186"/>
      <c r="E1117" s="187"/>
      <c r="F1117" s="186"/>
      <c r="G1117" s="190"/>
      <c r="H1117" s="194"/>
      <c r="I1117" s="196"/>
      <c r="J1117" s="192"/>
      <c r="K1117" s="204"/>
    </row>
    <row r="1118" spans="1:11">
      <c r="A1118" s="186"/>
      <c r="B1118" s="184"/>
      <c r="C1118" s="185"/>
      <c r="D1118" s="186"/>
      <c r="E1118" s="187"/>
      <c r="F1118" s="188"/>
      <c r="G1118" s="181"/>
      <c r="H1118" s="194"/>
      <c r="I1118" s="196"/>
      <c r="J1118" s="192"/>
      <c r="K1118" s="204"/>
    </row>
    <row r="1119" spans="1:11">
      <c r="A1119" s="183"/>
      <c r="B1119" s="184"/>
      <c r="C1119" s="189"/>
      <c r="D1119" s="200"/>
      <c r="E1119" s="198"/>
      <c r="F1119" s="186"/>
      <c r="G1119" s="186"/>
      <c r="H1119" s="186"/>
      <c r="I1119" s="196"/>
      <c r="J1119" s="192"/>
      <c r="K1119" s="204"/>
    </row>
    <row r="1120" spans="1:11" ht="16" customHeight="1">
      <c r="A1120" s="186"/>
      <c r="B1120" s="184"/>
      <c r="C1120" s="189"/>
      <c r="D1120" s="200"/>
      <c r="E1120" s="198"/>
      <c r="F1120" s="186"/>
      <c r="G1120" s="186"/>
      <c r="H1120" s="181"/>
      <c r="I1120" s="196"/>
      <c r="J1120" s="192"/>
      <c r="K1120" s="204"/>
    </row>
    <row r="1121" spans="1:11">
      <c r="A1121" s="183"/>
      <c r="B1121" s="184"/>
      <c r="C1121" s="189"/>
      <c r="D1121" s="200"/>
      <c r="E1121" s="198"/>
      <c r="F1121" s="186"/>
      <c r="G1121" s="186"/>
      <c r="H1121" s="186"/>
      <c r="I1121" s="196"/>
      <c r="J1121" s="192"/>
      <c r="K1121" s="204"/>
    </row>
    <row r="1122" spans="1:11">
      <c r="A1122" s="186"/>
      <c r="B1122" s="184"/>
      <c r="C1122" s="189"/>
      <c r="D1122" s="200"/>
      <c r="E1122" s="198"/>
      <c r="F1122" s="186"/>
      <c r="G1122" s="186"/>
      <c r="H1122" s="181"/>
      <c r="I1122" s="196"/>
      <c r="J1122" s="192"/>
      <c r="K1122" s="204"/>
    </row>
    <row r="1123" spans="1:11" ht="21" customHeight="1">
      <c r="A1123" s="183"/>
      <c r="B1123" s="184"/>
      <c r="C1123" s="189"/>
      <c r="D1123" s="202"/>
      <c r="E1123" s="198"/>
      <c r="F1123" s="186"/>
      <c r="G1123" s="186"/>
      <c r="H1123" s="194"/>
      <c r="I1123" s="196"/>
      <c r="J1123" s="192"/>
      <c r="K1123" s="204"/>
    </row>
    <row r="1124" spans="1:11">
      <c r="A1124" s="199"/>
      <c r="B1124" s="184"/>
      <c r="C1124" s="189"/>
      <c r="D1124" s="202"/>
      <c r="E1124" s="198"/>
      <c r="F1124" s="186"/>
      <c r="G1124" s="186"/>
      <c r="H1124" s="194"/>
      <c r="I1124" s="196"/>
      <c r="J1124" s="192"/>
      <c r="K1124" s="204"/>
    </row>
    <row r="1125" spans="1:11">
      <c r="A1125" s="183"/>
      <c r="B1125" s="184"/>
      <c r="C1125" s="185"/>
      <c r="D1125" s="186"/>
      <c r="E1125" s="187"/>
      <c r="F1125" s="186"/>
      <c r="G1125" s="190"/>
      <c r="H1125" s="194"/>
      <c r="I1125" s="196"/>
      <c r="J1125" s="192"/>
      <c r="K1125" s="204"/>
    </row>
    <row r="1126" spans="1:11" ht="16" customHeight="1">
      <c r="A1126" s="186"/>
      <c r="B1126" s="184"/>
      <c r="C1126" s="185"/>
      <c r="D1126" s="186"/>
      <c r="E1126" s="187"/>
      <c r="F1126" s="188"/>
      <c r="G1126" s="181"/>
      <c r="H1126" s="194"/>
      <c r="I1126" s="196"/>
      <c r="J1126" s="192"/>
      <c r="K1126" s="204"/>
    </row>
    <row r="1127" spans="1:11">
      <c r="A1127" s="183"/>
      <c r="B1127" s="184"/>
      <c r="C1127" s="203"/>
      <c r="D1127" s="186"/>
      <c r="E1127" s="198"/>
      <c r="F1127" s="186"/>
      <c r="G1127" s="186"/>
      <c r="H1127" s="194"/>
      <c r="I1127" s="196"/>
      <c r="J1127" s="192"/>
      <c r="K1127" s="204"/>
    </row>
    <row r="1128" spans="1:11">
      <c r="A1128" s="186"/>
      <c r="B1128" s="184"/>
      <c r="C1128" s="203"/>
      <c r="D1128" s="186"/>
      <c r="E1128" s="198"/>
      <c r="F1128" s="186"/>
      <c r="G1128" s="186"/>
      <c r="H1128" s="194"/>
      <c r="I1128" s="196"/>
      <c r="J1128" s="192"/>
      <c r="K1128" s="204"/>
    </row>
    <row r="1129" spans="1:11" ht="21" customHeight="1">
      <c r="A1129" s="183"/>
      <c r="B1129" s="184"/>
      <c r="C1129" s="189"/>
      <c r="D1129" s="200"/>
      <c r="E1129" s="198"/>
      <c r="F1129" s="186"/>
      <c r="G1129" s="186"/>
      <c r="H1129" s="186"/>
      <c r="I1129" s="196"/>
      <c r="J1129" s="192"/>
      <c r="K1129" s="204"/>
    </row>
    <row r="1130" spans="1:11">
      <c r="A1130" s="186"/>
      <c r="B1130" s="184"/>
      <c r="C1130" s="189"/>
      <c r="D1130" s="200"/>
      <c r="E1130" s="198"/>
      <c r="F1130" s="186"/>
      <c r="G1130" s="186"/>
      <c r="H1130" s="181"/>
      <c r="I1130" s="196"/>
      <c r="J1130" s="192"/>
      <c r="K1130" s="204"/>
    </row>
    <row r="1131" spans="1:11">
      <c r="A1131" s="183"/>
      <c r="B1131" s="184"/>
      <c r="C1131" s="203"/>
      <c r="D1131" s="186"/>
      <c r="E1131" s="187"/>
      <c r="F1131" s="186"/>
      <c r="G1131" s="186"/>
      <c r="H1131" s="186"/>
      <c r="I1131" s="196"/>
      <c r="J1131" s="192"/>
      <c r="K1131" s="204"/>
    </row>
    <row r="1132" spans="1:11" ht="16" customHeight="1">
      <c r="A1132" s="186"/>
      <c r="B1132" s="184"/>
      <c r="C1132" s="203"/>
      <c r="D1132" s="186"/>
      <c r="E1132" s="187"/>
      <c r="F1132" s="188"/>
      <c r="G1132" s="186"/>
      <c r="H1132" s="181"/>
      <c r="I1132" s="196"/>
      <c r="J1132" s="192"/>
      <c r="K1132" s="204"/>
    </row>
    <row r="1133" spans="1:11">
      <c r="A1133" s="183"/>
      <c r="B1133" s="184"/>
      <c r="C1133" s="185"/>
      <c r="D1133" s="186"/>
      <c r="E1133" s="187"/>
      <c r="F1133" s="186"/>
      <c r="G1133" s="190"/>
      <c r="H1133" s="194"/>
      <c r="I1133" s="196"/>
      <c r="J1133" s="192"/>
      <c r="K1133" s="204"/>
    </row>
    <row r="1134" spans="1:11">
      <c r="A1134" s="186"/>
      <c r="B1134" s="184"/>
      <c r="C1134" s="185"/>
      <c r="D1134" s="186"/>
      <c r="E1134" s="187"/>
      <c r="F1134" s="188"/>
      <c r="G1134" s="181"/>
      <c r="H1134" s="194"/>
      <c r="I1134" s="196"/>
      <c r="J1134" s="192"/>
      <c r="K1134" s="204"/>
    </row>
    <row r="1135" spans="1:11" ht="21" customHeight="1">
      <c r="A1135" s="183"/>
      <c r="B1135" s="184"/>
      <c r="C1135" s="189"/>
      <c r="D1135" s="202"/>
      <c r="E1135" s="198"/>
      <c r="F1135" s="186"/>
      <c r="G1135" s="186"/>
      <c r="H1135" s="186"/>
      <c r="I1135" s="196"/>
      <c r="J1135" s="192"/>
      <c r="K1135" s="204"/>
    </row>
    <row r="1136" spans="1:11">
      <c r="A1136" s="186"/>
      <c r="B1136" s="184"/>
      <c r="C1136" s="189"/>
      <c r="D1136" s="202"/>
      <c r="E1136" s="198"/>
      <c r="F1136" s="186"/>
      <c r="G1136" s="186"/>
      <c r="H1136" s="181"/>
      <c r="I1136" s="196"/>
      <c r="J1136" s="192"/>
      <c r="K1136" s="204"/>
    </row>
    <row r="1137" spans="1:11">
      <c r="A1137" s="182"/>
      <c r="B1137" s="184"/>
      <c r="C1137" s="203"/>
      <c r="D1137" s="186"/>
      <c r="E1137" s="187"/>
      <c r="F1137" s="186"/>
      <c r="G1137" s="186"/>
      <c r="H1137" s="186"/>
      <c r="I1137" s="191"/>
      <c r="J1137" s="193"/>
      <c r="K1137" s="204"/>
    </row>
    <row r="1138" spans="1:11">
      <c r="A1138" s="183"/>
      <c r="B1138" s="184"/>
      <c r="C1138" s="203"/>
      <c r="D1138" s="186"/>
      <c r="E1138" s="187"/>
      <c r="F1138" s="186"/>
      <c r="G1138" s="186"/>
      <c r="H1138" s="186"/>
      <c r="I1138" s="191"/>
      <c r="J1138" s="193"/>
      <c r="K1138" s="204"/>
    </row>
    <row r="1139" spans="1:11">
      <c r="A1139" s="181"/>
      <c r="B1139" s="184"/>
      <c r="C1139" s="203"/>
      <c r="D1139" s="186"/>
      <c r="E1139" s="187"/>
      <c r="F1139" s="188"/>
      <c r="G1139" s="186"/>
      <c r="H1139" s="186"/>
      <c r="I1139" s="191"/>
      <c r="J1139" s="193"/>
      <c r="K1139" s="204"/>
    </row>
    <row r="1140" spans="1:11">
      <c r="A1140" s="183"/>
      <c r="B1140" s="184"/>
      <c r="C1140" s="203"/>
      <c r="D1140" s="186"/>
      <c r="E1140" s="187"/>
      <c r="F1140" s="186"/>
      <c r="G1140" s="186"/>
      <c r="H1140" s="186"/>
      <c r="I1140" s="196"/>
      <c r="J1140" s="192"/>
      <c r="K1140" s="204"/>
    </row>
    <row r="1141" spans="1:11" ht="21" customHeight="1">
      <c r="A1141" s="186"/>
      <c r="B1141" s="184"/>
      <c r="C1141" s="203"/>
      <c r="D1141" s="186"/>
      <c r="E1141" s="187"/>
      <c r="F1141" s="188"/>
      <c r="G1141" s="186"/>
      <c r="H1141" s="181"/>
      <c r="I1141" s="196"/>
      <c r="J1141" s="192"/>
      <c r="K1141" s="204"/>
    </row>
    <row r="1142" spans="1:11">
      <c r="A1142" s="183"/>
      <c r="B1142" s="184"/>
      <c r="C1142" s="203"/>
      <c r="D1142" s="186"/>
      <c r="E1142" s="187"/>
      <c r="F1142" s="186"/>
      <c r="G1142" s="190"/>
      <c r="H1142" s="194"/>
      <c r="I1142" s="196"/>
      <c r="J1142" s="192"/>
      <c r="K1142" s="204"/>
    </row>
    <row r="1143" spans="1:11">
      <c r="A1143" s="186"/>
      <c r="B1143" s="184"/>
      <c r="C1143" s="203"/>
      <c r="D1143" s="186"/>
      <c r="E1143" s="187"/>
      <c r="F1143" s="188"/>
      <c r="G1143" s="181"/>
      <c r="H1143" s="194"/>
      <c r="I1143" s="196"/>
      <c r="J1143" s="192"/>
      <c r="K1143" s="204"/>
    </row>
    <row r="1144" spans="1:11">
      <c r="A1144" s="183"/>
      <c r="B1144" s="184"/>
      <c r="C1144" s="185"/>
      <c r="D1144" s="186"/>
      <c r="E1144" s="198"/>
      <c r="F1144" s="186"/>
      <c r="G1144" s="186"/>
      <c r="H1144" s="194"/>
      <c r="I1144" s="196"/>
      <c r="J1144" s="192"/>
      <c r="K1144" s="204"/>
    </row>
    <row r="1145" spans="1:11">
      <c r="A1145" s="186"/>
      <c r="B1145" s="184"/>
      <c r="C1145" s="185"/>
      <c r="D1145" s="186"/>
      <c r="E1145" s="198"/>
      <c r="F1145" s="186"/>
      <c r="G1145" s="186"/>
      <c r="H1145" s="194"/>
      <c r="I1145" s="196"/>
      <c r="J1145" s="192"/>
      <c r="K1145" s="204"/>
    </row>
    <row r="1146" spans="1:11">
      <c r="A1146" s="183"/>
      <c r="B1146" s="184"/>
      <c r="C1146" s="202"/>
      <c r="D1146" s="186"/>
      <c r="E1146" s="187"/>
      <c r="F1146" s="186"/>
      <c r="G1146" s="190"/>
      <c r="H1146" s="186"/>
      <c r="I1146" s="196"/>
      <c r="J1146" s="193"/>
      <c r="K1146" s="204"/>
    </row>
    <row r="1147" spans="1:11" ht="21" customHeight="1">
      <c r="A1147" s="186"/>
      <c r="B1147" s="184"/>
      <c r="C1147" s="202"/>
      <c r="D1147" s="186"/>
      <c r="E1147" s="187"/>
      <c r="F1147" s="188"/>
      <c r="G1147" s="181"/>
      <c r="H1147" s="181"/>
      <c r="I1147" s="196"/>
      <c r="J1147" s="193"/>
      <c r="K1147" s="204"/>
    </row>
    <row r="1148" spans="1:11">
      <c r="A1148" s="183"/>
      <c r="B1148" s="184"/>
      <c r="C1148" s="203"/>
      <c r="D1148" s="186"/>
      <c r="E1148" s="198"/>
      <c r="F1148" s="186"/>
      <c r="G1148" s="186"/>
      <c r="H1148" s="194"/>
      <c r="I1148" s="196"/>
      <c r="J1148" s="192"/>
      <c r="K1148" s="204"/>
    </row>
    <row r="1149" spans="1:11">
      <c r="A1149" s="186"/>
      <c r="B1149" s="184"/>
      <c r="C1149" s="203"/>
      <c r="D1149" s="186"/>
      <c r="E1149" s="198"/>
      <c r="F1149" s="186"/>
      <c r="G1149" s="186"/>
      <c r="H1149" s="194"/>
      <c r="I1149" s="196"/>
      <c r="J1149" s="192"/>
      <c r="K1149" s="204"/>
    </row>
    <row r="1150" spans="1:11" ht="24" customHeight="1">
      <c r="A1150" s="183"/>
      <c r="B1150" s="184"/>
      <c r="C1150" s="203"/>
      <c r="D1150" s="186"/>
      <c r="E1150" s="187"/>
      <c r="F1150" s="186"/>
      <c r="G1150" s="190"/>
      <c r="H1150" s="186"/>
      <c r="I1150" s="196"/>
      <c r="J1150" s="192"/>
      <c r="K1150" s="204"/>
    </row>
    <row r="1151" spans="1:11">
      <c r="A1151" s="186"/>
      <c r="B1151" s="184"/>
      <c r="C1151" s="203"/>
      <c r="D1151" s="186"/>
      <c r="E1151" s="187"/>
      <c r="F1151" s="188"/>
      <c r="G1151" s="181"/>
      <c r="H1151" s="181"/>
      <c r="I1151" s="196"/>
      <c r="J1151" s="192"/>
      <c r="K1151" s="204"/>
    </row>
    <row r="1152" spans="1:11">
      <c r="A1152" s="183"/>
      <c r="B1152" s="184"/>
      <c r="C1152" s="185"/>
      <c r="D1152" s="186"/>
      <c r="E1152" s="198"/>
      <c r="F1152" s="186"/>
      <c r="G1152" s="186"/>
      <c r="H1152" s="194"/>
      <c r="I1152" s="196"/>
      <c r="J1152" s="192"/>
      <c r="K1152" s="204"/>
    </row>
    <row r="1153" spans="1:11" ht="16" customHeight="1">
      <c r="A1153" s="186"/>
      <c r="B1153" s="184"/>
      <c r="C1153" s="185"/>
      <c r="D1153" s="186"/>
      <c r="E1153" s="198"/>
      <c r="F1153" s="186"/>
      <c r="G1153" s="186"/>
      <c r="H1153" s="194"/>
      <c r="I1153" s="196"/>
      <c r="J1153" s="192"/>
      <c r="K1153" s="204"/>
    </row>
    <row r="1154" spans="1:11">
      <c r="A1154" s="183"/>
      <c r="B1154" s="184"/>
      <c r="C1154" s="185"/>
      <c r="D1154" s="186"/>
      <c r="E1154" s="187"/>
      <c r="F1154" s="186"/>
      <c r="G1154" s="190"/>
      <c r="H1154" s="194"/>
      <c r="I1154" s="196"/>
      <c r="J1154" s="192"/>
      <c r="K1154" s="204"/>
    </row>
    <row r="1155" spans="1:11">
      <c r="A1155" s="186"/>
      <c r="B1155" s="184"/>
      <c r="C1155" s="185"/>
      <c r="D1155" s="186"/>
      <c r="E1155" s="187"/>
      <c r="F1155" s="188"/>
      <c r="G1155" s="181"/>
      <c r="H1155" s="194"/>
      <c r="I1155" s="196"/>
      <c r="J1155" s="192"/>
      <c r="K1155" s="204"/>
    </row>
    <row r="1156" spans="1:11" ht="21" customHeight="1">
      <c r="A1156" s="183"/>
      <c r="B1156" s="184"/>
      <c r="C1156" s="203"/>
      <c r="D1156" s="186"/>
      <c r="E1156" s="187"/>
      <c r="F1156" s="186"/>
      <c r="G1156" s="186"/>
      <c r="H1156" s="186"/>
      <c r="I1156" s="196"/>
      <c r="J1156" s="192"/>
      <c r="K1156" s="204"/>
    </row>
    <row r="1157" spans="1:11">
      <c r="A1157" s="186"/>
      <c r="B1157" s="184"/>
      <c r="C1157" s="203"/>
      <c r="D1157" s="186"/>
      <c r="E1157" s="187"/>
      <c r="F1157" s="188"/>
      <c r="G1157" s="186"/>
      <c r="H1157" s="181"/>
      <c r="I1157" s="196"/>
      <c r="J1157" s="192"/>
      <c r="K1157" s="204"/>
    </row>
    <row r="1158" spans="1:11">
      <c r="A1158" s="183"/>
      <c r="B1158" s="184"/>
      <c r="C1158" s="189"/>
      <c r="D1158" s="202"/>
      <c r="E1158" s="198"/>
      <c r="F1158" s="186"/>
      <c r="G1158" s="186"/>
      <c r="H1158" s="194"/>
      <c r="I1158" s="196"/>
      <c r="J1158" s="192"/>
      <c r="K1158" s="204"/>
    </row>
    <row r="1159" spans="1:11">
      <c r="A1159" s="199"/>
      <c r="B1159" s="184"/>
      <c r="C1159" s="189"/>
      <c r="D1159" s="202"/>
      <c r="E1159" s="198"/>
      <c r="F1159" s="186"/>
      <c r="G1159" s="186"/>
      <c r="H1159" s="194"/>
      <c r="I1159" s="196"/>
      <c r="J1159" s="192"/>
      <c r="K1159" s="204"/>
    </row>
    <row r="1160" spans="1:11">
      <c r="A1160" s="183"/>
      <c r="B1160" s="184"/>
      <c r="C1160" s="203"/>
      <c r="D1160" s="186"/>
      <c r="E1160" s="198"/>
      <c r="F1160" s="186"/>
      <c r="G1160" s="186"/>
      <c r="H1160" s="194"/>
      <c r="I1160" s="196"/>
      <c r="J1160" s="192"/>
      <c r="K1160" s="204"/>
    </row>
    <row r="1161" spans="1:11">
      <c r="A1161" s="186"/>
      <c r="B1161" s="184"/>
      <c r="C1161" s="203"/>
      <c r="D1161" s="186"/>
      <c r="E1161" s="198"/>
      <c r="F1161" s="186"/>
      <c r="G1161" s="186"/>
      <c r="H1161" s="194"/>
      <c r="I1161" s="196"/>
      <c r="J1161" s="192"/>
      <c r="K1161" s="204"/>
    </row>
    <row r="1162" spans="1:11">
      <c r="A1162" s="183"/>
      <c r="B1162" s="184"/>
      <c r="C1162" s="189"/>
      <c r="D1162" s="200"/>
      <c r="E1162" s="198"/>
      <c r="F1162" s="186"/>
      <c r="G1162" s="186"/>
      <c r="H1162" s="186"/>
      <c r="I1162" s="196"/>
      <c r="J1162" s="192"/>
      <c r="K1162" s="204"/>
    </row>
    <row r="1163" spans="1:11">
      <c r="A1163" s="186"/>
      <c r="B1163" s="184"/>
      <c r="C1163" s="189"/>
      <c r="D1163" s="200"/>
      <c r="E1163" s="198"/>
      <c r="F1163" s="186"/>
      <c r="G1163" s="186"/>
      <c r="H1163" s="181"/>
      <c r="I1163" s="196"/>
      <c r="J1163" s="192"/>
      <c r="K1163" s="204"/>
    </row>
    <row r="1164" spans="1:11">
      <c r="A1164" s="183"/>
      <c r="B1164" s="184"/>
      <c r="C1164" s="185"/>
      <c r="D1164" s="186"/>
      <c r="E1164" s="187"/>
      <c r="F1164" s="186"/>
      <c r="G1164" s="190"/>
      <c r="H1164" s="194"/>
      <c r="I1164" s="196"/>
      <c r="J1164" s="192"/>
      <c r="K1164" s="204"/>
    </row>
    <row r="1165" spans="1:11">
      <c r="A1165" s="186"/>
      <c r="B1165" s="184"/>
      <c r="C1165" s="185"/>
      <c r="D1165" s="186"/>
      <c r="E1165" s="187"/>
      <c r="F1165" s="188"/>
      <c r="G1165" s="181"/>
      <c r="H1165" s="194"/>
      <c r="I1165" s="196"/>
      <c r="J1165" s="192"/>
      <c r="K1165" s="204"/>
    </row>
    <row r="1166" spans="1:11">
      <c r="A1166" s="183"/>
      <c r="B1166" s="184"/>
      <c r="C1166" s="185"/>
      <c r="D1166" s="186"/>
      <c r="E1166" s="187"/>
      <c r="F1166" s="186"/>
      <c r="G1166" s="190"/>
      <c r="H1166" s="194"/>
      <c r="I1166" s="196"/>
      <c r="J1166" s="192"/>
      <c r="K1166" s="204"/>
    </row>
    <row r="1167" spans="1:11">
      <c r="A1167" s="186"/>
      <c r="B1167" s="184"/>
      <c r="C1167" s="185"/>
      <c r="D1167" s="186"/>
      <c r="E1167" s="187"/>
      <c r="F1167" s="188"/>
      <c r="G1167" s="181"/>
      <c r="H1167" s="194"/>
      <c r="I1167" s="196"/>
      <c r="J1167" s="192"/>
      <c r="K1167" s="204"/>
    </row>
    <row r="1168" spans="1:11">
      <c r="A1168" s="183"/>
      <c r="B1168" s="184"/>
      <c r="C1168" s="203"/>
      <c r="D1168" s="186"/>
      <c r="E1168" s="187"/>
      <c r="F1168" s="186"/>
      <c r="G1168" s="190"/>
      <c r="H1168" s="186"/>
      <c r="I1168" s="196"/>
      <c r="J1168" s="192"/>
      <c r="K1168" s="204"/>
    </row>
    <row r="1169" spans="1:11">
      <c r="A1169" s="186"/>
      <c r="B1169" s="184"/>
      <c r="C1169" s="203"/>
      <c r="D1169" s="186"/>
      <c r="E1169" s="187"/>
      <c r="F1169" s="188"/>
      <c r="G1169" s="181"/>
      <c r="H1169" s="181"/>
      <c r="I1169" s="196"/>
      <c r="J1169" s="192"/>
      <c r="K1169" s="204"/>
    </row>
    <row r="1170" spans="1:11">
      <c r="A1170" s="183"/>
      <c r="B1170" s="184"/>
      <c r="C1170" s="185"/>
      <c r="D1170" s="186"/>
      <c r="E1170" s="187"/>
      <c r="F1170" s="186"/>
      <c r="G1170" s="190"/>
      <c r="H1170" s="194"/>
      <c r="I1170" s="196"/>
      <c r="J1170" s="192"/>
      <c r="K1170" s="204"/>
    </row>
    <row r="1171" spans="1:11">
      <c r="A1171" s="186"/>
      <c r="B1171" s="184"/>
      <c r="C1171" s="185"/>
      <c r="D1171" s="186"/>
      <c r="E1171" s="187"/>
      <c r="F1171" s="188"/>
      <c r="G1171" s="181"/>
      <c r="H1171" s="194"/>
      <c r="I1171" s="196"/>
      <c r="J1171" s="192"/>
      <c r="K1171" s="204"/>
    </row>
    <row r="1172" spans="1:11">
      <c r="A1172" s="183"/>
      <c r="B1172" s="184"/>
      <c r="C1172" s="185"/>
      <c r="D1172" s="186"/>
      <c r="E1172" s="187"/>
      <c r="F1172" s="186"/>
      <c r="G1172" s="190"/>
      <c r="H1172" s="194"/>
      <c r="I1172" s="196"/>
      <c r="J1172" s="192"/>
      <c r="K1172" s="204"/>
    </row>
    <row r="1173" spans="1:11">
      <c r="A1173" s="186"/>
      <c r="B1173" s="184"/>
      <c r="C1173" s="185"/>
      <c r="D1173" s="186"/>
      <c r="E1173" s="187"/>
      <c r="F1173" s="188"/>
      <c r="G1173" s="181"/>
      <c r="H1173" s="194"/>
      <c r="I1173" s="196"/>
      <c r="J1173" s="192"/>
      <c r="K1173" s="204"/>
    </row>
    <row r="1174" spans="1:11" ht="16" customHeight="1">
      <c r="A1174" s="183"/>
      <c r="B1174" s="184"/>
      <c r="C1174" s="185"/>
      <c r="D1174" s="186"/>
      <c r="E1174" s="187"/>
      <c r="F1174" s="186"/>
      <c r="G1174" s="190"/>
      <c r="H1174" s="194"/>
      <c r="I1174" s="196"/>
      <c r="J1174" s="192"/>
      <c r="K1174" s="204"/>
    </row>
    <row r="1175" spans="1:11">
      <c r="A1175" s="186"/>
      <c r="B1175" s="184"/>
      <c r="C1175" s="185"/>
      <c r="D1175" s="186"/>
      <c r="E1175" s="187"/>
      <c r="F1175" s="188"/>
      <c r="G1175" s="181"/>
      <c r="H1175" s="194"/>
      <c r="I1175" s="196"/>
      <c r="J1175" s="192"/>
      <c r="K1175" s="204"/>
    </row>
    <row r="1176" spans="1:11">
      <c r="A1176" s="183"/>
      <c r="B1176" s="184"/>
      <c r="C1176" s="185"/>
      <c r="D1176" s="186"/>
      <c r="E1176" s="187"/>
      <c r="F1176" s="186"/>
      <c r="G1176" s="190"/>
      <c r="H1176" s="194"/>
      <c r="I1176" s="196"/>
      <c r="J1176" s="192"/>
      <c r="K1176" s="204"/>
    </row>
    <row r="1177" spans="1:11" ht="14" customHeight="1">
      <c r="A1177" s="186"/>
      <c r="B1177" s="184"/>
      <c r="C1177" s="185"/>
      <c r="D1177" s="186"/>
      <c r="E1177" s="187"/>
      <c r="F1177" s="188"/>
      <c r="G1177" s="181"/>
      <c r="H1177" s="194"/>
      <c r="I1177" s="196"/>
      <c r="J1177" s="192"/>
      <c r="K1177" s="204"/>
    </row>
    <row r="1178" spans="1:11">
      <c r="A1178" s="183"/>
      <c r="B1178" s="184"/>
      <c r="C1178" s="185"/>
      <c r="D1178" s="186"/>
      <c r="E1178" s="187"/>
      <c r="F1178" s="186"/>
      <c r="G1178" s="190"/>
      <c r="H1178" s="194"/>
      <c r="I1178" s="196"/>
      <c r="J1178" s="192"/>
      <c r="K1178" s="204"/>
    </row>
    <row r="1179" spans="1:11">
      <c r="A1179" s="186"/>
      <c r="B1179" s="184"/>
      <c r="C1179" s="185"/>
      <c r="D1179" s="186"/>
      <c r="E1179" s="187"/>
      <c r="F1179" s="188"/>
      <c r="G1179" s="181"/>
      <c r="H1179" s="194"/>
      <c r="I1179" s="196"/>
      <c r="J1179" s="192"/>
      <c r="K1179" s="204"/>
    </row>
    <row r="1180" spans="1:11">
      <c r="A1180" s="183"/>
      <c r="B1180" s="184"/>
      <c r="C1180" s="185"/>
      <c r="D1180" s="186"/>
      <c r="E1180" s="187"/>
      <c r="F1180" s="186"/>
      <c r="G1180" s="190"/>
      <c r="H1180" s="194"/>
      <c r="I1180" s="196"/>
      <c r="J1180" s="192"/>
      <c r="K1180" s="204"/>
    </row>
    <row r="1181" spans="1:11">
      <c r="A1181" s="186"/>
      <c r="B1181" s="184"/>
      <c r="C1181" s="185"/>
      <c r="D1181" s="186"/>
      <c r="E1181" s="187"/>
      <c r="F1181" s="188"/>
      <c r="G1181" s="181"/>
      <c r="H1181" s="194"/>
      <c r="I1181" s="196"/>
      <c r="J1181" s="192"/>
      <c r="K1181" s="204"/>
    </row>
    <row r="1182" spans="1:11">
      <c r="A1182" s="183"/>
      <c r="B1182" s="184"/>
      <c r="C1182" s="185"/>
      <c r="D1182" s="186"/>
      <c r="E1182" s="187"/>
      <c r="F1182" s="186"/>
      <c r="G1182" s="190"/>
      <c r="H1182" s="194"/>
      <c r="I1182" s="196"/>
      <c r="J1182" s="192"/>
      <c r="K1182" s="204"/>
    </row>
    <row r="1183" spans="1:11" ht="16" customHeight="1">
      <c r="A1183" s="186"/>
      <c r="B1183" s="184"/>
      <c r="C1183" s="185"/>
      <c r="D1183" s="186"/>
      <c r="E1183" s="187"/>
      <c r="F1183" s="188"/>
      <c r="G1183" s="181"/>
      <c r="H1183" s="194"/>
      <c r="I1183" s="196"/>
      <c r="J1183" s="192"/>
      <c r="K1183" s="204"/>
    </row>
    <row r="1184" spans="1:11">
      <c r="A1184" s="183"/>
      <c r="B1184" s="184"/>
      <c r="C1184" s="185"/>
      <c r="D1184" s="186"/>
      <c r="E1184" s="187"/>
      <c r="F1184" s="186"/>
      <c r="G1184" s="190"/>
      <c r="H1184" s="194"/>
      <c r="I1184" s="196"/>
      <c r="J1184" s="192"/>
      <c r="K1184" s="204"/>
    </row>
    <row r="1185" spans="1:11">
      <c r="A1185" s="186"/>
      <c r="B1185" s="184"/>
      <c r="C1185" s="185"/>
      <c r="D1185" s="186"/>
      <c r="E1185" s="187"/>
      <c r="F1185" s="188"/>
      <c r="G1185" s="181"/>
      <c r="H1185" s="194"/>
      <c r="I1185" s="196"/>
      <c r="J1185" s="192"/>
      <c r="K1185" s="204"/>
    </row>
    <row r="1186" spans="1:11" ht="16" customHeight="1">
      <c r="A1186" s="183"/>
      <c r="B1186" s="184"/>
      <c r="C1186" s="185"/>
      <c r="D1186" s="186"/>
      <c r="E1186" s="187"/>
      <c r="F1186" s="186"/>
      <c r="G1186" s="190"/>
      <c r="H1186" s="194"/>
      <c r="I1186" s="196"/>
      <c r="J1186" s="192"/>
      <c r="K1186" s="204"/>
    </row>
    <row r="1187" spans="1:11">
      <c r="A1187" s="186"/>
      <c r="B1187" s="184"/>
      <c r="C1187" s="185"/>
      <c r="D1187" s="186"/>
      <c r="E1187" s="187"/>
      <c r="F1187" s="188"/>
      <c r="G1187" s="181"/>
      <c r="H1187" s="194"/>
      <c r="I1187" s="196"/>
      <c r="J1187" s="192"/>
      <c r="K1187" s="204"/>
    </row>
    <row r="1188" spans="1:11">
      <c r="A1188" s="183"/>
      <c r="B1188" s="184"/>
      <c r="C1188" s="185"/>
      <c r="D1188" s="186"/>
      <c r="E1188" s="187"/>
      <c r="F1188" s="186"/>
      <c r="G1188" s="190"/>
      <c r="H1188" s="194"/>
      <c r="I1188" s="196"/>
      <c r="J1188" s="192"/>
      <c r="K1188" s="204"/>
    </row>
    <row r="1189" spans="1:11" ht="16" customHeight="1">
      <c r="A1189" s="186"/>
      <c r="B1189" s="184"/>
      <c r="C1189" s="185"/>
      <c r="D1189" s="186"/>
      <c r="E1189" s="187"/>
      <c r="F1189" s="188"/>
      <c r="G1189" s="181"/>
      <c r="H1189" s="194"/>
      <c r="I1189" s="196"/>
      <c r="J1189" s="192"/>
      <c r="K1189" s="204"/>
    </row>
    <row r="1190" spans="1:11">
      <c r="A1190" s="183"/>
      <c r="B1190" s="184"/>
      <c r="C1190" s="185"/>
      <c r="D1190" s="186"/>
      <c r="E1190" s="187"/>
      <c r="F1190" s="186"/>
      <c r="G1190" s="190"/>
      <c r="H1190" s="194"/>
      <c r="I1190" s="196"/>
      <c r="J1190" s="192"/>
      <c r="K1190" s="204"/>
    </row>
    <row r="1191" spans="1:11">
      <c r="A1191" s="186"/>
      <c r="B1191" s="184"/>
      <c r="C1191" s="185"/>
      <c r="D1191" s="186"/>
      <c r="E1191" s="187"/>
      <c r="F1191" s="188"/>
      <c r="G1191" s="181"/>
      <c r="H1191" s="194"/>
      <c r="I1191" s="196"/>
      <c r="J1191" s="192"/>
      <c r="K1191" s="204"/>
    </row>
    <row r="1192" spans="1:11">
      <c r="A1192" s="183"/>
      <c r="B1192" s="184"/>
      <c r="C1192" s="185"/>
      <c r="D1192" s="186"/>
      <c r="E1192" s="187"/>
      <c r="F1192" s="186"/>
      <c r="G1192" s="190"/>
      <c r="H1192" s="194"/>
      <c r="I1192" s="196"/>
      <c r="J1192" s="192"/>
      <c r="K1192" s="204"/>
    </row>
    <row r="1193" spans="1:11">
      <c r="A1193" s="186"/>
      <c r="B1193" s="184"/>
      <c r="C1193" s="185"/>
      <c r="D1193" s="186"/>
      <c r="E1193" s="187"/>
      <c r="F1193" s="188"/>
      <c r="G1193" s="181"/>
      <c r="H1193" s="194"/>
      <c r="I1193" s="196"/>
      <c r="J1193" s="192"/>
      <c r="K1193" s="204"/>
    </row>
    <row r="1194" spans="1:11">
      <c r="A1194" s="183"/>
      <c r="B1194" s="184"/>
      <c r="C1194" s="185"/>
      <c r="D1194" s="186"/>
      <c r="E1194" s="187"/>
      <c r="F1194" s="186"/>
      <c r="G1194" s="190"/>
      <c r="H1194" s="194"/>
      <c r="I1194" s="196"/>
      <c r="J1194" s="192"/>
      <c r="K1194" s="204"/>
    </row>
    <row r="1195" spans="1:11" ht="21" customHeight="1">
      <c r="A1195" s="186"/>
      <c r="B1195" s="184"/>
      <c r="C1195" s="185"/>
      <c r="D1195" s="186"/>
      <c r="E1195" s="187"/>
      <c r="F1195" s="188"/>
      <c r="G1195" s="181"/>
      <c r="H1195" s="194"/>
      <c r="I1195" s="196"/>
      <c r="J1195" s="192"/>
      <c r="K1195" s="204"/>
    </row>
    <row r="1196" spans="1:11">
      <c r="A1196" s="183"/>
      <c r="B1196" s="184"/>
      <c r="C1196" s="185"/>
      <c r="D1196" s="186"/>
      <c r="E1196" s="187"/>
      <c r="F1196" s="186"/>
      <c r="G1196" s="190"/>
      <c r="H1196" s="194"/>
      <c r="I1196" s="196"/>
      <c r="J1196" s="192"/>
      <c r="K1196" s="204"/>
    </row>
    <row r="1197" spans="1:11">
      <c r="A1197" s="186"/>
      <c r="B1197" s="184"/>
      <c r="C1197" s="185"/>
      <c r="D1197" s="186"/>
      <c r="E1197" s="187"/>
      <c r="F1197" s="188"/>
      <c r="G1197" s="181"/>
      <c r="H1197" s="194"/>
      <c r="I1197" s="196"/>
      <c r="J1197" s="192"/>
      <c r="K1197" s="204"/>
    </row>
    <row r="1198" spans="1:11">
      <c r="A1198" s="183"/>
      <c r="B1198" s="184"/>
      <c r="C1198" s="185"/>
      <c r="D1198" s="186"/>
      <c r="E1198" s="187"/>
      <c r="F1198" s="186"/>
      <c r="G1198" s="190"/>
      <c r="H1198" s="194"/>
      <c r="I1198" s="196"/>
      <c r="J1198" s="192"/>
      <c r="K1198" s="204"/>
    </row>
    <row r="1199" spans="1:11">
      <c r="A1199" s="186"/>
      <c r="B1199" s="184"/>
      <c r="C1199" s="185"/>
      <c r="D1199" s="186"/>
      <c r="E1199" s="187"/>
      <c r="F1199" s="188"/>
      <c r="G1199" s="181"/>
      <c r="H1199" s="194"/>
      <c r="I1199" s="196"/>
      <c r="J1199" s="192"/>
      <c r="K1199" s="204"/>
    </row>
    <row r="1200" spans="1:11">
      <c r="A1200" s="183"/>
      <c r="B1200" s="184"/>
      <c r="C1200" s="185"/>
      <c r="D1200" s="186"/>
      <c r="E1200" s="198"/>
      <c r="F1200" s="186"/>
      <c r="G1200" s="186"/>
      <c r="H1200" s="194"/>
      <c r="I1200" s="196"/>
      <c r="J1200" s="192"/>
      <c r="K1200" s="204"/>
    </row>
    <row r="1201" spans="1:11" ht="21" customHeight="1">
      <c r="A1201" s="199"/>
      <c r="B1201" s="184"/>
      <c r="C1201" s="185"/>
      <c r="D1201" s="186"/>
      <c r="E1201" s="198"/>
      <c r="F1201" s="186"/>
      <c r="G1201" s="186"/>
      <c r="H1201" s="194"/>
      <c r="I1201" s="196"/>
      <c r="J1201" s="192"/>
      <c r="K1201" s="204"/>
    </row>
    <row r="1202" spans="1:11">
      <c r="A1202" s="183"/>
      <c r="B1202" s="184"/>
      <c r="C1202" s="185"/>
      <c r="D1202" s="186"/>
      <c r="E1202" s="187"/>
      <c r="F1202" s="186"/>
      <c r="G1202" s="190"/>
      <c r="H1202" s="194"/>
      <c r="I1202" s="196"/>
      <c r="J1202" s="192"/>
      <c r="K1202" s="204"/>
    </row>
    <row r="1203" spans="1:11">
      <c r="A1203" s="186"/>
      <c r="B1203" s="184"/>
      <c r="C1203" s="185"/>
      <c r="D1203" s="186"/>
      <c r="E1203" s="187"/>
      <c r="F1203" s="188"/>
      <c r="G1203" s="181"/>
      <c r="H1203" s="194"/>
      <c r="I1203" s="196"/>
      <c r="J1203" s="192"/>
      <c r="K1203" s="204"/>
    </row>
    <row r="1204" spans="1:11" ht="21" customHeight="1">
      <c r="A1204" s="183"/>
      <c r="B1204" s="184"/>
      <c r="C1204" s="185"/>
      <c r="D1204" s="186"/>
      <c r="E1204" s="187"/>
      <c r="F1204" s="186"/>
      <c r="G1204" s="190"/>
      <c r="H1204" s="194"/>
      <c r="I1204" s="196"/>
      <c r="J1204" s="192"/>
      <c r="K1204" s="204"/>
    </row>
    <row r="1205" spans="1:11">
      <c r="A1205" s="186"/>
      <c r="B1205" s="184"/>
      <c r="C1205" s="185"/>
      <c r="D1205" s="186"/>
      <c r="E1205" s="187"/>
      <c r="F1205" s="188"/>
      <c r="G1205" s="181"/>
      <c r="H1205" s="194"/>
      <c r="I1205" s="196"/>
      <c r="J1205" s="192"/>
      <c r="K1205" s="204"/>
    </row>
    <row r="1206" spans="1:11">
      <c r="A1206" s="183"/>
      <c r="B1206" s="184"/>
      <c r="C1206" s="185"/>
      <c r="D1206" s="186"/>
      <c r="E1206" s="187"/>
      <c r="F1206" s="186"/>
      <c r="G1206" s="190"/>
      <c r="H1206" s="194"/>
      <c r="I1206" s="196"/>
      <c r="J1206" s="192"/>
      <c r="K1206" s="204"/>
    </row>
    <row r="1207" spans="1:11">
      <c r="A1207" s="186"/>
      <c r="B1207" s="184"/>
      <c r="C1207" s="185"/>
      <c r="D1207" s="186"/>
      <c r="E1207" s="187"/>
      <c r="F1207" s="188"/>
      <c r="G1207" s="181"/>
      <c r="H1207" s="194"/>
      <c r="I1207" s="196"/>
      <c r="J1207" s="192"/>
      <c r="K1207" s="204"/>
    </row>
    <row r="1208" spans="1:11">
      <c r="A1208" s="183"/>
      <c r="B1208" s="184"/>
      <c r="C1208" s="185"/>
      <c r="D1208" s="186"/>
      <c r="E1208" s="187"/>
      <c r="F1208" s="186"/>
      <c r="G1208" s="190"/>
      <c r="H1208" s="194"/>
      <c r="I1208" s="196"/>
      <c r="J1208" s="192"/>
      <c r="K1208" s="204"/>
    </row>
    <row r="1209" spans="1:11">
      <c r="A1209" s="186"/>
      <c r="B1209" s="184"/>
      <c r="C1209" s="185"/>
      <c r="D1209" s="186"/>
      <c r="E1209" s="187"/>
      <c r="F1209" s="188"/>
      <c r="G1209" s="181"/>
      <c r="H1209" s="194"/>
      <c r="I1209" s="196"/>
      <c r="J1209" s="192"/>
      <c r="K1209" s="204"/>
    </row>
    <row r="1210" spans="1:11">
      <c r="A1210" s="183"/>
      <c r="B1210" s="184"/>
      <c r="C1210" s="185"/>
      <c r="D1210" s="186"/>
      <c r="E1210" s="187"/>
      <c r="F1210" s="186"/>
      <c r="G1210" s="190"/>
      <c r="H1210" s="194"/>
      <c r="I1210" s="196"/>
      <c r="J1210" s="192"/>
      <c r="K1210" s="204"/>
    </row>
    <row r="1211" spans="1:11">
      <c r="A1211" s="186"/>
      <c r="B1211" s="184"/>
      <c r="C1211" s="185"/>
      <c r="D1211" s="186"/>
      <c r="E1211" s="187"/>
      <c r="F1211" s="188"/>
      <c r="G1211" s="181"/>
      <c r="H1211" s="194"/>
      <c r="I1211" s="196"/>
      <c r="J1211" s="192"/>
      <c r="K1211" s="204"/>
    </row>
    <row r="1212" spans="1:11">
      <c r="A1212" s="182"/>
      <c r="B1212" s="184"/>
      <c r="C1212" s="185"/>
      <c r="D1212" s="186"/>
      <c r="E1212" s="187"/>
      <c r="F1212" s="186"/>
      <c r="G1212" s="189"/>
      <c r="H1212" s="186"/>
      <c r="I1212" s="191"/>
      <c r="J1212" s="192"/>
      <c r="K1212" s="204"/>
    </row>
    <row r="1213" spans="1:11" ht="21" customHeight="1">
      <c r="A1213" s="183"/>
      <c r="B1213" s="184"/>
      <c r="C1213" s="185"/>
      <c r="D1213" s="186"/>
      <c r="E1213" s="187"/>
      <c r="F1213" s="186"/>
      <c r="G1213" s="190"/>
      <c r="H1213" s="186"/>
      <c r="I1213" s="191"/>
      <c r="J1213" s="192"/>
      <c r="K1213" s="204"/>
    </row>
    <row r="1214" spans="1:11">
      <c r="A1214" s="186"/>
      <c r="B1214" s="184"/>
      <c r="C1214" s="185"/>
      <c r="D1214" s="186"/>
      <c r="E1214" s="187"/>
      <c r="F1214" s="188"/>
      <c r="G1214" s="181"/>
      <c r="H1214" s="186"/>
      <c r="I1214" s="191"/>
      <c r="J1214" s="192"/>
      <c r="K1214" s="204"/>
    </row>
    <row r="1215" spans="1:11" ht="21" customHeight="1">
      <c r="A1215" s="183"/>
      <c r="B1215" s="184"/>
      <c r="C1215" s="203"/>
      <c r="D1215" s="186"/>
      <c r="E1215" s="187"/>
      <c r="F1215" s="186"/>
      <c r="G1215" s="186"/>
      <c r="H1215" s="186"/>
      <c r="I1215" s="196"/>
      <c r="J1215" s="192"/>
      <c r="K1215" s="204"/>
    </row>
    <row r="1216" spans="1:11">
      <c r="A1216" s="186"/>
      <c r="B1216" s="184"/>
      <c r="C1216" s="203"/>
      <c r="D1216" s="186"/>
      <c r="E1216" s="187"/>
      <c r="F1216" s="188"/>
      <c r="G1216" s="186"/>
      <c r="H1216" s="181"/>
      <c r="I1216" s="196"/>
      <c r="J1216" s="192"/>
      <c r="K1216" s="204"/>
    </row>
    <row r="1217" spans="1:11">
      <c r="A1217" s="183"/>
      <c r="B1217" s="184"/>
      <c r="C1217" s="189"/>
      <c r="D1217" s="186"/>
      <c r="E1217" s="198"/>
      <c r="F1217" s="186"/>
      <c r="G1217" s="186"/>
      <c r="H1217" s="194"/>
      <c r="I1217" s="196"/>
      <c r="J1217" s="192"/>
      <c r="K1217" s="204"/>
    </row>
    <row r="1218" spans="1:11" ht="24" customHeight="1">
      <c r="A1218" s="183"/>
      <c r="B1218" s="184"/>
      <c r="C1218" s="203"/>
      <c r="D1218" s="186"/>
      <c r="E1218" s="198"/>
      <c r="F1218" s="186"/>
      <c r="G1218" s="186"/>
      <c r="H1218" s="186"/>
      <c r="I1218" s="196"/>
      <c r="J1218" s="192"/>
      <c r="K1218" s="204"/>
    </row>
    <row r="1219" spans="1:11">
      <c r="A1219" s="186"/>
      <c r="B1219" s="184"/>
      <c r="C1219" s="203"/>
      <c r="D1219" s="186"/>
      <c r="E1219" s="198"/>
      <c r="F1219" s="186"/>
      <c r="G1219" s="186"/>
      <c r="H1219" s="181"/>
      <c r="I1219" s="196"/>
      <c r="J1219" s="192"/>
      <c r="K1219" s="204"/>
    </row>
    <row r="1220" spans="1:11">
      <c r="A1220" s="183"/>
      <c r="B1220" s="184"/>
      <c r="C1220" s="200"/>
      <c r="D1220" s="186"/>
      <c r="E1220" s="187"/>
      <c r="F1220" s="186"/>
      <c r="G1220" s="186"/>
      <c r="H1220" s="194"/>
      <c r="I1220" s="196"/>
      <c r="J1220" s="192"/>
      <c r="K1220" s="204"/>
    </row>
    <row r="1221" spans="1:11">
      <c r="A1221" s="186"/>
      <c r="B1221" s="184"/>
      <c r="C1221" s="200"/>
      <c r="D1221" s="186"/>
      <c r="E1221" s="187"/>
      <c r="F1221" s="188"/>
      <c r="G1221" s="186"/>
      <c r="H1221" s="194"/>
      <c r="I1221" s="196"/>
      <c r="J1221" s="192"/>
      <c r="K1221" s="204"/>
    </row>
    <row r="1222" spans="1:11">
      <c r="A1222" s="183"/>
      <c r="B1222" s="184"/>
      <c r="C1222" s="185"/>
      <c r="D1222" s="186"/>
      <c r="E1222" s="187"/>
      <c r="F1222" s="186"/>
      <c r="G1222" s="190"/>
      <c r="H1222" s="194"/>
      <c r="I1222" s="196"/>
      <c r="J1222" s="192"/>
      <c r="K1222" s="204"/>
    </row>
    <row r="1223" spans="1:11">
      <c r="A1223" s="186"/>
      <c r="B1223" s="184"/>
      <c r="C1223" s="185"/>
      <c r="D1223" s="186"/>
      <c r="E1223" s="187"/>
      <c r="F1223" s="188"/>
      <c r="G1223" s="181"/>
      <c r="H1223" s="194"/>
      <c r="I1223" s="196"/>
      <c r="J1223" s="192"/>
      <c r="K1223" s="204"/>
    </row>
    <row r="1224" spans="1:11">
      <c r="A1224" s="183"/>
      <c r="B1224" s="184"/>
      <c r="C1224" s="185"/>
      <c r="D1224" s="186"/>
      <c r="E1224" s="187"/>
      <c r="F1224" s="186"/>
      <c r="G1224" s="190"/>
      <c r="H1224" s="194"/>
      <c r="I1224" s="196"/>
      <c r="J1224" s="192"/>
      <c r="K1224" s="204"/>
    </row>
    <row r="1225" spans="1:11">
      <c r="A1225" s="186"/>
      <c r="B1225" s="184"/>
      <c r="C1225" s="185"/>
      <c r="D1225" s="186"/>
      <c r="E1225" s="187"/>
      <c r="F1225" s="188"/>
      <c r="G1225" s="181"/>
      <c r="H1225" s="194"/>
      <c r="I1225" s="196"/>
      <c r="J1225" s="192"/>
      <c r="K1225" s="204"/>
    </row>
    <row r="1226" spans="1:11">
      <c r="A1226" s="183"/>
      <c r="B1226" s="184"/>
      <c r="C1226" s="185"/>
      <c r="D1226" s="186"/>
      <c r="E1226" s="187"/>
      <c r="F1226" s="186"/>
      <c r="G1226" s="190"/>
      <c r="H1226" s="194"/>
      <c r="I1226" s="196"/>
      <c r="J1226" s="192"/>
      <c r="K1226" s="204"/>
    </row>
    <row r="1227" spans="1:11">
      <c r="A1227" s="186"/>
      <c r="B1227" s="184"/>
      <c r="C1227" s="185"/>
      <c r="D1227" s="186"/>
      <c r="E1227" s="187"/>
      <c r="F1227" s="188"/>
      <c r="G1227" s="181"/>
      <c r="H1227" s="194"/>
      <c r="I1227" s="196"/>
      <c r="J1227" s="192"/>
      <c r="K1227" s="204"/>
    </row>
    <row r="1228" spans="1:11">
      <c r="A1228" s="183"/>
      <c r="B1228" s="184"/>
      <c r="C1228" s="185"/>
      <c r="D1228" s="186"/>
      <c r="E1228" s="187"/>
      <c r="F1228" s="186"/>
      <c r="G1228" s="190"/>
      <c r="H1228" s="194"/>
      <c r="I1228" s="196"/>
      <c r="J1228" s="192"/>
      <c r="K1228" s="204"/>
    </row>
    <row r="1229" spans="1:11">
      <c r="A1229" s="186"/>
      <c r="B1229" s="184"/>
      <c r="C1229" s="185"/>
      <c r="D1229" s="186"/>
      <c r="E1229" s="187"/>
      <c r="F1229" s="188"/>
      <c r="G1229" s="181"/>
      <c r="H1229" s="194"/>
      <c r="I1229" s="196"/>
      <c r="J1229" s="192"/>
      <c r="K1229" s="204"/>
    </row>
    <row r="1230" spans="1:11" ht="21" customHeight="1">
      <c r="A1230" s="183"/>
      <c r="B1230" s="184"/>
      <c r="C1230" s="185"/>
      <c r="D1230" s="186"/>
      <c r="E1230" s="187"/>
      <c r="F1230" s="186"/>
      <c r="G1230" s="190"/>
      <c r="H1230" s="194"/>
      <c r="I1230" s="196"/>
      <c r="J1230" s="192"/>
      <c r="K1230" s="204"/>
    </row>
    <row r="1231" spans="1:11">
      <c r="A1231" s="186"/>
      <c r="B1231" s="184"/>
      <c r="C1231" s="185"/>
      <c r="D1231" s="186"/>
      <c r="E1231" s="187"/>
      <c r="F1231" s="188"/>
      <c r="G1231" s="181"/>
      <c r="H1231" s="194"/>
      <c r="I1231" s="196"/>
      <c r="J1231" s="192"/>
      <c r="K1231" s="204"/>
    </row>
    <row r="1232" spans="1:11">
      <c r="A1232" s="183"/>
      <c r="B1232" s="184"/>
      <c r="C1232" s="185"/>
      <c r="D1232" s="186"/>
      <c r="E1232" s="187"/>
      <c r="F1232" s="186"/>
      <c r="G1232" s="190"/>
      <c r="H1232" s="194"/>
      <c r="I1232" s="196"/>
      <c r="J1232" s="192"/>
      <c r="K1232" s="204"/>
    </row>
    <row r="1233" spans="1:11">
      <c r="A1233" s="186"/>
      <c r="B1233" s="184"/>
      <c r="C1233" s="185"/>
      <c r="D1233" s="186"/>
      <c r="E1233" s="187"/>
      <c r="F1233" s="188"/>
      <c r="G1233" s="181"/>
      <c r="H1233" s="194"/>
      <c r="I1233" s="196"/>
      <c r="J1233" s="192"/>
      <c r="K1233" s="204"/>
    </row>
    <row r="1234" spans="1:11">
      <c r="A1234" s="182"/>
      <c r="B1234" s="184"/>
      <c r="C1234" s="203"/>
      <c r="D1234" s="186"/>
      <c r="E1234" s="198"/>
      <c r="F1234" s="186"/>
      <c r="G1234" s="186"/>
      <c r="H1234" s="186"/>
      <c r="I1234" s="191"/>
      <c r="J1234" s="193"/>
      <c r="K1234" s="204"/>
    </row>
    <row r="1235" spans="1:11">
      <c r="A1235" s="183"/>
      <c r="B1235" s="184"/>
      <c r="C1235" s="203"/>
      <c r="D1235" s="186"/>
      <c r="E1235" s="198"/>
      <c r="F1235" s="186"/>
      <c r="G1235" s="186"/>
      <c r="H1235" s="186"/>
      <c r="I1235" s="191"/>
      <c r="J1235" s="193"/>
      <c r="K1235" s="204"/>
    </row>
    <row r="1236" spans="1:11" ht="21" customHeight="1">
      <c r="A1236" s="183"/>
      <c r="B1236" s="184"/>
      <c r="C1236" s="185"/>
      <c r="D1236" s="186"/>
      <c r="E1236" s="187"/>
      <c r="F1236" s="186"/>
      <c r="G1236" s="190"/>
      <c r="H1236" s="194"/>
      <c r="I1236" s="196"/>
      <c r="J1236" s="192"/>
      <c r="K1236" s="204"/>
    </row>
    <row r="1237" spans="1:11">
      <c r="A1237" s="186"/>
      <c r="B1237" s="184"/>
      <c r="C1237" s="185"/>
      <c r="D1237" s="186"/>
      <c r="E1237" s="187"/>
      <c r="F1237" s="188"/>
      <c r="G1237" s="181"/>
      <c r="H1237" s="194"/>
      <c r="I1237" s="196"/>
      <c r="J1237" s="192"/>
      <c r="K1237" s="204"/>
    </row>
    <row r="1238" spans="1:11">
      <c r="A1238" s="183"/>
      <c r="B1238" s="184"/>
      <c r="C1238" s="185"/>
      <c r="D1238" s="186"/>
      <c r="E1238" s="187"/>
      <c r="F1238" s="186"/>
      <c r="G1238" s="190"/>
      <c r="H1238" s="194"/>
      <c r="I1238" s="196"/>
      <c r="J1238" s="192"/>
      <c r="K1238" s="204"/>
    </row>
    <row r="1239" spans="1:11" ht="21" customHeight="1">
      <c r="A1239" s="186"/>
      <c r="B1239" s="184"/>
      <c r="C1239" s="185"/>
      <c r="D1239" s="186"/>
      <c r="E1239" s="187"/>
      <c r="F1239" s="188"/>
      <c r="G1239" s="181"/>
      <c r="H1239" s="194"/>
      <c r="I1239" s="196"/>
      <c r="J1239" s="192"/>
      <c r="K1239" s="204"/>
    </row>
    <row r="1240" spans="1:11">
      <c r="A1240" s="183"/>
      <c r="B1240" s="184"/>
      <c r="C1240" s="185"/>
      <c r="D1240" s="186"/>
      <c r="E1240" s="187"/>
      <c r="F1240" s="186"/>
      <c r="G1240" s="190"/>
      <c r="H1240" s="194"/>
      <c r="I1240" s="196"/>
      <c r="J1240" s="192"/>
      <c r="K1240" s="204"/>
    </row>
    <row r="1241" spans="1:11">
      <c r="A1241" s="186"/>
      <c r="B1241" s="184"/>
      <c r="C1241" s="185"/>
      <c r="D1241" s="186"/>
      <c r="E1241" s="187"/>
      <c r="F1241" s="188"/>
      <c r="G1241" s="181"/>
      <c r="H1241" s="194"/>
      <c r="I1241" s="196"/>
      <c r="J1241" s="192"/>
      <c r="K1241" s="204"/>
    </row>
    <row r="1242" spans="1:11" ht="24" customHeight="1">
      <c r="A1242" s="183"/>
      <c r="B1242" s="184"/>
      <c r="C1242" s="185"/>
      <c r="D1242" s="186"/>
      <c r="E1242" s="187"/>
      <c r="F1242" s="186"/>
      <c r="G1242" s="190"/>
      <c r="H1242" s="194"/>
      <c r="I1242" s="196"/>
      <c r="J1242" s="192"/>
      <c r="K1242" s="204"/>
    </row>
    <row r="1243" spans="1:11">
      <c r="A1243" s="186"/>
      <c r="B1243" s="184"/>
      <c r="C1243" s="185"/>
      <c r="D1243" s="186"/>
      <c r="E1243" s="187"/>
      <c r="F1243" s="188"/>
      <c r="G1243" s="181"/>
      <c r="H1243" s="194"/>
      <c r="I1243" s="196"/>
      <c r="J1243" s="192"/>
      <c r="K1243" s="204"/>
    </row>
    <row r="1244" spans="1:11">
      <c r="A1244" s="183"/>
      <c r="B1244" s="184"/>
      <c r="C1244" s="185"/>
      <c r="D1244" s="186"/>
      <c r="E1244" s="187"/>
      <c r="F1244" s="186"/>
      <c r="G1244" s="190"/>
      <c r="H1244" s="194"/>
      <c r="I1244" s="196"/>
      <c r="J1244" s="192"/>
      <c r="K1244" s="204"/>
    </row>
    <row r="1245" spans="1:11" ht="21" customHeight="1">
      <c r="A1245" s="186"/>
      <c r="B1245" s="184"/>
      <c r="C1245" s="185"/>
      <c r="D1245" s="186"/>
      <c r="E1245" s="187"/>
      <c r="F1245" s="188"/>
      <c r="G1245" s="181"/>
      <c r="H1245" s="194"/>
      <c r="I1245" s="196"/>
      <c r="J1245" s="192"/>
      <c r="K1245" s="204"/>
    </row>
    <row r="1246" spans="1:11">
      <c r="A1246" s="183"/>
      <c r="B1246" s="184"/>
      <c r="C1246" s="185"/>
      <c r="D1246" s="186"/>
      <c r="E1246" s="187"/>
      <c r="F1246" s="186"/>
      <c r="G1246" s="190"/>
      <c r="H1246" s="194"/>
      <c r="I1246" s="196"/>
      <c r="J1246" s="192"/>
      <c r="K1246" s="204"/>
    </row>
    <row r="1247" spans="1:11">
      <c r="A1247" s="186"/>
      <c r="B1247" s="184"/>
      <c r="C1247" s="185"/>
      <c r="D1247" s="186"/>
      <c r="E1247" s="187"/>
      <c r="F1247" s="188"/>
      <c r="G1247" s="181"/>
      <c r="H1247" s="194"/>
      <c r="I1247" s="196"/>
      <c r="J1247" s="192"/>
      <c r="K1247" s="204"/>
    </row>
    <row r="1248" spans="1:11" ht="21" customHeight="1">
      <c r="A1248" s="183"/>
      <c r="B1248" s="184"/>
      <c r="C1248" s="200"/>
      <c r="D1248" s="186"/>
      <c r="E1248" s="187"/>
      <c r="F1248" s="186"/>
      <c r="G1248" s="186"/>
      <c r="H1248" s="194"/>
      <c r="I1248" s="196"/>
      <c r="J1248" s="192"/>
      <c r="K1248" s="204"/>
    </row>
    <row r="1249" spans="1:11">
      <c r="A1249" s="186"/>
      <c r="B1249" s="184"/>
      <c r="C1249" s="200"/>
      <c r="D1249" s="186"/>
      <c r="E1249" s="187"/>
      <c r="F1249" s="188"/>
      <c r="G1249" s="186"/>
      <c r="H1249" s="194"/>
      <c r="I1249" s="196"/>
      <c r="J1249" s="192"/>
      <c r="K1249" s="204"/>
    </row>
    <row r="1250" spans="1:11">
      <c r="A1250" s="183"/>
      <c r="B1250" s="184"/>
      <c r="C1250" s="200"/>
      <c r="D1250" s="186"/>
      <c r="E1250" s="187"/>
      <c r="F1250" s="186"/>
      <c r="G1250" s="190"/>
      <c r="H1250" s="194"/>
      <c r="I1250" s="196"/>
      <c r="J1250" s="192"/>
      <c r="K1250" s="204"/>
    </row>
    <row r="1251" spans="1:11">
      <c r="A1251" s="186"/>
      <c r="B1251" s="184"/>
      <c r="C1251" s="200"/>
      <c r="D1251" s="186"/>
      <c r="E1251" s="187"/>
      <c r="F1251" s="188"/>
      <c r="G1251" s="181"/>
      <c r="H1251" s="194"/>
      <c r="I1251" s="196"/>
      <c r="J1251" s="192"/>
      <c r="K1251" s="204"/>
    </row>
    <row r="1252" spans="1:11">
      <c r="A1252" s="183"/>
      <c r="B1252" s="184"/>
      <c r="C1252" s="185"/>
      <c r="D1252" s="186"/>
      <c r="E1252" s="187"/>
      <c r="F1252" s="186"/>
      <c r="G1252" s="190"/>
      <c r="H1252" s="194"/>
      <c r="I1252" s="196"/>
      <c r="J1252" s="192"/>
      <c r="K1252" s="204"/>
    </row>
    <row r="1253" spans="1:11">
      <c r="A1253" s="186"/>
      <c r="B1253" s="184"/>
      <c r="C1253" s="185"/>
      <c r="D1253" s="186"/>
      <c r="E1253" s="187"/>
      <c r="F1253" s="188"/>
      <c r="G1253" s="181"/>
      <c r="H1253" s="194"/>
      <c r="I1253" s="196"/>
      <c r="J1253" s="192"/>
      <c r="K1253" s="204"/>
    </row>
    <row r="1254" spans="1:11" ht="14" customHeight="1">
      <c r="A1254" s="183"/>
      <c r="B1254" s="184"/>
      <c r="C1254" s="185"/>
      <c r="D1254" s="186"/>
      <c r="E1254" s="187"/>
      <c r="F1254" s="186"/>
      <c r="G1254" s="190"/>
      <c r="H1254" s="194"/>
      <c r="I1254" s="196"/>
      <c r="J1254" s="192"/>
      <c r="K1254" s="204"/>
    </row>
    <row r="1255" spans="1:11">
      <c r="A1255" s="186"/>
      <c r="B1255" s="184"/>
      <c r="C1255" s="185"/>
      <c r="D1255" s="186"/>
      <c r="E1255" s="187"/>
      <c r="F1255" s="188"/>
      <c r="G1255" s="181"/>
      <c r="H1255" s="194"/>
      <c r="I1255" s="196"/>
      <c r="J1255" s="192"/>
      <c r="K1255" s="204"/>
    </row>
    <row r="1256" spans="1:11">
      <c r="A1256" s="183"/>
      <c r="B1256" s="184"/>
      <c r="C1256" s="185"/>
      <c r="D1256" s="186"/>
      <c r="E1256" s="187"/>
      <c r="F1256" s="186"/>
      <c r="G1256" s="190"/>
      <c r="H1256" s="194"/>
      <c r="I1256" s="196"/>
      <c r="J1256" s="192"/>
      <c r="K1256" s="204"/>
    </row>
    <row r="1257" spans="1:11">
      <c r="A1257" s="186"/>
      <c r="B1257" s="184"/>
      <c r="C1257" s="185"/>
      <c r="D1257" s="186"/>
      <c r="E1257" s="187"/>
      <c r="F1257" s="188"/>
      <c r="G1257" s="181"/>
      <c r="H1257" s="194"/>
      <c r="I1257" s="196"/>
      <c r="J1257" s="192"/>
      <c r="K1257" s="204"/>
    </row>
    <row r="1258" spans="1:11">
      <c r="A1258" s="183"/>
      <c r="B1258" s="184"/>
      <c r="C1258" s="185"/>
      <c r="D1258" s="186"/>
      <c r="E1258" s="187"/>
      <c r="F1258" s="186"/>
      <c r="G1258" s="190"/>
      <c r="H1258" s="194"/>
      <c r="I1258" s="196"/>
      <c r="J1258" s="192"/>
      <c r="K1258" s="204"/>
    </row>
    <row r="1259" spans="1:11">
      <c r="A1259" s="186"/>
      <c r="B1259" s="184"/>
      <c r="C1259" s="185"/>
      <c r="D1259" s="186"/>
      <c r="E1259" s="187"/>
      <c r="F1259" s="188"/>
      <c r="G1259" s="181"/>
      <c r="H1259" s="194"/>
      <c r="I1259" s="196"/>
      <c r="J1259" s="192"/>
      <c r="K1259" s="204"/>
    </row>
    <row r="1260" spans="1:11">
      <c r="A1260" s="182"/>
      <c r="B1260" s="184"/>
      <c r="C1260" s="200"/>
      <c r="D1260" s="186"/>
      <c r="E1260" s="187"/>
      <c r="F1260" s="186"/>
      <c r="G1260" s="189"/>
      <c r="H1260" s="186"/>
      <c r="I1260" s="191"/>
      <c r="J1260" s="193"/>
      <c r="K1260" s="204"/>
    </row>
    <row r="1261" spans="1:11">
      <c r="A1261" s="183"/>
      <c r="B1261" s="184"/>
      <c r="C1261" s="200"/>
      <c r="D1261" s="186"/>
      <c r="E1261" s="187"/>
      <c r="F1261" s="186"/>
      <c r="G1261" s="190"/>
      <c r="H1261" s="186"/>
      <c r="I1261" s="191"/>
      <c r="J1261" s="193"/>
      <c r="K1261" s="204"/>
    </row>
    <row r="1262" spans="1:11">
      <c r="A1262" s="186"/>
      <c r="B1262" s="184"/>
      <c r="C1262" s="200"/>
      <c r="D1262" s="186"/>
      <c r="E1262" s="187"/>
      <c r="F1262" s="188"/>
      <c r="G1262" s="181"/>
      <c r="H1262" s="186"/>
      <c r="I1262" s="191"/>
      <c r="J1262" s="193"/>
      <c r="K1262" s="204"/>
    </row>
    <row r="1263" spans="1:11">
      <c r="A1263" s="183"/>
      <c r="B1263" s="184"/>
      <c r="C1263" s="200"/>
      <c r="D1263" s="186"/>
      <c r="E1263" s="187"/>
      <c r="F1263" s="186"/>
      <c r="G1263" s="190"/>
      <c r="H1263" s="194"/>
      <c r="I1263" s="196"/>
      <c r="J1263" s="192"/>
      <c r="K1263" s="204"/>
    </row>
    <row r="1264" spans="1:11">
      <c r="A1264" s="186"/>
      <c r="B1264" s="184"/>
      <c r="C1264" s="200"/>
      <c r="D1264" s="186"/>
      <c r="E1264" s="187"/>
      <c r="F1264" s="188"/>
      <c r="G1264" s="181"/>
      <c r="H1264" s="194"/>
      <c r="I1264" s="196"/>
      <c r="J1264" s="192"/>
      <c r="K1264" s="204"/>
    </row>
    <row r="1265" spans="1:11">
      <c r="A1265" s="182"/>
      <c r="B1265" s="184"/>
      <c r="C1265" s="200"/>
      <c r="D1265" s="186"/>
      <c r="E1265" s="198"/>
      <c r="F1265" s="186"/>
      <c r="G1265" s="186"/>
      <c r="H1265" s="186"/>
      <c r="I1265" s="191"/>
      <c r="J1265" s="193"/>
      <c r="K1265" s="204"/>
    </row>
    <row r="1266" spans="1:11">
      <c r="A1266" s="183"/>
      <c r="B1266" s="184"/>
      <c r="C1266" s="200"/>
      <c r="D1266" s="186"/>
      <c r="E1266" s="198"/>
      <c r="F1266" s="186"/>
      <c r="G1266" s="186"/>
      <c r="H1266" s="186"/>
      <c r="I1266" s="191"/>
      <c r="J1266" s="193"/>
      <c r="K1266" s="204"/>
    </row>
    <row r="1267" spans="1:11">
      <c r="A1267" s="186"/>
      <c r="B1267" s="184"/>
      <c r="C1267" s="200"/>
      <c r="D1267" s="186"/>
      <c r="E1267" s="198"/>
      <c r="F1267" s="186"/>
      <c r="G1267" s="186"/>
      <c r="H1267" s="186"/>
      <c r="I1267" s="191"/>
      <c r="J1267" s="193"/>
      <c r="K1267" s="204"/>
    </row>
    <row r="1268" spans="1:11">
      <c r="A1268" s="183"/>
      <c r="B1268" s="184"/>
      <c r="C1268" s="200"/>
      <c r="D1268" s="186"/>
      <c r="E1268" s="187"/>
      <c r="F1268" s="186"/>
      <c r="G1268" s="186"/>
      <c r="H1268" s="194"/>
      <c r="I1268" s="196"/>
      <c r="J1268" s="193"/>
      <c r="K1268" s="204"/>
    </row>
    <row r="1269" spans="1:11" ht="16" customHeight="1">
      <c r="A1269" s="186"/>
      <c r="B1269" s="184"/>
      <c r="C1269" s="200"/>
      <c r="D1269" s="186"/>
      <c r="E1269" s="187"/>
      <c r="F1269" s="188"/>
      <c r="G1269" s="186"/>
      <c r="H1269" s="194"/>
      <c r="I1269" s="196"/>
      <c r="J1269" s="193"/>
      <c r="K1269" s="204"/>
    </row>
    <row r="1270" spans="1:11">
      <c r="A1270" s="183"/>
      <c r="B1270" s="184"/>
      <c r="C1270" s="197"/>
      <c r="D1270" s="186"/>
      <c r="E1270" s="198"/>
      <c r="F1270" s="186"/>
      <c r="G1270" s="186"/>
      <c r="H1270" s="194"/>
      <c r="I1270" s="196"/>
      <c r="J1270" s="192"/>
      <c r="K1270" s="204"/>
    </row>
    <row r="1271" spans="1:11">
      <c r="A1271" s="186"/>
      <c r="B1271" s="184"/>
      <c r="C1271" s="197"/>
      <c r="D1271" s="186"/>
      <c r="E1271" s="198"/>
      <c r="F1271" s="186"/>
      <c r="G1271" s="186"/>
      <c r="H1271" s="194"/>
      <c r="I1271" s="196"/>
      <c r="J1271" s="192"/>
      <c r="K1271" s="204"/>
    </row>
    <row r="1272" spans="1:11">
      <c r="A1272" s="183"/>
      <c r="B1272" s="184"/>
      <c r="C1272" s="185"/>
      <c r="D1272" s="186"/>
      <c r="E1272" s="187"/>
      <c r="F1272" s="186"/>
      <c r="G1272" s="190"/>
      <c r="H1272" s="194"/>
      <c r="I1272" s="196"/>
      <c r="J1272" s="192"/>
      <c r="K1272" s="204"/>
    </row>
    <row r="1273" spans="1:11">
      <c r="A1273" s="186"/>
      <c r="B1273" s="184"/>
      <c r="C1273" s="185"/>
      <c r="D1273" s="186"/>
      <c r="E1273" s="187"/>
      <c r="F1273" s="188"/>
      <c r="G1273" s="181"/>
      <c r="H1273" s="194"/>
      <c r="I1273" s="196"/>
      <c r="J1273" s="192"/>
      <c r="K1273" s="204"/>
    </row>
    <row r="1274" spans="1:11">
      <c r="A1274" s="183"/>
      <c r="B1274" s="184"/>
      <c r="C1274" s="185"/>
      <c r="D1274" s="186"/>
      <c r="E1274" s="187"/>
      <c r="F1274" s="186"/>
      <c r="G1274" s="190"/>
      <c r="H1274" s="194"/>
      <c r="I1274" s="196"/>
      <c r="J1274" s="192"/>
      <c r="K1274" s="204"/>
    </row>
    <row r="1275" spans="1:11" ht="24" customHeight="1">
      <c r="A1275" s="186"/>
      <c r="B1275" s="184"/>
      <c r="C1275" s="185"/>
      <c r="D1275" s="186"/>
      <c r="E1275" s="187"/>
      <c r="F1275" s="188"/>
      <c r="G1275" s="181"/>
      <c r="H1275" s="194"/>
      <c r="I1275" s="196"/>
      <c r="J1275" s="192"/>
      <c r="K1275" s="204"/>
    </row>
    <row r="1276" spans="1:11">
      <c r="A1276" s="183"/>
      <c r="B1276" s="184"/>
      <c r="C1276" s="185"/>
      <c r="D1276" s="186"/>
      <c r="E1276" s="187"/>
      <c r="F1276" s="186"/>
      <c r="G1276" s="190"/>
      <c r="H1276" s="194"/>
      <c r="I1276" s="196"/>
      <c r="J1276" s="192"/>
      <c r="K1276" s="204"/>
    </row>
    <row r="1277" spans="1:11">
      <c r="A1277" s="186"/>
      <c r="B1277" s="184"/>
      <c r="C1277" s="185"/>
      <c r="D1277" s="186"/>
      <c r="E1277" s="187"/>
      <c r="F1277" s="188"/>
      <c r="G1277" s="181"/>
      <c r="H1277" s="194"/>
      <c r="I1277" s="196"/>
      <c r="J1277" s="192"/>
      <c r="K1277" s="204"/>
    </row>
    <row r="1278" spans="1:11">
      <c r="A1278" s="183"/>
      <c r="B1278" s="184"/>
      <c r="C1278" s="185"/>
      <c r="D1278" s="186"/>
      <c r="E1278" s="187"/>
      <c r="F1278" s="186"/>
      <c r="G1278" s="190"/>
      <c r="H1278" s="194"/>
      <c r="I1278" s="196"/>
      <c r="J1278" s="192"/>
      <c r="K1278" s="204"/>
    </row>
    <row r="1279" spans="1:11">
      <c r="A1279" s="186"/>
      <c r="B1279" s="184"/>
      <c r="C1279" s="185"/>
      <c r="D1279" s="186"/>
      <c r="E1279" s="187"/>
      <c r="F1279" s="188"/>
      <c r="G1279" s="181"/>
      <c r="H1279" s="194"/>
      <c r="I1279" s="196"/>
      <c r="J1279" s="192"/>
      <c r="K1279" s="204"/>
    </row>
    <row r="1280" spans="1:11">
      <c r="A1280" s="183"/>
      <c r="B1280" s="184"/>
      <c r="C1280" s="185"/>
      <c r="D1280" s="186"/>
      <c r="E1280" s="187"/>
      <c r="F1280" s="186"/>
      <c r="G1280" s="190"/>
      <c r="H1280" s="194"/>
      <c r="I1280" s="196"/>
      <c r="J1280" s="192"/>
      <c r="K1280" s="204"/>
    </row>
    <row r="1281" spans="1:11">
      <c r="A1281" s="186"/>
      <c r="B1281" s="184"/>
      <c r="C1281" s="185"/>
      <c r="D1281" s="186"/>
      <c r="E1281" s="187"/>
      <c r="F1281" s="188"/>
      <c r="G1281" s="181"/>
      <c r="H1281" s="194"/>
      <c r="I1281" s="196"/>
      <c r="J1281" s="192"/>
      <c r="K1281" s="204"/>
    </row>
    <row r="1282" spans="1:11">
      <c r="A1282" s="182"/>
      <c r="B1282" s="184"/>
      <c r="C1282" s="185"/>
      <c r="D1282" s="186"/>
      <c r="E1282" s="187"/>
      <c r="F1282" s="186"/>
      <c r="G1282" s="189"/>
      <c r="H1282" s="186"/>
      <c r="I1282" s="191"/>
      <c r="J1282" s="192"/>
      <c r="K1282" s="204"/>
    </row>
    <row r="1283" spans="1:11">
      <c r="A1283" s="183"/>
      <c r="B1283" s="184"/>
      <c r="C1283" s="185"/>
      <c r="D1283" s="186"/>
      <c r="E1283" s="187"/>
      <c r="F1283" s="186"/>
      <c r="G1283" s="190"/>
      <c r="H1283" s="186"/>
      <c r="I1283" s="191"/>
      <c r="J1283" s="192"/>
      <c r="K1283" s="204"/>
    </row>
    <row r="1284" spans="1:11" ht="16" customHeight="1">
      <c r="A1284" s="181"/>
      <c r="B1284" s="184"/>
      <c r="C1284" s="185"/>
      <c r="D1284" s="186"/>
      <c r="E1284" s="187"/>
      <c r="F1284" s="188"/>
      <c r="G1284" s="181"/>
      <c r="H1284" s="186"/>
      <c r="I1284" s="191"/>
      <c r="J1284" s="192"/>
      <c r="K1284" s="204"/>
    </row>
    <row r="1285" spans="1:11">
      <c r="A1285" s="182"/>
      <c r="B1285" s="184"/>
      <c r="C1285" s="185"/>
      <c r="D1285" s="186"/>
      <c r="E1285" s="187"/>
      <c r="F1285" s="186"/>
      <c r="G1285" s="189"/>
      <c r="H1285" s="186"/>
      <c r="I1285" s="191"/>
      <c r="J1285" s="192"/>
      <c r="K1285" s="204"/>
    </row>
    <row r="1286" spans="1:11">
      <c r="A1286" s="183"/>
      <c r="B1286" s="184"/>
      <c r="C1286" s="185"/>
      <c r="D1286" s="186"/>
      <c r="E1286" s="187"/>
      <c r="F1286" s="186"/>
      <c r="G1286" s="190"/>
      <c r="H1286" s="186"/>
      <c r="I1286" s="191"/>
      <c r="J1286" s="192"/>
      <c r="K1286" s="204"/>
    </row>
    <row r="1287" spans="1:11" ht="31.5" customHeight="1">
      <c r="A1287" s="181"/>
      <c r="B1287" s="184"/>
      <c r="C1287" s="185"/>
      <c r="D1287" s="186"/>
      <c r="E1287" s="187"/>
      <c r="F1287" s="188"/>
      <c r="G1287" s="181"/>
      <c r="H1287" s="186"/>
      <c r="I1287" s="191"/>
      <c r="J1287" s="192"/>
      <c r="K1287" s="204"/>
    </row>
    <row r="1288" spans="1:11">
      <c r="A1288" s="182"/>
      <c r="B1288" s="184"/>
      <c r="C1288" s="185"/>
      <c r="D1288" s="186"/>
      <c r="E1288" s="187"/>
      <c r="F1288" s="186"/>
      <c r="G1288" s="189"/>
      <c r="H1288" s="186"/>
      <c r="I1288" s="191"/>
      <c r="J1288" s="192"/>
      <c r="K1288" s="204"/>
    </row>
    <row r="1289" spans="1:11">
      <c r="A1289" s="183"/>
      <c r="B1289" s="184"/>
      <c r="C1289" s="185"/>
      <c r="D1289" s="186"/>
      <c r="E1289" s="187"/>
      <c r="F1289" s="186"/>
      <c r="G1289" s="190"/>
      <c r="H1289" s="186"/>
      <c r="I1289" s="191"/>
      <c r="J1289" s="192"/>
      <c r="K1289" s="204"/>
    </row>
    <row r="1290" spans="1:11" ht="16" customHeight="1">
      <c r="A1290" s="181"/>
      <c r="B1290" s="184"/>
      <c r="C1290" s="185"/>
      <c r="D1290" s="186"/>
      <c r="E1290" s="187"/>
      <c r="F1290" s="188"/>
      <c r="G1290" s="181"/>
      <c r="H1290" s="186"/>
      <c r="I1290" s="191"/>
      <c r="J1290" s="192"/>
      <c r="K1290" s="204"/>
    </row>
    <row r="1291" spans="1:11">
      <c r="A1291" s="182"/>
      <c r="B1291" s="184"/>
      <c r="C1291" s="185"/>
      <c r="D1291" s="186"/>
      <c r="E1291" s="187"/>
      <c r="F1291" s="186"/>
      <c r="G1291" s="189"/>
      <c r="H1291" s="186"/>
      <c r="I1291" s="191"/>
      <c r="J1291" s="192"/>
      <c r="K1291" s="204"/>
    </row>
    <row r="1292" spans="1:11">
      <c r="A1292" s="183"/>
      <c r="B1292" s="184"/>
      <c r="C1292" s="185"/>
      <c r="D1292" s="186"/>
      <c r="E1292" s="187"/>
      <c r="F1292" s="186"/>
      <c r="G1292" s="190"/>
      <c r="H1292" s="186"/>
      <c r="I1292" s="191"/>
      <c r="J1292" s="192"/>
      <c r="K1292" s="204"/>
    </row>
    <row r="1293" spans="1:11">
      <c r="A1293" s="181"/>
      <c r="B1293" s="184"/>
      <c r="C1293" s="185"/>
      <c r="D1293" s="186"/>
      <c r="E1293" s="187"/>
      <c r="F1293" s="188"/>
      <c r="G1293" s="181"/>
      <c r="H1293" s="186"/>
      <c r="I1293" s="191"/>
      <c r="J1293" s="192"/>
      <c r="K1293" s="204"/>
    </row>
    <row r="1294" spans="1:11">
      <c r="A1294" s="182"/>
      <c r="B1294" s="184"/>
      <c r="C1294" s="185"/>
      <c r="D1294" s="186"/>
      <c r="E1294" s="187"/>
      <c r="F1294" s="186"/>
      <c r="G1294" s="189"/>
      <c r="H1294" s="186"/>
      <c r="I1294" s="191"/>
      <c r="J1294" s="192"/>
      <c r="K1294" s="204"/>
    </row>
    <row r="1295" spans="1:11">
      <c r="A1295" s="183"/>
      <c r="B1295" s="184"/>
      <c r="C1295" s="185"/>
      <c r="D1295" s="186"/>
      <c r="E1295" s="187"/>
      <c r="F1295" s="186"/>
      <c r="G1295" s="190"/>
      <c r="H1295" s="186"/>
      <c r="I1295" s="191"/>
      <c r="J1295" s="192"/>
      <c r="K1295" s="204"/>
    </row>
    <row r="1296" spans="1:11">
      <c r="A1296" s="181"/>
      <c r="B1296" s="184"/>
      <c r="C1296" s="185"/>
      <c r="D1296" s="186"/>
      <c r="E1296" s="187"/>
      <c r="F1296" s="188"/>
      <c r="G1296" s="181"/>
      <c r="H1296" s="186"/>
      <c r="I1296" s="191"/>
      <c r="J1296" s="192"/>
      <c r="K1296" s="204"/>
    </row>
    <row r="1297" spans="1:11">
      <c r="A1297" s="182"/>
      <c r="B1297" s="184"/>
      <c r="C1297" s="185"/>
      <c r="D1297" s="186"/>
      <c r="E1297" s="187"/>
      <c r="F1297" s="186"/>
      <c r="G1297" s="189"/>
      <c r="H1297" s="186"/>
      <c r="I1297" s="191"/>
      <c r="J1297" s="192"/>
      <c r="K1297" s="204"/>
    </row>
    <row r="1298" spans="1:11">
      <c r="A1298" s="183"/>
      <c r="B1298" s="184"/>
      <c r="C1298" s="185"/>
      <c r="D1298" s="186"/>
      <c r="E1298" s="187"/>
      <c r="F1298" s="186"/>
      <c r="G1298" s="190"/>
      <c r="H1298" s="186"/>
      <c r="I1298" s="191"/>
      <c r="J1298" s="192"/>
      <c r="K1298" s="204"/>
    </row>
    <row r="1299" spans="1:11" ht="21.5" customHeight="1">
      <c r="A1299" s="181"/>
      <c r="B1299" s="184"/>
      <c r="C1299" s="185"/>
      <c r="D1299" s="186"/>
      <c r="E1299" s="187"/>
      <c r="F1299" s="188"/>
      <c r="G1299" s="181"/>
      <c r="H1299" s="186"/>
      <c r="I1299" s="191"/>
      <c r="J1299" s="192"/>
      <c r="K1299" s="204"/>
    </row>
    <row r="1300" spans="1:11">
      <c r="A1300" s="182"/>
      <c r="B1300" s="184"/>
      <c r="C1300" s="185"/>
      <c r="D1300" s="186"/>
      <c r="E1300" s="187"/>
      <c r="F1300" s="186"/>
      <c r="G1300" s="189"/>
      <c r="H1300" s="186"/>
      <c r="I1300" s="191"/>
      <c r="J1300" s="192"/>
      <c r="K1300" s="204"/>
    </row>
    <row r="1301" spans="1:11" ht="21" customHeight="1">
      <c r="A1301" s="183"/>
      <c r="B1301" s="184"/>
      <c r="C1301" s="185"/>
      <c r="D1301" s="186"/>
      <c r="E1301" s="187"/>
      <c r="F1301" s="186"/>
      <c r="G1301" s="190"/>
      <c r="H1301" s="186"/>
      <c r="I1301" s="191"/>
      <c r="J1301" s="192"/>
      <c r="K1301" s="204"/>
    </row>
    <row r="1302" spans="1:11">
      <c r="A1302" s="181"/>
      <c r="B1302" s="184"/>
      <c r="C1302" s="185"/>
      <c r="D1302" s="186"/>
      <c r="E1302" s="187"/>
      <c r="F1302" s="188"/>
      <c r="G1302" s="181"/>
      <c r="H1302" s="186"/>
      <c r="I1302" s="191"/>
      <c r="J1302" s="192"/>
      <c r="K1302" s="204"/>
    </row>
    <row r="1303" spans="1:11">
      <c r="A1303" s="182"/>
      <c r="B1303" s="184"/>
      <c r="C1303" s="185"/>
      <c r="D1303" s="186"/>
      <c r="E1303" s="187"/>
      <c r="F1303" s="186"/>
      <c r="G1303" s="189"/>
      <c r="H1303" s="186"/>
      <c r="I1303" s="191"/>
      <c r="J1303" s="192"/>
      <c r="K1303" s="204"/>
    </row>
    <row r="1304" spans="1:11" ht="24" customHeight="1">
      <c r="A1304" s="183"/>
      <c r="B1304" s="184"/>
      <c r="C1304" s="185"/>
      <c r="D1304" s="186"/>
      <c r="E1304" s="187"/>
      <c r="F1304" s="186"/>
      <c r="G1304" s="190"/>
      <c r="H1304" s="186"/>
      <c r="I1304" s="191"/>
      <c r="J1304" s="192"/>
      <c r="K1304" s="204"/>
    </row>
    <row r="1305" spans="1:11">
      <c r="A1305" s="181"/>
      <c r="B1305" s="184"/>
      <c r="C1305" s="185"/>
      <c r="D1305" s="186"/>
      <c r="E1305" s="187"/>
      <c r="F1305" s="188"/>
      <c r="G1305" s="181"/>
      <c r="H1305" s="186"/>
      <c r="I1305" s="191"/>
      <c r="J1305" s="192"/>
      <c r="K1305" s="204"/>
    </row>
    <row r="1306" spans="1:11">
      <c r="A1306" s="182"/>
      <c r="B1306" s="184"/>
      <c r="C1306" s="185"/>
      <c r="D1306" s="186"/>
      <c r="E1306" s="187"/>
      <c r="F1306" s="186"/>
      <c r="G1306" s="189"/>
      <c r="H1306" s="186"/>
      <c r="I1306" s="191"/>
      <c r="J1306" s="192"/>
      <c r="K1306" s="204"/>
    </row>
    <row r="1307" spans="1:11" ht="31.5" customHeight="1">
      <c r="A1307" s="183"/>
      <c r="B1307" s="184"/>
      <c r="C1307" s="185"/>
      <c r="D1307" s="186"/>
      <c r="E1307" s="187"/>
      <c r="F1307" s="186"/>
      <c r="G1307" s="190"/>
      <c r="H1307" s="186"/>
      <c r="I1307" s="191"/>
      <c r="J1307" s="192"/>
      <c r="K1307" s="204"/>
    </row>
    <row r="1308" spans="1:11">
      <c r="A1308" s="181"/>
      <c r="B1308" s="184"/>
      <c r="C1308" s="185"/>
      <c r="D1308" s="186"/>
      <c r="E1308" s="187"/>
      <c r="F1308" s="188"/>
      <c r="G1308" s="181"/>
      <c r="H1308" s="186"/>
      <c r="I1308" s="191"/>
      <c r="J1308" s="192"/>
      <c r="K1308" s="204"/>
    </row>
    <row r="1309" spans="1:11">
      <c r="A1309" s="182"/>
      <c r="B1309" s="184"/>
      <c r="C1309" s="185"/>
      <c r="D1309" s="186"/>
      <c r="E1309" s="187"/>
      <c r="F1309" s="186"/>
      <c r="G1309" s="189"/>
      <c r="H1309" s="186"/>
      <c r="I1309" s="191"/>
      <c r="J1309" s="192"/>
      <c r="K1309" s="204"/>
    </row>
    <row r="1310" spans="1:11" ht="24" customHeight="1">
      <c r="A1310" s="183"/>
      <c r="B1310" s="184"/>
      <c r="C1310" s="185"/>
      <c r="D1310" s="186"/>
      <c r="E1310" s="187"/>
      <c r="F1310" s="186"/>
      <c r="G1310" s="190"/>
      <c r="H1310" s="186"/>
      <c r="I1310" s="191"/>
      <c r="J1310" s="192"/>
      <c r="K1310" s="204"/>
    </row>
    <row r="1311" spans="1:11">
      <c r="A1311" s="181"/>
      <c r="B1311" s="184"/>
      <c r="C1311" s="185"/>
      <c r="D1311" s="186"/>
      <c r="E1311" s="187"/>
      <c r="F1311" s="188"/>
      <c r="G1311" s="181"/>
      <c r="H1311" s="186"/>
      <c r="I1311" s="191"/>
      <c r="J1311" s="192"/>
      <c r="K1311" s="204"/>
    </row>
    <row r="1312" spans="1:11">
      <c r="A1312" s="182"/>
      <c r="B1312" s="184"/>
      <c r="C1312" s="185"/>
      <c r="D1312" s="186"/>
      <c r="E1312" s="187"/>
      <c r="F1312" s="186"/>
      <c r="G1312" s="189"/>
      <c r="H1312" s="186"/>
      <c r="I1312" s="191"/>
      <c r="J1312" s="192"/>
      <c r="K1312" s="204"/>
    </row>
    <row r="1313" spans="1:11" ht="16" customHeight="1">
      <c r="A1313" s="183"/>
      <c r="B1313" s="184"/>
      <c r="C1313" s="185"/>
      <c r="D1313" s="186"/>
      <c r="E1313" s="187"/>
      <c r="F1313" s="186"/>
      <c r="G1313" s="190"/>
      <c r="H1313" s="186"/>
      <c r="I1313" s="191"/>
      <c r="J1313" s="192"/>
      <c r="K1313" s="204"/>
    </row>
    <row r="1314" spans="1:11">
      <c r="A1314" s="181"/>
      <c r="B1314" s="184"/>
      <c r="C1314" s="185"/>
      <c r="D1314" s="186"/>
      <c r="E1314" s="187"/>
      <c r="F1314" s="188"/>
      <c r="G1314" s="181"/>
      <c r="H1314" s="186"/>
      <c r="I1314" s="191"/>
      <c r="J1314" s="192"/>
      <c r="K1314" s="204"/>
    </row>
    <row r="1315" spans="1:11">
      <c r="A1315" s="182"/>
      <c r="B1315" s="184"/>
      <c r="C1315" s="185"/>
      <c r="D1315" s="186"/>
      <c r="E1315" s="187"/>
      <c r="F1315" s="186"/>
      <c r="G1315" s="189"/>
      <c r="H1315" s="186"/>
      <c r="I1315" s="191"/>
      <c r="J1315" s="192"/>
      <c r="K1315" s="204"/>
    </row>
    <row r="1316" spans="1:11">
      <c r="A1316" s="183"/>
      <c r="B1316" s="184"/>
      <c r="C1316" s="185"/>
      <c r="D1316" s="186"/>
      <c r="E1316" s="187"/>
      <c r="F1316" s="186"/>
      <c r="G1316" s="190"/>
      <c r="H1316" s="186"/>
      <c r="I1316" s="191"/>
      <c r="J1316" s="192"/>
      <c r="K1316" s="204"/>
    </row>
    <row r="1317" spans="1:11">
      <c r="A1317" s="181"/>
      <c r="B1317" s="184"/>
      <c r="C1317" s="185"/>
      <c r="D1317" s="186"/>
      <c r="E1317" s="187"/>
      <c r="F1317" s="188"/>
      <c r="G1317" s="181"/>
      <c r="H1317" s="186"/>
      <c r="I1317" s="191"/>
      <c r="J1317" s="192"/>
      <c r="K1317" s="204"/>
    </row>
    <row r="1318" spans="1:11">
      <c r="A1318" s="182"/>
      <c r="B1318" s="184"/>
      <c r="C1318" s="185"/>
      <c r="D1318" s="186"/>
      <c r="E1318" s="187"/>
      <c r="F1318" s="186"/>
      <c r="G1318" s="189"/>
      <c r="H1318" s="186"/>
      <c r="I1318" s="191"/>
      <c r="J1318" s="192"/>
      <c r="K1318" s="204"/>
    </row>
    <row r="1319" spans="1:11" ht="16" customHeight="1">
      <c r="A1319" s="183"/>
      <c r="B1319" s="184"/>
      <c r="C1319" s="185"/>
      <c r="D1319" s="186"/>
      <c r="E1319" s="187"/>
      <c r="F1319" s="186"/>
      <c r="G1319" s="190"/>
      <c r="H1319" s="186"/>
      <c r="I1319" s="191"/>
      <c r="J1319" s="192"/>
      <c r="K1319" s="204"/>
    </row>
    <row r="1320" spans="1:11">
      <c r="A1320" s="181"/>
      <c r="B1320" s="184"/>
      <c r="C1320" s="185"/>
      <c r="D1320" s="186"/>
      <c r="E1320" s="187"/>
      <c r="F1320" s="188"/>
      <c r="G1320" s="181"/>
      <c r="H1320" s="186"/>
      <c r="I1320" s="191"/>
      <c r="J1320" s="192"/>
      <c r="K1320" s="204"/>
    </row>
    <row r="1321" spans="1:11">
      <c r="A1321" s="182"/>
      <c r="B1321" s="184"/>
      <c r="C1321" s="185"/>
      <c r="D1321" s="186"/>
      <c r="E1321" s="187"/>
      <c r="F1321" s="186"/>
      <c r="G1321" s="189"/>
      <c r="H1321" s="186"/>
      <c r="I1321" s="191"/>
      <c r="J1321" s="192"/>
      <c r="K1321" s="204"/>
    </row>
    <row r="1322" spans="1:11" ht="16" customHeight="1">
      <c r="A1322" s="183"/>
      <c r="B1322" s="184"/>
      <c r="C1322" s="185"/>
      <c r="D1322" s="186"/>
      <c r="E1322" s="187"/>
      <c r="F1322" s="186"/>
      <c r="G1322" s="190"/>
      <c r="H1322" s="186"/>
      <c r="I1322" s="191"/>
      <c r="J1322" s="192"/>
      <c r="K1322" s="204"/>
    </row>
    <row r="1323" spans="1:11">
      <c r="A1323" s="181"/>
      <c r="B1323" s="184"/>
      <c r="C1323" s="185"/>
      <c r="D1323" s="186"/>
      <c r="E1323" s="187"/>
      <c r="F1323" s="188"/>
      <c r="G1323" s="181"/>
      <c r="H1323" s="186"/>
      <c r="I1323" s="191"/>
      <c r="J1323" s="192"/>
      <c r="K1323" s="204"/>
    </row>
    <row r="1324" spans="1:11">
      <c r="A1324" s="182"/>
      <c r="B1324" s="184"/>
      <c r="C1324" s="185"/>
      <c r="D1324" s="186"/>
      <c r="E1324" s="187"/>
      <c r="F1324" s="186"/>
      <c r="G1324" s="189"/>
      <c r="H1324" s="186"/>
      <c r="I1324" s="191"/>
      <c r="J1324" s="192"/>
      <c r="K1324" s="204"/>
    </row>
    <row r="1325" spans="1:11" ht="16" customHeight="1">
      <c r="A1325" s="183"/>
      <c r="B1325" s="184"/>
      <c r="C1325" s="185"/>
      <c r="D1325" s="186"/>
      <c r="E1325" s="187"/>
      <c r="F1325" s="186"/>
      <c r="G1325" s="190"/>
      <c r="H1325" s="186"/>
      <c r="I1325" s="191"/>
      <c r="J1325" s="192"/>
      <c r="K1325" s="204"/>
    </row>
    <row r="1326" spans="1:11">
      <c r="A1326" s="181"/>
      <c r="B1326" s="184"/>
      <c r="C1326" s="185"/>
      <c r="D1326" s="186"/>
      <c r="E1326" s="187"/>
      <c r="F1326" s="188"/>
      <c r="G1326" s="181"/>
      <c r="H1326" s="186"/>
      <c r="I1326" s="191"/>
      <c r="J1326" s="192"/>
      <c r="K1326" s="204"/>
    </row>
    <row r="1327" spans="1:11">
      <c r="A1327" s="182"/>
      <c r="B1327" s="184"/>
      <c r="C1327" s="185"/>
      <c r="D1327" s="186"/>
      <c r="E1327" s="187"/>
      <c r="F1327" s="186"/>
      <c r="G1327" s="189"/>
      <c r="H1327" s="186"/>
      <c r="I1327" s="191"/>
      <c r="J1327" s="193"/>
      <c r="K1327" s="204"/>
    </row>
    <row r="1328" spans="1:11">
      <c r="A1328" s="183"/>
      <c r="B1328" s="184"/>
      <c r="C1328" s="185"/>
      <c r="D1328" s="186"/>
      <c r="E1328" s="187"/>
      <c r="F1328" s="186"/>
      <c r="G1328" s="190"/>
      <c r="H1328" s="186"/>
      <c r="I1328" s="191"/>
      <c r="J1328" s="193"/>
      <c r="K1328" s="204"/>
    </row>
    <row r="1329" spans="1:11">
      <c r="A1329" s="181"/>
      <c r="B1329" s="184"/>
      <c r="C1329" s="185"/>
      <c r="D1329" s="186"/>
      <c r="E1329" s="187"/>
      <c r="F1329" s="188"/>
      <c r="G1329" s="181"/>
      <c r="H1329" s="186"/>
      <c r="I1329" s="191"/>
      <c r="J1329" s="193"/>
      <c r="K1329" s="204"/>
    </row>
    <row r="1330" spans="1:11">
      <c r="A1330" s="182"/>
      <c r="B1330" s="184"/>
      <c r="C1330" s="185"/>
      <c r="D1330" s="186"/>
      <c r="E1330" s="187"/>
      <c r="F1330" s="186"/>
      <c r="G1330" s="189"/>
      <c r="H1330" s="186"/>
      <c r="I1330" s="191"/>
      <c r="J1330" s="192"/>
      <c r="K1330" s="204"/>
    </row>
    <row r="1331" spans="1:11">
      <c r="A1331" s="183"/>
      <c r="B1331" s="184"/>
      <c r="C1331" s="185"/>
      <c r="D1331" s="186"/>
      <c r="E1331" s="187"/>
      <c r="F1331" s="186"/>
      <c r="G1331" s="190"/>
      <c r="H1331" s="186"/>
      <c r="I1331" s="191"/>
      <c r="J1331" s="192"/>
      <c r="K1331" s="204"/>
    </row>
    <row r="1332" spans="1:11">
      <c r="A1332" s="181"/>
      <c r="B1332" s="184"/>
      <c r="C1332" s="185"/>
      <c r="D1332" s="186"/>
      <c r="E1332" s="187"/>
      <c r="F1332" s="188"/>
      <c r="G1332" s="181"/>
      <c r="H1332" s="186"/>
      <c r="I1332" s="191"/>
      <c r="J1332" s="192"/>
      <c r="K1332" s="204"/>
    </row>
    <row r="1333" spans="1:11">
      <c r="A1333" s="182"/>
      <c r="B1333" s="184"/>
      <c r="C1333" s="185"/>
      <c r="D1333" s="186"/>
      <c r="E1333" s="187"/>
      <c r="F1333" s="186"/>
      <c r="G1333" s="189"/>
      <c r="H1333" s="186"/>
      <c r="I1333" s="191"/>
      <c r="J1333" s="192"/>
      <c r="K1333" s="204"/>
    </row>
    <row r="1334" spans="1:11">
      <c r="A1334" s="183"/>
      <c r="B1334" s="184"/>
      <c r="C1334" s="185"/>
      <c r="D1334" s="186"/>
      <c r="E1334" s="187"/>
      <c r="F1334" s="186"/>
      <c r="G1334" s="190"/>
      <c r="H1334" s="186"/>
      <c r="I1334" s="191"/>
      <c r="J1334" s="192"/>
      <c r="K1334" s="204"/>
    </row>
    <row r="1335" spans="1:11">
      <c r="A1335" s="181"/>
      <c r="B1335" s="184"/>
      <c r="C1335" s="185"/>
      <c r="D1335" s="186"/>
      <c r="E1335" s="187"/>
      <c r="F1335" s="188"/>
      <c r="G1335" s="181"/>
      <c r="H1335" s="186"/>
      <c r="I1335" s="191"/>
      <c r="J1335" s="192"/>
      <c r="K1335" s="204"/>
    </row>
    <row r="1336" spans="1:11">
      <c r="A1336" s="183"/>
      <c r="B1336" s="184"/>
      <c r="C1336" s="185"/>
      <c r="D1336" s="186"/>
      <c r="E1336" s="187"/>
      <c r="F1336" s="186"/>
      <c r="G1336" s="190"/>
      <c r="H1336" s="194"/>
      <c r="I1336" s="196"/>
      <c r="J1336" s="192"/>
      <c r="K1336" s="204"/>
    </row>
    <row r="1337" spans="1:11">
      <c r="A1337" s="186"/>
      <c r="B1337" s="184"/>
      <c r="C1337" s="185"/>
      <c r="D1337" s="186"/>
      <c r="E1337" s="187"/>
      <c r="F1337" s="188"/>
      <c r="G1337" s="181"/>
      <c r="H1337" s="194"/>
      <c r="I1337" s="196"/>
      <c r="J1337" s="192"/>
      <c r="K1337" s="204"/>
    </row>
    <row r="1338" spans="1:11">
      <c r="A1338" s="183"/>
      <c r="B1338" s="184"/>
      <c r="C1338" s="185"/>
      <c r="D1338" s="186"/>
      <c r="E1338" s="187"/>
      <c r="F1338" s="186"/>
      <c r="G1338" s="190"/>
      <c r="H1338" s="194"/>
      <c r="I1338" s="196"/>
      <c r="J1338" s="192"/>
      <c r="K1338" s="204"/>
    </row>
    <row r="1339" spans="1:11">
      <c r="A1339" s="186"/>
      <c r="B1339" s="184"/>
      <c r="C1339" s="185"/>
      <c r="D1339" s="186"/>
      <c r="E1339" s="187"/>
      <c r="F1339" s="188"/>
      <c r="G1339" s="181"/>
      <c r="H1339" s="194"/>
      <c r="I1339" s="196"/>
      <c r="J1339" s="192"/>
      <c r="K1339" s="204"/>
    </row>
    <row r="1340" spans="1:11" ht="14" customHeight="1">
      <c r="A1340" s="183"/>
      <c r="B1340" s="184"/>
      <c r="C1340" s="203"/>
      <c r="D1340" s="186"/>
      <c r="E1340" s="187"/>
      <c r="F1340" s="186"/>
      <c r="G1340" s="186"/>
      <c r="H1340" s="186"/>
      <c r="I1340" s="196"/>
      <c r="J1340" s="192"/>
      <c r="K1340" s="204"/>
    </row>
    <row r="1341" spans="1:11">
      <c r="A1341" s="186"/>
      <c r="B1341" s="184"/>
      <c r="C1341" s="203"/>
      <c r="D1341" s="186"/>
      <c r="E1341" s="187"/>
      <c r="F1341" s="188"/>
      <c r="G1341" s="186"/>
      <c r="H1341" s="181"/>
      <c r="I1341" s="196"/>
      <c r="J1341" s="192"/>
      <c r="K1341" s="204"/>
    </row>
    <row r="1342" spans="1:11">
      <c r="A1342" s="183"/>
      <c r="B1342" s="184"/>
      <c r="C1342" s="203"/>
      <c r="D1342" s="186"/>
      <c r="E1342" s="198"/>
      <c r="F1342" s="186"/>
      <c r="G1342" s="186"/>
      <c r="H1342" s="186"/>
      <c r="I1342" s="196"/>
      <c r="J1342" s="192"/>
      <c r="K1342" s="204"/>
    </row>
    <row r="1343" spans="1:11">
      <c r="A1343" s="186"/>
      <c r="B1343" s="184"/>
      <c r="C1343" s="203"/>
      <c r="D1343" s="186"/>
      <c r="E1343" s="198"/>
      <c r="F1343" s="186"/>
      <c r="G1343" s="186"/>
      <c r="H1343" s="181"/>
      <c r="I1343" s="196"/>
      <c r="J1343" s="192"/>
      <c r="K1343" s="204"/>
    </row>
    <row r="1344" spans="1:11">
      <c r="A1344" s="183"/>
      <c r="B1344" s="184"/>
      <c r="C1344" s="203"/>
      <c r="D1344" s="186"/>
      <c r="E1344" s="198"/>
      <c r="F1344" s="186"/>
      <c r="G1344" s="186"/>
      <c r="H1344" s="186"/>
      <c r="I1344" s="196"/>
      <c r="J1344" s="192"/>
      <c r="K1344" s="204"/>
    </row>
    <row r="1345" spans="1:11">
      <c r="A1345" s="186"/>
      <c r="B1345" s="184"/>
      <c r="C1345" s="203"/>
      <c r="D1345" s="186"/>
      <c r="E1345" s="198"/>
      <c r="F1345" s="186"/>
      <c r="G1345" s="186"/>
      <c r="H1345" s="181"/>
      <c r="I1345" s="196"/>
      <c r="J1345" s="192"/>
      <c r="K1345" s="204"/>
    </row>
    <row r="1346" spans="1:11" ht="24" customHeight="1">
      <c r="A1346" s="182"/>
      <c r="B1346" s="184"/>
      <c r="C1346" s="202"/>
      <c r="D1346" s="186"/>
      <c r="E1346" s="198"/>
      <c r="F1346" s="186"/>
      <c r="G1346" s="186"/>
      <c r="H1346" s="186"/>
      <c r="I1346" s="191"/>
      <c r="J1346" s="192"/>
      <c r="K1346" s="204"/>
    </row>
    <row r="1347" spans="1:11">
      <c r="A1347" s="183"/>
      <c r="B1347" s="184"/>
      <c r="C1347" s="202"/>
      <c r="D1347" s="186"/>
      <c r="E1347" s="198"/>
      <c r="F1347" s="186"/>
      <c r="G1347" s="186"/>
      <c r="H1347" s="186"/>
      <c r="I1347" s="191"/>
      <c r="J1347" s="192"/>
      <c r="K1347" s="204"/>
    </row>
    <row r="1348" spans="1:11">
      <c r="A1348" s="186"/>
      <c r="B1348" s="184"/>
      <c r="C1348" s="202"/>
      <c r="D1348" s="186"/>
      <c r="E1348" s="198"/>
      <c r="F1348" s="186"/>
      <c r="G1348" s="186"/>
      <c r="H1348" s="186"/>
      <c r="I1348" s="191"/>
      <c r="J1348" s="192"/>
      <c r="K1348" s="204"/>
    </row>
    <row r="1349" spans="1:11" ht="24" customHeight="1">
      <c r="A1349" s="183"/>
      <c r="B1349" s="184"/>
      <c r="C1349" s="185"/>
      <c r="D1349" s="186"/>
      <c r="E1349" s="187"/>
      <c r="F1349" s="186"/>
      <c r="G1349" s="190"/>
      <c r="H1349" s="194"/>
      <c r="I1349" s="196"/>
      <c r="J1349" s="192"/>
      <c r="K1349" s="204"/>
    </row>
    <row r="1350" spans="1:11">
      <c r="A1350" s="186"/>
      <c r="B1350" s="184"/>
      <c r="C1350" s="185"/>
      <c r="D1350" s="186"/>
      <c r="E1350" s="187"/>
      <c r="F1350" s="188"/>
      <c r="G1350" s="181"/>
      <c r="H1350" s="194"/>
      <c r="I1350" s="196"/>
      <c r="J1350" s="192"/>
      <c r="K1350" s="204"/>
    </row>
    <row r="1351" spans="1:11">
      <c r="A1351" s="183"/>
      <c r="B1351" s="184"/>
      <c r="C1351" s="203"/>
      <c r="D1351" s="186"/>
      <c r="E1351" s="187"/>
      <c r="F1351" s="186"/>
      <c r="G1351" s="190"/>
      <c r="H1351" s="194"/>
      <c r="I1351" s="196"/>
      <c r="J1351" s="192"/>
      <c r="K1351" s="204"/>
    </row>
    <row r="1352" spans="1:11" ht="14" customHeight="1">
      <c r="A1352" s="186"/>
      <c r="B1352" s="184"/>
      <c r="C1352" s="203"/>
      <c r="D1352" s="186"/>
      <c r="E1352" s="187"/>
      <c r="F1352" s="188"/>
      <c r="G1352" s="181"/>
      <c r="H1352" s="194"/>
      <c r="I1352" s="196"/>
      <c r="J1352" s="192"/>
      <c r="K1352" s="204"/>
    </row>
    <row r="1353" spans="1:11">
      <c r="A1353" s="183"/>
      <c r="B1353" s="184"/>
      <c r="C1353" s="202"/>
      <c r="D1353" s="186"/>
      <c r="E1353" s="198"/>
      <c r="F1353" s="186"/>
      <c r="G1353" s="186"/>
      <c r="H1353" s="186"/>
      <c r="I1353" s="196"/>
      <c r="J1353" s="192"/>
      <c r="K1353" s="204"/>
    </row>
    <row r="1354" spans="1:11">
      <c r="A1354" s="186"/>
      <c r="B1354" s="184"/>
      <c r="C1354" s="202"/>
      <c r="D1354" s="186"/>
      <c r="E1354" s="198"/>
      <c r="F1354" s="186"/>
      <c r="G1354" s="186"/>
      <c r="H1354" s="181"/>
      <c r="I1354" s="196"/>
      <c r="J1354" s="192"/>
      <c r="K1354" s="204"/>
    </row>
    <row r="1355" spans="1:11" ht="21" customHeight="1">
      <c r="A1355" s="183"/>
      <c r="B1355" s="184"/>
      <c r="C1355" s="203"/>
      <c r="D1355" s="186"/>
      <c r="E1355" s="198"/>
      <c r="F1355" s="186"/>
      <c r="G1355" s="186"/>
      <c r="H1355" s="186"/>
      <c r="I1355" s="196"/>
      <c r="J1355" s="192"/>
      <c r="K1355" s="204"/>
    </row>
    <row r="1356" spans="1:11">
      <c r="A1356" s="186"/>
      <c r="B1356" s="184"/>
      <c r="C1356" s="203"/>
      <c r="D1356" s="186"/>
      <c r="E1356" s="198"/>
      <c r="F1356" s="186"/>
      <c r="G1356" s="186"/>
      <c r="H1356" s="181"/>
      <c r="I1356" s="196"/>
      <c r="J1356" s="192"/>
      <c r="K1356" s="204"/>
    </row>
    <row r="1357" spans="1:11">
      <c r="A1357" s="183"/>
      <c r="B1357" s="184"/>
      <c r="C1357" s="203"/>
      <c r="D1357" s="186"/>
      <c r="E1357" s="198"/>
      <c r="F1357" s="186"/>
      <c r="G1357" s="186"/>
      <c r="H1357" s="194"/>
      <c r="I1357" s="196"/>
      <c r="J1357" s="192"/>
      <c r="K1357" s="204"/>
    </row>
    <row r="1358" spans="1:11" ht="24" customHeight="1">
      <c r="A1358" s="186"/>
      <c r="B1358" s="184"/>
      <c r="C1358" s="203"/>
      <c r="D1358" s="186"/>
      <c r="E1358" s="198"/>
      <c r="F1358" s="186"/>
      <c r="G1358" s="186"/>
      <c r="H1358" s="194"/>
      <c r="I1358" s="196"/>
      <c r="J1358" s="192"/>
      <c r="K1358" s="204"/>
    </row>
    <row r="1359" spans="1:11">
      <c r="A1359" s="183"/>
      <c r="B1359" s="184"/>
      <c r="C1359" s="185"/>
      <c r="D1359" s="186"/>
      <c r="E1359" s="187"/>
      <c r="F1359" s="186"/>
      <c r="G1359" s="190"/>
      <c r="H1359" s="194"/>
      <c r="I1359" s="196"/>
      <c r="J1359" s="192"/>
      <c r="K1359" s="204"/>
    </row>
    <row r="1360" spans="1:11">
      <c r="A1360" s="186"/>
      <c r="B1360" s="184"/>
      <c r="C1360" s="185"/>
      <c r="D1360" s="186"/>
      <c r="E1360" s="187"/>
      <c r="F1360" s="188"/>
      <c r="G1360" s="181"/>
      <c r="H1360" s="194"/>
      <c r="I1360" s="196"/>
      <c r="J1360" s="192"/>
      <c r="K1360" s="204"/>
    </row>
    <row r="1361" spans="1:11">
      <c r="A1361" s="183"/>
      <c r="B1361" s="184"/>
      <c r="C1361" s="185"/>
      <c r="D1361" s="186"/>
      <c r="E1361" s="198"/>
      <c r="F1361" s="186"/>
      <c r="G1361" s="186"/>
      <c r="H1361" s="186"/>
      <c r="I1361" s="196"/>
      <c r="J1361" s="192"/>
      <c r="K1361" s="204"/>
    </row>
    <row r="1362" spans="1:11">
      <c r="A1362" s="186"/>
      <c r="B1362" s="184"/>
      <c r="C1362" s="185"/>
      <c r="D1362" s="186"/>
      <c r="E1362" s="198"/>
      <c r="F1362" s="186"/>
      <c r="G1362" s="186"/>
      <c r="H1362" s="181"/>
      <c r="I1362" s="196"/>
      <c r="J1362" s="192"/>
      <c r="K1362" s="204"/>
    </row>
    <row r="1363" spans="1:11">
      <c r="A1363" s="183"/>
      <c r="B1363" s="184"/>
      <c r="C1363" s="203"/>
      <c r="D1363" s="186"/>
      <c r="E1363" s="187"/>
      <c r="F1363" s="186"/>
      <c r="G1363" s="190"/>
      <c r="H1363" s="194"/>
      <c r="I1363" s="196"/>
      <c r="J1363" s="192"/>
      <c r="K1363" s="204"/>
    </row>
    <row r="1364" spans="1:11">
      <c r="A1364" s="186"/>
      <c r="B1364" s="184"/>
      <c r="C1364" s="203"/>
      <c r="D1364" s="186"/>
      <c r="E1364" s="187"/>
      <c r="F1364" s="188"/>
      <c r="G1364" s="181"/>
      <c r="H1364" s="194"/>
      <c r="I1364" s="196"/>
      <c r="J1364" s="192"/>
      <c r="K1364" s="204"/>
    </row>
    <row r="1365" spans="1:11">
      <c r="A1365" s="183"/>
      <c r="B1365" s="184"/>
      <c r="C1365" s="185"/>
      <c r="D1365" s="186"/>
      <c r="E1365" s="187"/>
      <c r="F1365" s="186"/>
      <c r="G1365" s="190"/>
      <c r="H1365" s="194"/>
      <c r="I1365" s="196"/>
      <c r="J1365" s="192"/>
      <c r="K1365" s="204"/>
    </row>
    <row r="1366" spans="1:11">
      <c r="A1366" s="186"/>
      <c r="B1366" s="184"/>
      <c r="C1366" s="185"/>
      <c r="D1366" s="186"/>
      <c r="E1366" s="187"/>
      <c r="F1366" s="188"/>
      <c r="G1366" s="181"/>
      <c r="H1366" s="194"/>
      <c r="I1366" s="196"/>
      <c r="J1366" s="192"/>
      <c r="K1366" s="204"/>
    </row>
    <row r="1367" spans="1:11" ht="16" customHeight="1">
      <c r="A1367" s="183"/>
      <c r="B1367" s="184"/>
      <c r="C1367" s="185"/>
      <c r="D1367" s="186"/>
      <c r="E1367" s="187"/>
      <c r="F1367" s="186"/>
      <c r="G1367" s="190"/>
      <c r="H1367" s="194"/>
      <c r="I1367" s="196"/>
      <c r="J1367" s="192"/>
      <c r="K1367" s="204"/>
    </row>
    <row r="1368" spans="1:11">
      <c r="A1368" s="186"/>
      <c r="B1368" s="184"/>
      <c r="C1368" s="185"/>
      <c r="D1368" s="186"/>
      <c r="E1368" s="187"/>
      <c r="F1368" s="188"/>
      <c r="G1368" s="181"/>
      <c r="H1368" s="194"/>
      <c r="I1368" s="196"/>
      <c r="J1368" s="192"/>
      <c r="K1368" s="204"/>
    </row>
    <row r="1369" spans="1:11">
      <c r="A1369" s="183"/>
      <c r="B1369" s="184"/>
      <c r="C1369" s="203"/>
      <c r="D1369" s="186"/>
      <c r="E1369" s="198"/>
      <c r="F1369" s="186"/>
      <c r="G1369" s="186"/>
      <c r="H1369" s="186"/>
      <c r="I1369" s="196"/>
      <c r="J1369" s="192"/>
      <c r="K1369" s="204"/>
    </row>
    <row r="1370" spans="1:11" ht="16" customHeight="1">
      <c r="A1370" s="186"/>
      <c r="B1370" s="184"/>
      <c r="C1370" s="203"/>
      <c r="D1370" s="186"/>
      <c r="E1370" s="198"/>
      <c r="F1370" s="186"/>
      <c r="G1370" s="186"/>
      <c r="H1370" s="181"/>
      <c r="I1370" s="196"/>
      <c r="J1370" s="192"/>
      <c r="K1370" s="204"/>
    </row>
    <row r="1371" spans="1:11">
      <c r="A1371" s="183"/>
      <c r="B1371" s="184"/>
      <c r="C1371" s="200"/>
      <c r="D1371" s="186"/>
      <c r="E1371" s="187"/>
      <c r="F1371" s="186"/>
      <c r="G1371" s="190"/>
      <c r="H1371" s="194"/>
      <c r="I1371" s="196"/>
      <c r="J1371" s="192"/>
      <c r="K1371" s="204"/>
    </row>
    <row r="1372" spans="1:11">
      <c r="A1372" s="186"/>
      <c r="B1372" s="184"/>
      <c r="C1372" s="200"/>
      <c r="D1372" s="186"/>
      <c r="E1372" s="187"/>
      <c r="F1372" s="188"/>
      <c r="G1372" s="181"/>
      <c r="H1372" s="194"/>
      <c r="I1372" s="196"/>
      <c r="J1372" s="192"/>
      <c r="K1372" s="204"/>
    </row>
    <row r="1373" spans="1:11">
      <c r="A1373" s="183"/>
      <c r="B1373" s="184"/>
      <c r="C1373" s="185"/>
      <c r="D1373" s="186"/>
      <c r="E1373" s="187"/>
      <c r="F1373" s="186"/>
      <c r="G1373" s="190"/>
      <c r="H1373" s="194"/>
      <c r="I1373" s="196"/>
      <c r="J1373" s="192"/>
      <c r="K1373" s="204"/>
    </row>
    <row r="1374" spans="1:11">
      <c r="A1374" s="186"/>
      <c r="B1374" s="184"/>
      <c r="C1374" s="185"/>
      <c r="D1374" s="186"/>
      <c r="E1374" s="187"/>
      <c r="F1374" s="188"/>
      <c r="G1374" s="181"/>
      <c r="H1374" s="194"/>
      <c r="I1374" s="196"/>
      <c r="J1374" s="192"/>
      <c r="K1374" s="204"/>
    </row>
    <row r="1375" spans="1:11">
      <c r="A1375" s="183"/>
      <c r="B1375" s="184"/>
      <c r="C1375" s="185"/>
      <c r="D1375" s="186"/>
      <c r="E1375" s="187"/>
      <c r="F1375" s="186"/>
      <c r="G1375" s="190"/>
      <c r="H1375" s="194"/>
      <c r="I1375" s="196"/>
      <c r="J1375" s="192"/>
      <c r="K1375" s="204"/>
    </row>
    <row r="1376" spans="1:11" ht="21" customHeight="1">
      <c r="A1376" s="186"/>
      <c r="B1376" s="184"/>
      <c r="C1376" s="185"/>
      <c r="D1376" s="186"/>
      <c r="E1376" s="187"/>
      <c r="F1376" s="188"/>
      <c r="G1376" s="181"/>
      <c r="H1376" s="194"/>
      <c r="I1376" s="196"/>
      <c r="J1376" s="192"/>
      <c r="K1376" s="204"/>
    </row>
    <row r="1377" spans="1:11">
      <c r="A1377" s="183"/>
      <c r="B1377" s="184"/>
      <c r="C1377" s="185"/>
      <c r="D1377" s="186"/>
      <c r="E1377" s="187"/>
      <c r="F1377" s="186"/>
      <c r="G1377" s="190"/>
      <c r="H1377" s="194"/>
      <c r="I1377" s="196"/>
      <c r="J1377" s="192"/>
      <c r="K1377" s="204"/>
    </row>
    <row r="1378" spans="1:11">
      <c r="A1378" s="186"/>
      <c r="B1378" s="184"/>
      <c r="C1378" s="185"/>
      <c r="D1378" s="186"/>
      <c r="E1378" s="187"/>
      <c r="F1378" s="188"/>
      <c r="G1378" s="181"/>
      <c r="H1378" s="194"/>
      <c r="I1378" s="196"/>
      <c r="J1378" s="192"/>
      <c r="K1378" s="204"/>
    </row>
    <row r="1379" spans="1:11">
      <c r="A1379" s="183"/>
      <c r="B1379" s="184"/>
      <c r="C1379" s="185"/>
      <c r="D1379" s="186"/>
      <c r="E1379" s="187"/>
      <c r="F1379" s="186"/>
      <c r="G1379" s="190"/>
      <c r="H1379" s="194"/>
      <c r="I1379" s="196"/>
      <c r="J1379" s="192"/>
      <c r="K1379" s="204"/>
    </row>
    <row r="1380" spans="1:11">
      <c r="A1380" s="186"/>
      <c r="B1380" s="184"/>
      <c r="C1380" s="185"/>
      <c r="D1380" s="186"/>
      <c r="E1380" s="187"/>
      <c r="F1380" s="188"/>
      <c r="G1380" s="181"/>
      <c r="H1380" s="194"/>
      <c r="I1380" s="196"/>
      <c r="J1380" s="192"/>
      <c r="K1380" s="204"/>
    </row>
    <row r="1381" spans="1:11">
      <c r="A1381" s="183"/>
      <c r="B1381" s="184"/>
      <c r="C1381" s="185"/>
      <c r="D1381" s="186"/>
      <c r="E1381" s="187"/>
      <c r="F1381" s="186"/>
      <c r="G1381" s="190"/>
      <c r="H1381" s="194"/>
      <c r="I1381" s="196"/>
      <c r="J1381" s="192"/>
      <c r="K1381" s="204"/>
    </row>
    <row r="1382" spans="1:11" ht="16" customHeight="1">
      <c r="A1382" s="186"/>
      <c r="B1382" s="184"/>
      <c r="C1382" s="185"/>
      <c r="D1382" s="186"/>
      <c r="E1382" s="187"/>
      <c r="F1382" s="188"/>
      <c r="G1382" s="181"/>
      <c r="H1382" s="194"/>
      <c r="I1382" s="196"/>
      <c r="J1382" s="192"/>
      <c r="K1382" s="204"/>
    </row>
    <row r="1383" spans="1:11">
      <c r="A1383" s="183"/>
      <c r="B1383" s="184"/>
      <c r="C1383" s="185"/>
      <c r="D1383" s="186"/>
      <c r="E1383" s="187"/>
      <c r="F1383" s="186"/>
      <c r="G1383" s="190"/>
      <c r="H1383" s="194"/>
      <c r="I1383" s="196"/>
      <c r="J1383" s="192"/>
      <c r="K1383" s="204"/>
    </row>
    <row r="1384" spans="1:11">
      <c r="A1384" s="186"/>
      <c r="B1384" s="184"/>
      <c r="C1384" s="185"/>
      <c r="D1384" s="186"/>
      <c r="E1384" s="187"/>
      <c r="F1384" s="188"/>
      <c r="G1384" s="181"/>
      <c r="H1384" s="194"/>
      <c r="I1384" s="196"/>
      <c r="J1384" s="192"/>
      <c r="K1384" s="204"/>
    </row>
    <row r="1385" spans="1:11">
      <c r="A1385" s="183"/>
      <c r="B1385" s="184"/>
      <c r="C1385" s="185"/>
      <c r="D1385" s="186"/>
      <c r="E1385" s="187"/>
      <c r="F1385" s="186"/>
      <c r="G1385" s="190"/>
      <c r="H1385" s="194"/>
      <c r="I1385" s="196"/>
      <c r="J1385" s="192"/>
      <c r="K1385" s="204"/>
    </row>
    <row r="1386" spans="1:11">
      <c r="A1386" s="186"/>
      <c r="B1386" s="184"/>
      <c r="C1386" s="185"/>
      <c r="D1386" s="186"/>
      <c r="E1386" s="187"/>
      <c r="F1386" s="188"/>
      <c r="G1386" s="181"/>
      <c r="H1386" s="194"/>
      <c r="I1386" s="196"/>
      <c r="J1386" s="192"/>
      <c r="K1386" s="204"/>
    </row>
    <row r="1387" spans="1:11">
      <c r="A1387" s="183"/>
      <c r="B1387" s="184"/>
      <c r="C1387" s="197"/>
      <c r="D1387" s="186"/>
      <c r="E1387" s="198"/>
      <c r="F1387" s="186"/>
      <c r="G1387" s="186"/>
      <c r="H1387" s="194"/>
      <c r="I1387" s="196"/>
      <c r="J1387" s="192"/>
      <c r="K1387" s="204"/>
    </row>
    <row r="1388" spans="1:11" ht="16" customHeight="1">
      <c r="A1388" s="186"/>
      <c r="B1388" s="184"/>
      <c r="C1388" s="197"/>
      <c r="D1388" s="186"/>
      <c r="E1388" s="198"/>
      <c r="F1388" s="186"/>
      <c r="G1388" s="186"/>
      <c r="H1388" s="194"/>
      <c r="I1388" s="196"/>
      <c r="J1388" s="192"/>
      <c r="K1388" s="204"/>
    </row>
    <row r="1389" spans="1:11">
      <c r="A1389" s="183"/>
      <c r="B1389" s="184"/>
      <c r="C1389" s="185"/>
      <c r="D1389" s="186"/>
      <c r="E1389" s="187"/>
      <c r="F1389" s="186"/>
      <c r="G1389" s="190"/>
      <c r="H1389" s="194"/>
      <c r="I1389" s="196"/>
      <c r="J1389" s="192"/>
      <c r="K1389" s="204"/>
    </row>
    <row r="1390" spans="1:11">
      <c r="A1390" s="186"/>
      <c r="B1390" s="184"/>
      <c r="C1390" s="185"/>
      <c r="D1390" s="186"/>
      <c r="E1390" s="187"/>
      <c r="F1390" s="188"/>
      <c r="G1390" s="181"/>
      <c r="H1390" s="194"/>
      <c r="I1390" s="196"/>
      <c r="J1390" s="192"/>
      <c r="K1390" s="204"/>
    </row>
    <row r="1391" spans="1:11" ht="21" customHeight="1">
      <c r="A1391" s="183"/>
      <c r="B1391" s="184"/>
      <c r="C1391" s="185"/>
      <c r="D1391" s="186"/>
      <c r="E1391" s="187"/>
      <c r="F1391" s="186"/>
      <c r="G1391" s="190"/>
      <c r="H1391" s="194"/>
      <c r="I1391" s="196"/>
      <c r="J1391" s="192"/>
      <c r="K1391" s="204"/>
    </row>
    <row r="1392" spans="1:11">
      <c r="A1392" s="186"/>
      <c r="B1392" s="184"/>
      <c r="C1392" s="185"/>
      <c r="D1392" s="186"/>
      <c r="E1392" s="187"/>
      <c r="F1392" s="188"/>
      <c r="G1392" s="181"/>
      <c r="H1392" s="194"/>
      <c r="I1392" s="196"/>
      <c r="J1392" s="192"/>
      <c r="K1392" s="204"/>
    </row>
    <row r="1393" spans="1:11">
      <c r="A1393" s="183"/>
      <c r="B1393" s="184"/>
      <c r="C1393" s="185"/>
      <c r="D1393" s="186"/>
      <c r="E1393" s="187"/>
      <c r="F1393" s="186"/>
      <c r="G1393" s="190"/>
      <c r="H1393" s="194"/>
      <c r="I1393" s="196"/>
      <c r="J1393" s="192"/>
      <c r="K1393" s="204"/>
    </row>
    <row r="1394" spans="1:11">
      <c r="A1394" s="186"/>
      <c r="B1394" s="184"/>
      <c r="C1394" s="185"/>
      <c r="D1394" s="186"/>
      <c r="E1394" s="187"/>
      <c r="F1394" s="188"/>
      <c r="G1394" s="181"/>
      <c r="H1394" s="194"/>
      <c r="I1394" s="196"/>
      <c r="J1394" s="192"/>
      <c r="K1394" s="204"/>
    </row>
    <row r="1395" spans="1:11">
      <c r="A1395" s="183"/>
      <c r="B1395" s="184"/>
      <c r="C1395" s="185"/>
      <c r="D1395" s="186"/>
      <c r="E1395" s="187"/>
      <c r="F1395" s="186"/>
      <c r="G1395" s="190"/>
      <c r="H1395" s="194"/>
      <c r="I1395" s="196"/>
      <c r="J1395" s="192"/>
      <c r="K1395" s="204"/>
    </row>
    <row r="1396" spans="1:11">
      <c r="A1396" s="186"/>
      <c r="B1396" s="184"/>
      <c r="C1396" s="185"/>
      <c r="D1396" s="186"/>
      <c r="E1396" s="187"/>
      <c r="F1396" s="188"/>
      <c r="G1396" s="181"/>
      <c r="H1396" s="194"/>
      <c r="I1396" s="196"/>
      <c r="J1396" s="192"/>
      <c r="K1396" s="204"/>
    </row>
    <row r="1397" spans="1:11" ht="16" customHeight="1">
      <c r="A1397" s="183"/>
      <c r="B1397" s="184"/>
      <c r="C1397" s="185"/>
      <c r="D1397" s="186"/>
      <c r="E1397" s="187"/>
      <c r="F1397" s="186"/>
      <c r="G1397" s="190"/>
      <c r="H1397" s="194"/>
      <c r="I1397" s="196"/>
      <c r="J1397" s="192"/>
      <c r="K1397" s="204"/>
    </row>
    <row r="1398" spans="1:11">
      <c r="A1398" s="186"/>
      <c r="B1398" s="184"/>
      <c r="C1398" s="185"/>
      <c r="D1398" s="186"/>
      <c r="E1398" s="187"/>
      <c r="F1398" s="188"/>
      <c r="G1398" s="181"/>
      <c r="H1398" s="194"/>
      <c r="I1398" s="196"/>
      <c r="J1398" s="192"/>
      <c r="K1398" s="204"/>
    </row>
    <row r="1399" spans="1:11">
      <c r="A1399" s="183"/>
      <c r="B1399" s="184"/>
      <c r="C1399" s="185"/>
      <c r="D1399" s="186"/>
      <c r="E1399" s="187"/>
      <c r="F1399" s="186"/>
      <c r="G1399" s="190"/>
      <c r="H1399" s="194"/>
      <c r="I1399" s="196"/>
      <c r="J1399" s="192"/>
      <c r="K1399" s="204"/>
    </row>
    <row r="1400" spans="1:11">
      <c r="A1400" s="186"/>
      <c r="B1400" s="184"/>
      <c r="C1400" s="185"/>
      <c r="D1400" s="186"/>
      <c r="E1400" s="187"/>
      <c r="F1400" s="188"/>
      <c r="G1400" s="181"/>
      <c r="H1400" s="194"/>
      <c r="I1400" s="196"/>
      <c r="J1400" s="192"/>
      <c r="K1400" s="204"/>
    </row>
    <row r="1401" spans="1:11">
      <c r="A1401" s="183"/>
      <c r="B1401" s="184"/>
      <c r="C1401" s="185"/>
      <c r="D1401" s="186"/>
      <c r="E1401" s="187"/>
      <c r="F1401" s="186"/>
      <c r="G1401" s="190"/>
      <c r="H1401" s="194"/>
      <c r="I1401" s="196"/>
      <c r="J1401" s="192"/>
      <c r="K1401" s="204"/>
    </row>
    <row r="1402" spans="1:11">
      <c r="A1402" s="186"/>
      <c r="B1402" s="184"/>
      <c r="C1402" s="185"/>
      <c r="D1402" s="186"/>
      <c r="E1402" s="187"/>
      <c r="F1402" s="188"/>
      <c r="G1402" s="181"/>
      <c r="H1402" s="194"/>
      <c r="I1402" s="196"/>
      <c r="J1402" s="192"/>
      <c r="K1402" s="204"/>
    </row>
    <row r="1403" spans="1:11" ht="21" customHeight="1">
      <c r="A1403" s="183"/>
      <c r="B1403" s="184"/>
      <c r="C1403" s="200"/>
      <c r="D1403" s="186"/>
      <c r="E1403" s="187"/>
      <c r="F1403" s="186"/>
      <c r="G1403" s="190"/>
      <c r="H1403" s="194"/>
      <c r="I1403" s="196"/>
      <c r="J1403" s="192"/>
      <c r="K1403" s="204"/>
    </row>
    <row r="1404" spans="1:11">
      <c r="A1404" s="186"/>
      <c r="B1404" s="184"/>
      <c r="C1404" s="200"/>
      <c r="D1404" s="186"/>
      <c r="E1404" s="187"/>
      <c r="F1404" s="188"/>
      <c r="G1404" s="181"/>
      <c r="H1404" s="194"/>
      <c r="I1404" s="196"/>
      <c r="J1404" s="192"/>
      <c r="K1404" s="204"/>
    </row>
    <row r="1405" spans="1:11">
      <c r="A1405" s="183"/>
      <c r="B1405" s="184"/>
      <c r="C1405" s="185"/>
      <c r="D1405" s="186"/>
      <c r="E1405" s="187"/>
      <c r="F1405" s="186"/>
      <c r="G1405" s="190"/>
      <c r="H1405" s="194"/>
      <c r="I1405" s="196"/>
      <c r="J1405" s="192"/>
      <c r="K1405" s="204"/>
    </row>
    <row r="1406" spans="1:11" ht="21" customHeight="1">
      <c r="A1406" s="186"/>
      <c r="B1406" s="184"/>
      <c r="C1406" s="185"/>
      <c r="D1406" s="186"/>
      <c r="E1406" s="187"/>
      <c r="F1406" s="188"/>
      <c r="G1406" s="181"/>
      <c r="H1406" s="194"/>
      <c r="I1406" s="196"/>
      <c r="J1406" s="192"/>
      <c r="K1406" s="204"/>
    </row>
    <row r="1407" spans="1:11">
      <c r="A1407" s="183"/>
      <c r="B1407" s="184"/>
      <c r="C1407" s="203"/>
      <c r="D1407" s="186"/>
      <c r="E1407" s="198"/>
      <c r="F1407" s="186"/>
      <c r="G1407" s="186"/>
      <c r="H1407" s="186"/>
      <c r="I1407" s="196"/>
      <c r="J1407" s="192"/>
      <c r="K1407" s="204"/>
    </row>
    <row r="1408" spans="1:11">
      <c r="A1408" s="186"/>
      <c r="B1408" s="184"/>
      <c r="C1408" s="203"/>
      <c r="D1408" s="186"/>
      <c r="E1408" s="198"/>
      <c r="F1408" s="186"/>
      <c r="G1408" s="186"/>
      <c r="H1408" s="181"/>
      <c r="I1408" s="196"/>
      <c r="J1408" s="192"/>
      <c r="K1408" s="204"/>
    </row>
    <row r="1409" spans="1:11" ht="21" customHeight="1">
      <c r="A1409" s="183"/>
      <c r="B1409" s="184"/>
      <c r="C1409" s="202"/>
      <c r="D1409" s="186"/>
      <c r="E1409" s="198"/>
      <c r="F1409" s="186"/>
      <c r="G1409" s="186"/>
      <c r="H1409" s="186"/>
      <c r="I1409" s="196"/>
      <c r="J1409" s="192"/>
      <c r="K1409" s="204"/>
    </row>
    <row r="1410" spans="1:11">
      <c r="A1410" s="186"/>
      <c r="B1410" s="184"/>
      <c r="C1410" s="202"/>
      <c r="D1410" s="186"/>
      <c r="E1410" s="198"/>
      <c r="F1410" s="186"/>
      <c r="G1410" s="186"/>
      <c r="H1410" s="181"/>
      <c r="I1410" s="196"/>
      <c r="J1410" s="192"/>
      <c r="K1410" s="204"/>
    </row>
    <row r="1411" spans="1:11">
      <c r="A1411" s="183"/>
      <c r="B1411" s="184"/>
      <c r="C1411" s="185"/>
      <c r="D1411" s="186"/>
      <c r="E1411" s="187"/>
      <c r="F1411" s="186"/>
      <c r="G1411" s="190"/>
      <c r="H1411" s="194"/>
      <c r="I1411" s="196"/>
      <c r="J1411" s="192"/>
      <c r="K1411" s="204"/>
    </row>
    <row r="1412" spans="1:11">
      <c r="A1412" s="186"/>
      <c r="B1412" s="184"/>
      <c r="C1412" s="185"/>
      <c r="D1412" s="186"/>
      <c r="E1412" s="187"/>
      <c r="F1412" s="188"/>
      <c r="G1412" s="181"/>
      <c r="H1412" s="194"/>
      <c r="I1412" s="196"/>
      <c r="J1412" s="192"/>
      <c r="K1412" s="204"/>
    </row>
    <row r="1413" spans="1:11">
      <c r="A1413" s="183"/>
      <c r="B1413" s="184"/>
      <c r="C1413" s="203"/>
      <c r="D1413" s="186"/>
      <c r="E1413" s="198"/>
      <c r="F1413" s="186"/>
      <c r="G1413" s="186"/>
      <c r="H1413" s="186"/>
      <c r="I1413" s="196"/>
      <c r="J1413" s="192"/>
      <c r="K1413" s="204"/>
    </row>
    <row r="1414" spans="1:11">
      <c r="A1414" s="186"/>
      <c r="B1414" s="184"/>
      <c r="C1414" s="203"/>
      <c r="D1414" s="186"/>
      <c r="E1414" s="198"/>
      <c r="F1414" s="186"/>
      <c r="G1414" s="186"/>
      <c r="H1414" s="181"/>
      <c r="I1414" s="196"/>
      <c r="J1414" s="192"/>
      <c r="K1414" s="204"/>
    </row>
    <row r="1415" spans="1:11" ht="16" customHeight="1">
      <c r="A1415" s="183"/>
      <c r="B1415" s="184"/>
      <c r="C1415" s="189"/>
      <c r="D1415" s="186"/>
      <c r="E1415" s="187"/>
      <c r="F1415" s="186"/>
      <c r="G1415" s="186"/>
      <c r="H1415" s="194"/>
      <c r="I1415" s="196"/>
      <c r="J1415" s="192"/>
      <c r="K1415" s="204"/>
    </row>
    <row r="1416" spans="1:11">
      <c r="A1416" s="186"/>
      <c r="B1416" s="184"/>
      <c r="C1416" s="189"/>
      <c r="D1416" s="186"/>
      <c r="E1416" s="187"/>
      <c r="F1416" s="188"/>
      <c r="G1416" s="186"/>
      <c r="H1416" s="194"/>
      <c r="I1416" s="196"/>
      <c r="J1416" s="192"/>
      <c r="K1416" s="204"/>
    </row>
    <row r="1417" spans="1:11">
      <c r="A1417" s="183"/>
      <c r="B1417" s="184"/>
      <c r="C1417" s="185"/>
      <c r="D1417" s="186"/>
      <c r="E1417" s="187"/>
      <c r="F1417" s="186"/>
      <c r="G1417" s="190"/>
      <c r="H1417" s="194"/>
      <c r="I1417" s="196"/>
      <c r="J1417" s="192"/>
      <c r="K1417" s="204"/>
    </row>
    <row r="1418" spans="1:11" ht="21" customHeight="1">
      <c r="A1418" s="186"/>
      <c r="B1418" s="184"/>
      <c r="C1418" s="185"/>
      <c r="D1418" s="186"/>
      <c r="E1418" s="187"/>
      <c r="F1418" s="188"/>
      <c r="G1418" s="181"/>
      <c r="H1418" s="194"/>
      <c r="I1418" s="196"/>
      <c r="J1418" s="192"/>
      <c r="K1418" s="204"/>
    </row>
    <row r="1419" spans="1:11">
      <c r="A1419" s="183"/>
      <c r="B1419" s="184"/>
      <c r="C1419" s="185"/>
      <c r="D1419" s="186"/>
      <c r="E1419" s="187"/>
      <c r="F1419" s="186"/>
      <c r="G1419" s="190"/>
      <c r="H1419" s="194"/>
      <c r="I1419" s="196"/>
      <c r="J1419" s="192"/>
      <c r="K1419" s="204"/>
    </row>
    <row r="1420" spans="1:11">
      <c r="A1420" s="186"/>
      <c r="B1420" s="184"/>
      <c r="C1420" s="185"/>
      <c r="D1420" s="186"/>
      <c r="E1420" s="187"/>
      <c r="F1420" s="188"/>
      <c r="G1420" s="181"/>
      <c r="H1420" s="194"/>
      <c r="I1420" s="196"/>
      <c r="J1420" s="192"/>
      <c r="K1420" s="204"/>
    </row>
    <row r="1421" spans="1:11">
      <c r="A1421" s="183"/>
      <c r="B1421" s="184"/>
      <c r="C1421" s="185"/>
      <c r="D1421" s="186"/>
      <c r="E1421" s="187"/>
      <c r="F1421" s="186"/>
      <c r="G1421" s="190"/>
      <c r="H1421" s="194"/>
      <c r="I1421" s="196"/>
      <c r="J1421" s="192"/>
      <c r="K1421" s="204"/>
    </row>
    <row r="1422" spans="1:11">
      <c r="A1422" s="186"/>
      <c r="B1422" s="184"/>
      <c r="C1422" s="185"/>
      <c r="D1422" s="186"/>
      <c r="E1422" s="187"/>
      <c r="F1422" s="188"/>
      <c r="G1422" s="181"/>
      <c r="H1422" s="194"/>
      <c r="I1422" s="196"/>
      <c r="J1422" s="192"/>
      <c r="K1422" s="204"/>
    </row>
    <row r="1423" spans="1:11">
      <c r="A1423" s="183"/>
      <c r="B1423" s="184"/>
      <c r="C1423" s="203"/>
      <c r="D1423" s="186"/>
      <c r="E1423" s="198"/>
      <c r="F1423" s="186"/>
      <c r="G1423" s="186"/>
      <c r="H1423" s="186"/>
      <c r="I1423" s="196"/>
      <c r="J1423" s="192"/>
      <c r="K1423" s="204"/>
    </row>
    <row r="1424" spans="1:11" ht="24" customHeight="1">
      <c r="A1424" s="186"/>
      <c r="B1424" s="184"/>
      <c r="C1424" s="203"/>
      <c r="D1424" s="186"/>
      <c r="E1424" s="198"/>
      <c r="F1424" s="186"/>
      <c r="G1424" s="186"/>
      <c r="H1424" s="181"/>
      <c r="I1424" s="196"/>
      <c r="J1424" s="192"/>
      <c r="K1424" s="204"/>
    </row>
    <row r="1425" spans="1:11">
      <c r="A1425" s="183"/>
      <c r="B1425" s="184"/>
      <c r="C1425" s="185"/>
      <c r="D1425" s="186"/>
      <c r="E1425" s="187"/>
      <c r="F1425" s="186"/>
      <c r="G1425" s="190"/>
      <c r="H1425" s="194"/>
      <c r="I1425" s="196"/>
      <c r="J1425" s="192"/>
      <c r="K1425" s="204"/>
    </row>
    <row r="1426" spans="1:11">
      <c r="A1426" s="186"/>
      <c r="B1426" s="184"/>
      <c r="C1426" s="185"/>
      <c r="D1426" s="186"/>
      <c r="E1426" s="187"/>
      <c r="F1426" s="188"/>
      <c r="G1426" s="181"/>
      <c r="H1426" s="194"/>
      <c r="I1426" s="196"/>
      <c r="J1426" s="192"/>
      <c r="K1426" s="204"/>
    </row>
    <row r="1427" spans="1:11" ht="14" customHeight="1">
      <c r="A1427" s="183"/>
      <c r="B1427" s="184"/>
      <c r="C1427" s="189"/>
      <c r="D1427" s="200"/>
      <c r="E1427" s="198"/>
      <c r="F1427" s="186"/>
      <c r="G1427" s="186"/>
      <c r="H1427" s="194"/>
      <c r="I1427" s="196"/>
      <c r="J1427" s="192"/>
      <c r="K1427" s="204"/>
    </row>
    <row r="1428" spans="1:11">
      <c r="A1428" s="199"/>
      <c r="B1428" s="184"/>
      <c r="C1428" s="189"/>
      <c r="D1428" s="200"/>
      <c r="E1428" s="198"/>
      <c r="F1428" s="186"/>
      <c r="G1428" s="186"/>
      <c r="H1428" s="194"/>
      <c r="I1428" s="196"/>
      <c r="J1428" s="192"/>
      <c r="K1428" s="204"/>
    </row>
    <row r="1429" spans="1:11">
      <c r="A1429" s="183"/>
      <c r="B1429" s="184"/>
      <c r="C1429" s="185"/>
      <c r="D1429" s="186"/>
      <c r="E1429" s="187"/>
      <c r="F1429" s="186"/>
      <c r="G1429" s="190"/>
      <c r="H1429" s="194"/>
      <c r="I1429" s="196"/>
      <c r="J1429" s="192"/>
      <c r="K1429" s="204"/>
    </row>
    <row r="1430" spans="1:11">
      <c r="A1430" s="181"/>
      <c r="B1430" s="184"/>
      <c r="C1430" s="185"/>
      <c r="D1430" s="186"/>
      <c r="E1430" s="187"/>
      <c r="F1430" s="188"/>
      <c r="G1430" s="181"/>
      <c r="H1430" s="194"/>
      <c r="I1430" s="196"/>
      <c r="J1430" s="192"/>
      <c r="K1430" s="204"/>
    </row>
    <row r="1431" spans="1:11">
      <c r="A1431" s="183"/>
      <c r="B1431" s="184"/>
      <c r="C1431" s="185"/>
      <c r="D1431" s="186"/>
      <c r="E1431" s="187"/>
      <c r="F1431" s="186"/>
      <c r="G1431" s="190"/>
      <c r="H1431" s="194"/>
      <c r="I1431" s="196"/>
      <c r="J1431" s="192"/>
      <c r="K1431" s="204"/>
    </row>
    <row r="1432" spans="1:11">
      <c r="A1432" s="186"/>
      <c r="B1432" s="184"/>
      <c r="C1432" s="185"/>
      <c r="D1432" s="186"/>
      <c r="E1432" s="187"/>
      <c r="F1432" s="188"/>
      <c r="G1432" s="181"/>
      <c r="H1432" s="194"/>
      <c r="I1432" s="196"/>
      <c r="J1432" s="192"/>
      <c r="K1432" s="204"/>
    </row>
    <row r="1433" spans="1:11" ht="31.5" customHeight="1">
      <c r="A1433" s="183"/>
      <c r="B1433" s="184"/>
      <c r="C1433" s="185"/>
      <c r="D1433" s="186"/>
      <c r="E1433" s="187"/>
      <c r="F1433" s="186"/>
      <c r="G1433" s="190"/>
      <c r="H1433" s="194"/>
      <c r="I1433" s="196"/>
      <c r="J1433" s="192"/>
      <c r="K1433" s="204"/>
    </row>
    <row r="1434" spans="1:11">
      <c r="A1434" s="186"/>
      <c r="B1434" s="184"/>
      <c r="C1434" s="185"/>
      <c r="D1434" s="186"/>
      <c r="E1434" s="187"/>
      <c r="F1434" s="188"/>
      <c r="G1434" s="181"/>
      <c r="H1434" s="194"/>
      <c r="I1434" s="196"/>
      <c r="J1434" s="192"/>
      <c r="K1434" s="204"/>
    </row>
    <row r="1435" spans="1:11">
      <c r="A1435" s="183"/>
      <c r="B1435" s="184"/>
      <c r="C1435" s="185"/>
      <c r="D1435" s="186"/>
      <c r="E1435" s="187"/>
      <c r="F1435" s="186"/>
      <c r="G1435" s="190"/>
      <c r="H1435" s="194"/>
      <c r="I1435" s="196"/>
      <c r="J1435" s="192"/>
      <c r="K1435" s="204"/>
    </row>
    <row r="1436" spans="1:11" ht="21" customHeight="1">
      <c r="A1436" s="186"/>
      <c r="B1436" s="184"/>
      <c r="C1436" s="185"/>
      <c r="D1436" s="186"/>
      <c r="E1436" s="187"/>
      <c r="F1436" s="188"/>
      <c r="G1436" s="181"/>
      <c r="H1436" s="194"/>
      <c r="I1436" s="196"/>
      <c r="J1436" s="192"/>
      <c r="K1436" s="204"/>
    </row>
    <row r="1437" spans="1:11">
      <c r="A1437" s="183"/>
      <c r="B1437" s="184"/>
      <c r="C1437" s="197"/>
      <c r="D1437" s="186"/>
      <c r="E1437" s="198"/>
      <c r="F1437" s="186"/>
      <c r="G1437" s="186"/>
      <c r="H1437" s="194"/>
      <c r="I1437" s="196"/>
      <c r="J1437" s="192"/>
      <c r="K1437" s="204"/>
    </row>
    <row r="1438" spans="1:11">
      <c r="A1438" s="186"/>
      <c r="B1438" s="184"/>
      <c r="C1438" s="197"/>
      <c r="D1438" s="186"/>
      <c r="E1438" s="198"/>
      <c r="F1438" s="186"/>
      <c r="G1438" s="186"/>
      <c r="H1438" s="194"/>
      <c r="I1438" s="196"/>
      <c r="J1438" s="192"/>
      <c r="K1438" s="204"/>
    </row>
    <row r="1439" spans="1:11">
      <c r="A1439" s="183"/>
      <c r="B1439" s="184"/>
      <c r="C1439" s="185"/>
      <c r="D1439" s="186"/>
      <c r="E1439" s="187"/>
      <c r="F1439" s="186"/>
      <c r="G1439" s="190"/>
      <c r="H1439" s="194"/>
      <c r="I1439" s="196"/>
      <c r="J1439" s="192"/>
      <c r="K1439" s="204"/>
    </row>
    <row r="1440" spans="1:11">
      <c r="A1440" s="186"/>
      <c r="B1440" s="184"/>
      <c r="C1440" s="185"/>
      <c r="D1440" s="186"/>
      <c r="E1440" s="187"/>
      <c r="F1440" s="188"/>
      <c r="G1440" s="181"/>
      <c r="H1440" s="194"/>
      <c r="I1440" s="196"/>
      <c r="J1440" s="192"/>
      <c r="K1440" s="204"/>
    </row>
    <row r="1441" spans="1:11">
      <c r="A1441" s="183"/>
      <c r="B1441" s="184"/>
      <c r="C1441" s="185"/>
      <c r="D1441" s="186"/>
      <c r="E1441" s="187"/>
      <c r="F1441" s="186"/>
      <c r="G1441" s="190"/>
      <c r="H1441" s="194"/>
      <c r="I1441" s="196"/>
      <c r="J1441" s="192"/>
      <c r="K1441" s="204"/>
    </row>
    <row r="1442" spans="1:11" ht="21" customHeight="1">
      <c r="A1442" s="186"/>
      <c r="B1442" s="184"/>
      <c r="C1442" s="185"/>
      <c r="D1442" s="186"/>
      <c r="E1442" s="187"/>
      <c r="F1442" s="188"/>
      <c r="G1442" s="181"/>
      <c r="H1442" s="194"/>
      <c r="I1442" s="196"/>
      <c r="J1442" s="192"/>
      <c r="K1442" s="204"/>
    </row>
    <row r="1443" spans="1:11">
      <c r="A1443" s="183"/>
      <c r="B1443" s="184"/>
      <c r="C1443" s="185"/>
      <c r="D1443" s="186"/>
      <c r="E1443" s="187"/>
      <c r="F1443" s="186"/>
      <c r="G1443" s="190"/>
      <c r="H1443" s="194"/>
      <c r="I1443" s="196"/>
      <c r="J1443" s="192"/>
      <c r="K1443" s="204"/>
    </row>
    <row r="1444" spans="1:11">
      <c r="A1444" s="186"/>
      <c r="B1444" s="184"/>
      <c r="C1444" s="185"/>
      <c r="D1444" s="186"/>
      <c r="E1444" s="187"/>
      <c r="F1444" s="188"/>
      <c r="G1444" s="181"/>
      <c r="H1444" s="194"/>
      <c r="I1444" s="196"/>
      <c r="J1444" s="192"/>
      <c r="K1444" s="204"/>
    </row>
    <row r="1445" spans="1:11">
      <c r="A1445" s="183"/>
      <c r="B1445" s="184"/>
      <c r="C1445" s="203"/>
      <c r="D1445" s="186"/>
      <c r="E1445" s="198"/>
      <c r="F1445" s="186"/>
      <c r="G1445" s="186"/>
      <c r="H1445" s="194"/>
      <c r="I1445" s="196"/>
      <c r="J1445" s="192"/>
      <c r="K1445" s="204"/>
    </row>
    <row r="1446" spans="1:11">
      <c r="A1446" s="186"/>
      <c r="B1446" s="184"/>
      <c r="C1446" s="203"/>
      <c r="D1446" s="186"/>
      <c r="E1446" s="198"/>
      <c r="F1446" s="186"/>
      <c r="G1446" s="186"/>
      <c r="H1446" s="194"/>
      <c r="I1446" s="196"/>
      <c r="J1446" s="192"/>
      <c r="K1446" s="204"/>
    </row>
    <row r="1447" spans="1:11">
      <c r="A1447" s="182"/>
      <c r="B1447" s="184"/>
      <c r="C1447" s="185"/>
      <c r="D1447" s="186"/>
      <c r="E1447" s="187"/>
      <c r="F1447" s="186"/>
      <c r="G1447" s="189"/>
      <c r="H1447" s="186"/>
      <c r="I1447" s="191"/>
      <c r="J1447" s="192"/>
      <c r="K1447" s="204"/>
    </row>
    <row r="1448" spans="1:11">
      <c r="A1448" s="183"/>
      <c r="B1448" s="184"/>
      <c r="C1448" s="185"/>
      <c r="D1448" s="186"/>
      <c r="E1448" s="187"/>
      <c r="F1448" s="186"/>
      <c r="G1448" s="190"/>
      <c r="H1448" s="186"/>
      <c r="I1448" s="191"/>
      <c r="J1448" s="192"/>
      <c r="K1448" s="204"/>
    </row>
    <row r="1449" spans="1:11">
      <c r="A1449" s="181"/>
      <c r="B1449" s="184"/>
      <c r="C1449" s="185"/>
      <c r="D1449" s="186"/>
      <c r="E1449" s="187"/>
      <c r="F1449" s="188"/>
      <c r="G1449" s="181"/>
      <c r="H1449" s="186"/>
      <c r="I1449" s="191"/>
      <c r="J1449" s="192"/>
      <c r="K1449" s="204"/>
    </row>
    <row r="1450" spans="1:11">
      <c r="A1450" s="182"/>
      <c r="B1450" s="184"/>
      <c r="C1450" s="203"/>
      <c r="D1450" s="186"/>
      <c r="E1450" s="198"/>
      <c r="F1450" s="186"/>
      <c r="G1450" s="186"/>
      <c r="H1450" s="186"/>
      <c r="I1450" s="191"/>
      <c r="J1450" s="192"/>
      <c r="K1450" s="204"/>
    </row>
    <row r="1451" spans="1:11">
      <c r="A1451" s="183"/>
      <c r="B1451" s="184"/>
      <c r="C1451" s="203"/>
      <c r="D1451" s="186"/>
      <c r="E1451" s="198"/>
      <c r="F1451" s="186"/>
      <c r="G1451" s="186"/>
      <c r="H1451" s="186"/>
      <c r="I1451" s="191"/>
      <c r="J1451" s="192"/>
      <c r="K1451" s="204"/>
    </row>
    <row r="1452" spans="1:11">
      <c r="A1452" s="183"/>
      <c r="B1452" s="184"/>
      <c r="C1452" s="203"/>
      <c r="D1452" s="186"/>
      <c r="E1452" s="198"/>
      <c r="F1452" s="186"/>
      <c r="G1452" s="186"/>
      <c r="H1452" s="186"/>
      <c r="I1452" s="196"/>
      <c r="J1452" s="192"/>
      <c r="K1452" s="204"/>
    </row>
    <row r="1453" spans="1:11">
      <c r="A1453" s="186"/>
      <c r="B1453" s="184"/>
      <c r="C1453" s="203"/>
      <c r="D1453" s="186"/>
      <c r="E1453" s="198"/>
      <c r="F1453" s="186"/>
      <c r="G1453" s="186"/>
      <c r="H1453" s="181"/>
      <c r="I1453" s="196"/>
      <c r="J1453" s="192"/>
      <c r="K1453" s="204"/>
    </row>
    <row r="1454" spans="1:11">
      <c r="A1454" s="183"/>
      <c r="B1454" s="184"/>
      <c r="C1454" s="200"/>
      <c r="D1454" s="186"/>
      <c r="E1454" s="187"/>
      <c r="F1454" s="186"/>
      <c r="G1454" s="190"/>
      <c r="H1454" s="194"/>
      <c r="I1454" s="196"/>
      <c r="J1454" s="192"/>
      <c r="K1454" s="204"/>
    </row>
    <row r="1455" spans="1:11">
      <c r="A1455" s="186"/>
      <c r="B1455" s="184"/>
      <c r="C1455" s="200"/>
      <c r="D1455" s="186"/>
      <c r="E1455" s="187"/>
      <c r="F1455" s="188"/>
      <c r="G1455" s="181"/>
      <c r="H1455" s="194"/>
      <c r="I1455" s="196"/>
      <c r="J1455" s="192"/>
      <c r="K1455" s="204"/>
    </row>
    <row r="1456" spans="1:11">
      <c r="A1456" s="183"/>
      <c r="B1456" s="184"/>
      <c r="C1456" s="189"/>
      <c r="D1456" s="200"/>
      <c r="E1456" s="198"/>
      <c r="F1456" s="186"/>
      <c r="G1456" s="186"/>
      <c r="H1456" s="194"/>
      <c r="I1456" s="196"/>
      <c r="J1456" s="192"/>
      <c r="K1456" s="204"/>
    </row>
    <row r="1457" spans="1:11" ht="31.5" customHeight="1">
      <c r="A1457" s="199"/>
      <c r="B1457" s="184"/>
      <c r="C1457" s="189"/>
      <c r="D1457" s="200"/>
      <c r="E1457" s="198"/>
      <c r="F1457" s="186"/>
      <c r="G1457" s="186"/>
      <c r="H1457" s="194"/>
      <c r="I1457" s="196"/>
      <c r="J1457" s="192"/>
      <c r="K1457" s="204"/>
    </row>
    <row r="1458" spans="1:11">
      <c r="A1458" s="183"/>
      <c r="B1458" s="184"/>
      <c r="C1458" s="185"/>
      <c r="D1458" s="186"/>
      <c r="E1458" s="187"/>
      <c r="F1458" s="186"/>
      <c r="G1458" s="190"/>
      <c r="H1458" s="194"/>
      <c r="I1458" s="196"/>
      <c r="J1458" s="192"/>
      <c r="K1458" s="204"/>
    </row>
    <row r="1459" spans="1:11">
      <c r="A1459" s="186"/>
      <c r="B1459" s="184"/>
      <c r="C1459" s="185"/>
      <c r="D1459" s="186"/>
      <c r="E1459" s="187"/>
      <c r="F1459" s="188"/>
      <c r="G1459" s="181"/>
      <c r="H1459" s="194"/>
      <c r="I1459" s="196"/>
      <c r="J1459" s="192"/>
      <c r="K1459" s="204"/>
    </row>
    <row r="1460" spans="1:11">
      <c r="A1460" s="183"/>
      <c r="B1460" s="184"/>
      <c r="C1460" s="185"/>
      <c r="D1460" s="186"/>
      <c r="E1460" s="187"/>
      <c r="F1460" s="186"/>
      <c r="G1460" s="190"/>
      <c r="H1460" s="194"/>
      <c r="I1460" s="196"/>
      <c r="J1460" s="192"/>
      <c r="K1460" s="204"/>
    </row>
    <row r="1461" spans="1:11">
      <c r="A1461" s="186"/>
      <c r="B1461" s="184"/>
      <c r="C1461" s="185"/>
      <c r="D1461" s="186"/>
      <c r="E1461" s="187"/>
      <c r="F1461" s="188"/>
      <c r="G1461" s="181"/>
      <c r="H1461" s="194"/>
      <c r="I1461" s="196"/>
      <c r="J1461" s="192"/>
      <c r="K1461" s="204"/>
    </row>
    <row r="1462" spans="1:11">
      <c r="A1462" s="183"/>
      <c r="B1462" s="184"/>
      <c r="C1462" s="203"/>
      <c r="D1462" s="186"/>
      <c r="E1462" s="198"/>
      <c r="F1462" s="186"/>
      <c r="G1462" s="186"/>
      <c r="H1462" s="186"/>
      <c r="I1462" s="196"/>
      <c r="J1462" s="192"/>
      <c r="K1462" s="204"/>
    </row>
    <row r="1463" spans="1:11" ht="21" customHeight="1">
      <c r="A1463" s="186"/>
      <c r="B1463" s="184"/>
      <c r="C1463" s="203"/>
      <c r="D1463" s="186"/>
      <c r="E1463" s="198"/>
      <c r="F1463" s="186"/>
      <c r="G1463" s="186"/>
      <c r="H1463" s="181"/>
      <c r="I1463" s="196"/>
      <c r="J1463" s="192"/>
      <c r="K1463" s="204"/>
    </row>
    <row r="1464" spans="1:11">
      <c r="A1464" s="183"/>
      <c r="B1464" s="184"/>
      <c r="C1464" s="185"/>
      <c r="D1464" s="186"/>
      <c r="E1464" s="187"/>
      <c r="F1464" s="186"/>
      <c r="G1464" s="190"/>
      <c r="H1464" s="194"/>
      <c r="I1464" s="196"/>
      <c r="J1464" s="192"/>
      <c r="K1464" s="204"/>
    </row>
    <row r="1465" spans="1:11">
      <c r="A1465" s="186"/>
      <c r="B1465" s="184"/>
      <c r="C1465" s="185"/>
      <c r="D1465" s="186"/>
      <c r="E1465" s="187"/>
      <c r="F1465" s="188"/>
      <c r="G1465" s="181"/>
      <c r="H1465" s="194"/>
      <c r="I1465" s="196"/>
      <c r="J1465" s="192"/>
      <c r="K1465" s="204"/>
    </row>
    <row r="1466" spans="1:11" ht="24" customHeight="1">
      <c r="A1466" s="183"/>
      <c r="B1466" s="184"/>
      <c r="C1466" s="185"/>
      <c r="D1466" s="186"/>
      <c r="E1466" s="187"/>
      <c r="F1466" s="186"/>
      <c r="G1466" s="190"/>
      <c r="H1466" s="194"/>
      <c r="I1466" s="196"/>
      <c r="J1466" s="192"/>
      <c r="K1466" s="204"/>
    </row>
    <row r="1467" spans="1:11">
      <c r="A1467" s="186"/>
      <c r="B1467" s="184"/>
      <c r="C1467" s="185"/>
      <c r="D1467" s="186"/>
      <c r="E1467" s="187"/>
      <c r="F1467" s="188"/>
      <c r="G1467" s="181"/>
      <c r="H1467" s="194"/>
      <c r="I1467" s="196"/>
      <c r="J1467" s="192"/>
      <c r="K1467" s="204"/>
    </row>
    <row r="1468" spans="1:11">
      <c r="A1468" s="183"/>
      <c r="B1468" s="184"/>
      <c r="C1468" s="203"/>
      <c r="D1468" s="186"/>
      <c r="E1468" s="187"/>
      <c r="F1468" s="186"/>
      <c r="G1468" s="190"/>
      <c r="H1468" s="194"/>
      <c r="I1468" s="196"/>
      <c r="J1468" s="192"/>
      <c r="K1468" s="204"/>
    </row>
    <row r="1469" spans="1:11" ht="24" customHeight="1">
      <c r="A1469" s="186"/>
      <c r="B1469" s="184"/>
      <c r="C1469" s="203"/>
      <c r="D1469" s="186"/>
      <c r="E1469" s="187"/>
      <c r="F1469" s="188"/>
      <c r="G1469" s="181"/>
      <c r="H1469" s="194"/>
      <c r="I1469" s="196"/>
      <c r="J1469" s="192"/>
      <c r="K1469" s="204"/>
    </row>
    <row r="1470" spans="1:11">
      <c r="A1470" s="183"/>
      <c r="B1470" s="184"/>
      <c r="C1470" s="203"/>
      <c r="D1470" s="186"/>
      <c r="E1470" s="198"/>
      <c r="F1470" s="186"/>
      <c r="G1470" s="186"/>
      <c r="H1470" s="194"/>
      <c r="I1470" s="196"/>
      <c r="J1470" s="192"/>
      <c r="K1470" s="204"/>
    </row>
    <row r="1471" spans="1:11">
      <c r="A1471" s="186"/>
      <c r="B1471" s="184"/>
      <c r="C1471" s="203"/>
      <c r="D1471" s="186"/>
      <c r="E1471" s="198"/>
      <c r="F1471" s="186"/>
      <c r="G1471" s="186"/>
      <c r="H1471" s="194"/>
      <c r="I1471" s="196"/>
      <c r="J1471" s="192"/>
      <c r="K1471" s="204"/>
    </row>
    <row r="1472" spans="1:11">
      <c r="A1472" s="183"/>
      <c r="B1472" s="184"/>
      <c r="C1472" s="189"/>
      <c r="D1472" s="186"/>
      <c r="E1472" s="198"/>
      <c r="F1472" s="186"/>
      <c r="G1472" s="186"/>
      <c r="H1472" s="194"/>
      <c r="I1472" s="196"/>
      <c r="J1472" s="192"/>
      <c r="K1472" s="204"/>
    </row>
    <row r="1473" spans="1:11">
      <c r="A1473" s="199"/>
      <c r="B1473" s="184"/>
      <c r="C1473" s="189"/>
      <c r="D1473" s="186"/>
      <c r="E1473" s="198"/>
      <c r="F1473" s="186"/>
      <c r="G1473" s="186"/>
      <c r="H1473" s="194"/>
      <c r="I1473" s="196"/>
      <c r="J1473" s="192"/>
      <c r="K1473" s="204"/>
    </row>
    <row r="1474" spans="1:11">
      <c r="A1474" s="183"/>
      <c r="B1474" s="184"/>
      <c r="C1474" s="185"/>
      <c r="D1474" s="186"/>
      <c r="E1474" s="187"/>
      <c r="F1474" s="186"/>
      <c r="G1474" s="190"/>
      <c r="H1474" s="194"/>
      <c r="I1474" s="196"/>
      <c r="J1474" s="192"/>
      <c r="K1474" s="204"/>
    </row>
    <row r="1475" spans="1:11" ht="24" customHeight="1">
      <c r="A1475" s="186"/>
      <c r="B1475" s="184"/>
      <c r="C1475" s="185"/>
      <c r="D1475" s="186"/>
      <c r="E1475" s="187"/>
      <c r="F1475" s="188"/>
      <c r="G1475" s="181"/>
      <c r="H1475" s="194"/>
      <c r="I1475" s="196"/>
      <c r="J1475" s="192"/>
      <c r="K1475" s="204"/>
    </row>
    <row r="1476" spans="1:11">
      <c r="A1476" s="183"/>
      <c r="B1476" s="184"/>
      <c r="C1476" s="203"/>
      <c r="D1476" s="186"/>
      <c r="E1476" s="187"/>
      <c r="F1476" s="186"/>
      <c r="G1476" s="190"/>
      <c r="H1476" s="186"/>
      <c r="I1476" s="196"/>
      <c r="J1476" s="192"/>
      <c r="K1476" s="204"/>
    </row>
    <row r="1477" spans="1:11">
      <c r="A1477" s="186"/>
      <c r="B1477" s="184"/>
      <c r="C1477" s="203"/>
      <c r="D1477" s="186"/>
      <c r="E1477" s="187"/>
      <c r="F1477" s="188"/>
      <c r="G1477" s="181"/>
      <c r="H1477" s="181"/>
      <c r="I1477" s="196"/>
      <c r="J1477" s="192"/>
      <c r="K1477" s="204"/>
    </row>
    <row r="1478" spans="1:11">
      <c r="A1478" s="183"/>
      <c r="B1478" s="184"/>
      <c r="C1478" s="203"/>
      <c r="D1478" s="186"/>
      <c r="E1478" s="187"/>
      <c r="F1478" s="186"/>
      <c r="G1478" s="186"/>
      <c r="H1478" s="194"/>
      <c r="I1478" s="196"/>
      <c r="J1478" s="192"/>
      <c r="K1478" s="204"/>
    </row>
    <row r="1479" spans="1:11">
      <c r="A1479" s="186"/>
      <c r="B1479" s="184"/>
      <c r="C1479" s="203"/>
      <c r="D1479" s="186"/>
      <c r="E1479" s="187"/>
      <c r="F1479" s="188"/>
      <c r="G1479" s="186"/>
      <c r="H1479" s="194"/>
      <c r="I1479" s="196"/>
      <c r="J1479" s="192"/>
      <c r="K1479" s="204"/>
    </row>
    <row r="1480" spans="1:11">
      <c r="A1480" s="183"/>
      <c r="B1480" s="184"/>
      <c r="C1480" s="203"/>
      <c r="D1480" s="186"/>
      <c r="E1480" s="198"/>
      <c r="F1480" s="186"/>
      <c r="G1480" s="186"/>
      <c r="H1480" s="194"/>
      <c r="I1480" s="196"/>
      <c r="J1480" s="192"/>
      <c r="K1480" s="204"/>
    </row>
    <row r="1481" spans="1:11">
      <c r="A1481" s="186"/>
      <c r="B1481" s="184"/>
      <c r="C1481" s="203"/>
      <c r="D1481" s="186"/>
      <c r="E1481" s="198"/>
      <c r="F1481" s="186"/>
      <c r="G1481" s="186"/>
      <c r="H1481" s="194"/>
      <c r="I1481" s="196"/>
      <c r="J1481" s="192"/>
      <c r="K1481" s="204"/>
    </row>
    <row r="1482" spans="1:11">
      <c r="A1482" s="183"/>
      <c r="B1482" s="184"/>
      <c r="C1482" s="203"/>
      <c r="D1482" s="186"/>
      <c r="E1482" s="187"/>
      <c r="F1482" s="186"/>
      <c r="G1482" s="190"/>
      <c r="H1482" s="186"/>
      <c r="I1482" s="196"/>
      <c r="J1482" s="192"/>
      <c r="K1482" s="204"/>
    </row>
    <row r="1483" spans="1:11">
      <c r="A1483" s="186"/>
      <c r="B1483" s="184"/>
      <c r="C1483" s="203"/>
      <c r="D1483" s="186"/>
      <c r="E1483" s="187"/>
      <c r="F1483" s="188"/>
      <c r="G1483" s="181"/>
      <c r="H1483" s="181"/>
      <c r="I1483" s="196"/>
      <c r="J1483" s="192"/>
      <c r="K1483" s="204"/>
    </row>
    <row r="1484" spans="1:11" ht="21" customHeight="1">
      <c r="A1484" s="183"/>
      <c r="B1484" s="184"/>
      <c r="C1484" s="200"/>
      <c r="D1484" s="186"/>
      <c r="E1484" s="187"/>
      <c r="F1484" s="186"/>
      <c r="G1484" s="190"/>
      <c r="H1484" s="194"/>
      <c r="I1484" s="196"/>
      <c r="J1484" s="192"/>
      <c r="K1484" s="204"/>
    </row>
    <row r="1485" spans="1:11">
      <c r="A1485" s="186"/>
      <c r="B1485" s="184"/>
      <c r="C1485" s="200"/>
      <c r="D1485" s="186"/>
      <c r="E1485" s="187"/>
      <c r="F1485" s="188"/>
      <c r="G1485" s="181"/>
      <c r="H1485" s="194"/>
      <c r="I1485" s="196"/>
      <c r="J1485" s="192"/>
      <c r="K1485" s="204"/>
    </row>
    <row r="1486" spans="1:11">
      <c r="A1486" s="183"/>
      <c r="B1486" s="184"/>
      <c r="C1486" s="185"/>
      <c r="D1486" s="186"/>
      <c r="E1486" s="187"/>
      <c r="F1486" s="186"/>
      <c r="G1486" s="190"/>
      <c r="H1486" s="194"/>
      <c r="I1486" s="196"/>
      <c r="J1486" s="192"/>
      <c r="K1486" s="204"/>
    </row>
    <row r="1487" spans="1:11" ht="31.5" customHeight="1">
      <c r="A1487" s="186"/>
      <c r="B1487" s="184"/>
      <c r="C1487" s="185"/>
      <c r="D1487" s="186"/>
      <c r="E1487" s="187"/>
      <c r="F1487" s="188"/>
      <c r="G1487" s="181"/>
      <c r="H1487" s="194"/>
      <c r="I1487" s="196"/>
      <c r="J1487" s="192"/>
      <c r="K1487" s="204"/>
    </row>
    <row r="1488" spans="1:11">
      <c r="A1488" s="183"/>
      <c r="B1488" s="184"/>
      <c r="C1488" s="197"/>
      <c r="D1488" s="186"/>
      <c r="E1488" s="198"/>
      <c r="F1488" s="186"/>
      <c r="G1488" s="186"/>
      <c r="H1488" s="194"/>
      <c r="I1488" s="196"/>
      <c r="J1488" s="192"/>
      <c r="K1488" s="204"/>
    </row>
    <row r="1489" spans="1:11">
      <c r="A1489" s="186"/>
      <c r="B1489" s="184"/>
      <c r="C1489" s="197"/>
      <c r="D1489" s="186"/>
      <c r="E1489" s="198"/>
      <c r="F1489" s="186"/>
      <c r="G1489" s="186"/>
      <c r="H1489" s="194"/>
      <c r="I1489" s="196"/>
      <c r="J1489" s="192"/>
      <c r="K1489" s="204"/>
    </row>
    <row r="1490" spans="1:11">
      <c r="A1490" s="183"/>
      <c r="B1490" s="184"/>
      <c r="C1490" s="185"/>
      <c r="D1490" s="186"/>
      <c r="E1490" s="187"/>
      <c r="F1490" s="186"/>
      <c r="G1490" s="190"/>
      <c r="H1490" s="194"/>
      <c r="I1490" s="196"/>
      <c r="J1490" s="192"/>
      <c r="K1490" s="204"/>
    </row>
    <row r="1491" spans="1:11">
      <c r="A1491" s="186"/>
      <c r="B1491" s="184"/>
      <c r="C1491" s="185"/>
      <c r="D1491" s="186"/>
      <c r="E1491" s="187"/>
      <c r="F1491" s="188"/>
      <c r="G1491" s="181"/>
      <c r="H1491" s="194"/>
      <c r="I1491" s="196"/>
      <c r="J1491" s="192"/>
      <c r="K1491" s="204"/>
    </row>
    <row r="1492" spans="1:11">
      <c r="A1492" s="183"/>
      <c r="B1492" s="184"/>
      <c r="C1492" s="203"/>
      <c r="D1492" s="186"/>
      <c r="E1492" s="198"/>
      <c r="F1492" s="186"/>
      <c r="G1492" s="186"/>
      <c r="H1492" s="194"/>
      <c r="I1492" s="196"/>
      <c r="J1492" s="192"/>
      <c r="K1492" s="204"/>
    </row>
    <row r="1493" spans="1:11" ht="31.5" customHeight="1">
      <c r="A1493" s="186"/>
      <c r="B1493" s="184"/>
      <c r="C1493" s="203"/>
      <c r="D1493" s="186"/>
      <c r="E1493" s="198"/>
      <c r="F1493" s="186"/>
      <c r="G1493" s="186"/>
      <c r="H1493" s="194"/>
      <c r="I1493" s="196"/>
      <c r="J1493" s="192"/>
      <c r="K1493" s="204"/>
    </row>
    <row r="1494" spans="1:11">
      <c r="A1494" s="183"/>
      <c r="B1494" s="184"/>
      <c r="C1494" s="185"/>
      <c r="D1494" s="186"/>
      <c r="E1494" s="187"/>
      <c r="F1494" s="186"/>
      <c r="G1494" s="190"/>
      <c r="H1494" s="194"/>
      <c r="I1494" s="196"/>
      <c r="J1494" s="192"/>
      <c r="K1494" s="204"/>
    </row>
    <row r="1495" spans="1:11">
      <c r="A1495" s="186"/>
      <c r="B1495" s="184"/>
      <c r="C1495" s="185"/>
      <c r="D1495" s="186"/>
      <c r="E1495" s="187"/>
      <c r="F1495" s="188"/>
      <c r="G1495" s="181"/>
      <c r="H1495" s="194"/>
      <c r="I1495" s="196"/>
      <c r="J1495" s="192"/>
      <c r="K1495" s="204"/>
    </row>
    <row r="1496" spans="1:11" ht="21" customHeight="1">
      <c r="A1496" s="183"/>
      <c r="B1496" s="184"/>
      <c r="C1496" s="185"/>
      <c r="D1496" s="186"/>
      <c r="E1496" s="187"/>
      <c r="F1496" s="186"/>
      <c r="G1496" s="190"/>
      <c r="H1496" s="194"/>
      <c r="I1496" s="196"/>
      <c r="J1496" s="192"/>
      <c r="K1496" s="204"/>
    </row>
    <row r="1497" spans="1:11">
      <c r="A1497" s="186"/>
      <c r="B1497" s="184"/>
      <c r="C1497" s="185"/>
      <c r="D1497" s="186"/>
      <c r="E1497" s="187"/>
      <c r="F1497" s="188"/>
      <c r="G1497" s="181"/>
      <c r="H1497" s="194"/>
      <c r="I1497" s="196"/>
      <c r="J1497" s="192"/>
      <c r="K1497" s="204"/>
    </row>
    <row r="1498" spans="1:11">
      <c r="A1498" s="183"/>
      <c r="B1498" s="184"/>
      <c r="C1498" s="200"/>
      <c r="D1498" s="186"/>
      <c r="E1498" s="187"/>
      <c r="F1498" s="186"/>
      <c r="G1498" s="190"/>
      <c r="H1498" s="194"/>
      <c r="I1498" s="196"/>
      <c r="J1498" s="192"/>
      <c r="K1498" s="204"/>
    </row>
    <row r="1499" spans="1:11" ht="24" customHeight="1">
      <c r="A1499" s="186"/>
      <c r="B1499" s="184"/>
      <c r="C1499" s="200"/>
      <c r="D1499" s="186"/>
      <c r="E1499" s="187"/>
      <c r="F1499" s="188"/>
      <c r="G1499" s="181"/>
      <c r="H1499" s="194"/>
      <c r="I1499" s="196"/>
      <c r="J1499" s="192"/>
      <c r="K1499" s="204"/>
    </row>
    <row r="1500" spans="1:11">
      <c r="A1500" s="183"/>
      <c r="B1500" s="184"/>
      <c r="C1500" s="185"/>
      <c r="D1500" s="186"/>
      <c r="E1500" s="187"/>
      <c r="F1500" s="186"/>
      <c r="G1500" s="190"/>
      <c r="H1500" s="194"/>
      <c r="I1500" s="196"/>
      <c r="J1500" s="192"/>
      <c r="K1500" s="204"/>
    </row>
    <row r="1501" spans="1:11">
      <c r="A1501" s="186"/>
      <c r="B1501" s="184"/>
      <c r="C1501" s="185"/>
      <c r="D1501" s="186"/>
      <c r="E1501" s="187"/>
      <c r="F1501" s="188"/>
      <c r="G1501" s="181"/>
      <c r="H1501" s="194"/>
      <c r="I1501" s="196"/>
      <c r="J1501" s="192"/>
      <c r="K1501" s="204"/>
    </row>
    <row r="1502" spans="1:11" ht="16" customHeight="1">
      <c r="A1502" s="183"/>
      <c r="B1502" s="184"/>
      <c r="C1502" s="185"/>
      <c r="D1502" s="186"/>
      <c r="E1502" s="187"/>
      <c r="F1502" s="186"/>
      <c r="G1502" s="190"/>
      <c r="H1502" s="194"/>
      <c r="I1502" s="196"/>
      <c r="J1502" s="192"/>
      <c r="K1502" s="204"/>
    </row>
    <row r="1503" spans="1:11">
      <c r="A1503" s="186"/>
      <c r="B1503" s="184"/>
      <c r="C1503" s="185"/>
      <c r="D1503" s="186"/>
      <c r="E1503" s="187"/>
      <c r="F1503" s="188"/>
      <c r="G1503" s="181"/>
      <c r="H1503" s="194"/>
      <c r="I1503" s="196"/>
      <c r="J1503" s="192"/>
      <c r="K1503" s="204"/>
    </row>
    <row r="1504" spans="1:11">
      <c r="A1504" s="183"/>
      <c r="B1504" s="184"/>
      <c r="C1504" s="200"/>
      <c r="D1504" s="186"/>
      <c r="E1504" s="187"/>
      <c r="F1504" s="186"/>
      <c r="G1504" s="190"/>
      <c r="H1504" s="194"/>
      <c r="I1504" s="196"/>
      <c r="J1504" s="192"/>
      <c r="K1504" s="204"/>
    </row>
    <row r="1505" spans="1:11">
      <c r="A1505" s="186"/>
      <c r="B1505" s="184"/>
      <c r="C1505" s="200"/>
      <c r="D1505" s="186"/>
      <c r="E1505" s="187"/>
      <c r="F1505" s="188"/>
      <c r="G1505" s="181"/>
      <c r="H1505" s="194"/>
      <c r="I1505" s="196"/>
      <c r="J1505" s="192"/>
      <c r="K1505" s="204"/>
    </row>
    <row r="1506" spans="1:11">
      <c r="A1506" s="183"/>
      <c r="B1506" s="184"/>
      <c r="C1506" s="185"/>
      <c r="D1506" s="186"/>
      <c r="E1506" s="187"/>
      <c r="F1506" s="186"/>
      <c r="G1506" s="190"/>
      <c r="H1506" s="194"/>
      <c r="I1506" s="196"/>
      <c r="J1506" s="192"/>
      <c r="K1506" s="204"/>
    </row>
    <row r="1507" spans="1:11">
      <c r="A1507" s="186"/>
      <c r="B1507" s="184"/>
      <c r="C1507" s="185"/>
      <c r="D1507" s="186"/>
      <c r="E1507" s="187"/>
      <c r="F1507" s="188"/>
      <c r="G1507" s="181"/>
      <c r="H1507" s="194"/>
      <c r="I1507" s="196"/>
      <c r="J1507" s="192"/>
      <c r="K1507" s="204"/>
    </row>
    <row r="1508" spans="1:11" ht="21" customHeight="1">
      <c r="A1508" s="183"/>
      <c r="B1508" s="184"/>
      <c r="C1508" s="185"/>
      <c r="D1508" s="186"/>
      <c r="E1508" s="187"/>
      <c r="F1508" s="186"/>
      <c r="G1508" s="190"/>
      <c r="H1508" s="194"/>
      <c r="I1508" s="196"/>
      <c r="J1508" s="192"/>
      <c r="K1508" s="204"/>
    </row>
    <row r="1509" spans="1:11">
      <c r="A1509" s="186"/>
      <c r="B1509" s="184"/>
      <c r="C1509" s="185"/>
      <c r="D1509" s="186"/>
      <c r="E1509" s="187"/>
      <c r="F1509" s="188"/>
      <c r="G1509" s="181"/>
      <c r="H1509" s="194"/>
      <c r="I1509" s="196"/>
      <c r="J1509" s="192"/>
      <c r="K1509" s="204"/>
    </row>
    <row r="1510" spans="1:11">
      <c r="A1510" s="183"/>
      <c r="B1510" s="184"/>
      <c r="C1510" s="185"/>
      <c r="D1510" s="186"/>
      <c r="E1510" s="187"/>
      <c r="F1510" s="186"/>
      <c r="G1510" s="190"/>
      <c r="H1510" s="194"/>
      <c r="I1510" s="196"/>
      <c r="J1510" s="192"/>
      <c r="K1510" s="204"/>
    </row>
    <row r="1511" spans="1:11" ht="14" customHeight="1">
      <c r="A1511" s="186"/>
      <c r="B1511" s="184"/>
      <c r="C1511" s="185"/>
      <c r="D1511" s="186"/>
      <c r="E1511" s="187"/>
      <c r="F1511" s="188"/>
      <c r="G1511" s="181"/>
      <c r="H1511" s="194"/>
      <c r="I1511" s="196"/>
      <c r="J1511" s="192"/>
      <c r="K1511" s="204"/>
    </row>
    <row r="1512" spans="1:11">
      <c r="A1512" s="183"/>
      <c r="B1512" s="184"/>
      <c r="C1512" s="200"/>
      <c r="D1512" s="186"/>
      <c r="E1512" s="187"/>
      <c r="F1512" s="186"/>
      <c r="G1512" s="186"/>
      <c r="H1512" s="194"/>
      <c r="I1512" s="196"/>
      <c r="J1512" s="192"/>
      <c r="K1512" s="204"/>
    </row>
    <row r="1513" spans="1:11" ht="24" customHeight="1">
      <c r="A1513" s="186"/>
      <c r="B1513" s="184"/>
      <c r="C1513" s="200"/>
      <c r="D1513" s="186"/>
      <c r="E1513" s="187"/>
      <c r="F1513" s="188"/>
      <c r="G1513" s="186"/>
      <c r="H1513" s="194"/>
      <c r="I1513" s="196"/>
      <c r="J1513" s="192"/>
      <c r="K1513" s="204"/>
    </row>
    <row r="1514" spans="1:11">
      <c r="A1514" s="183"/>
      <c r="B1514" s="184"/>
      <c r="C1514" s="185"/>
      <c r="D1514" s="186"/>
      <c r="E1514" s="187"/>
      <c r="F1514" s="186"/>
      <c r="G1514" s="190"/>
      <c r="H1514" s="194"/>
      <c r="I1514" s="196"/>
      <c r="J1514" s="192"/>
      <c r="K1514" s="204"/>
    </row>
    <row r="1515" spans="1:11">
      <c r="A1515" s="186"/>
      <c r="B1515" s="184"/>
      <c r="C1515" s="185"/>
      <c r="D1515" s="186"/>
      <c r="E1515" s="187"/>
      <c r="F1515" s="188"/>
      <c r="G1515" s="181"/>
      <c r="H1515" s="194"/>
      <c r="I1515" s="196"/>
      <c r="J1515" s="192"/>
      <c r="K1515" s="204"/>
    </row>
    <row r="1516" spans="1:11">
      <c r="A1516" s="183"/>
      <c r="B1516" s="184"/>
      <c r="C1516" s="185"/>
      <c r="D1516" s="186"/>
      <c r="E1516" s="187"/>
      <c r="F1516" s="186"/>
      <c r="G1516" s="190"/>
      <c r="H1516" s="194"/>
      <c r="I1516" s="196"/>
      <c r="J1516" s="192"/>
      <c r="K1516" s="204"/>
    </row>
    <row r="1517" spans="1:11">
      <c r="A1517" s="181"/>
      <c r="B1517" s="184"/>
      <c r="C1517" s="185"/>
      <c r="D1517" s="186"/>
      <c r="E1517" s="187"/>
      <c r="F1517" s="188"/>
      <c r="G1517" s="181"/>
      <c r="H1517" s="194"/>
      <c r="I1517" s="196"/>
      <c r="J1517" s="192"/>
      <c r="K1517" s="204"/>
    </row>
    <row r="1518" spans="1:11">
      <c r="A1518" s="183"/>
      <c r="B1518" s="184"/>
      <c r="C1518" s="185"/>
      <c r="D1518" s="186"/>
      <c r="E1518" s="187"/>
      <c r="F1518" s="186"/>
      <c r="G1518" s="190"/>
      <c r="H1518" s="194"/>
      <c r="I1518" s="196"/>
      <c r="J1518" s="192"/>
      <c r="K1518" s="204"/>
    </row>
    <row r="1519" spans="1:11">
      <c r="A1519" s="186"/>
      <c r="B1519" s="184"/>
      <c r="C1519" s="185"/>
      <c r="D1519" s="186"/>
      <c r="E1519" s="187"/>
      <c r="F1519" s="188"/>
      <c r="G1519" s="181"/>
      <c r="H1519" s="194"/>
      <c r="I1519" s="196"/>
      <c r="J1519" s="192"/>
      <c r="K1519" s="204"/>
    </row>
    <row r="1520" spans="1:11">
      <c r="A1520" s="183"/>
      <c r="B1520" s="184"/>
      <c r="C1520" s="185"/>
      <c r="D1520" s="186"/>
      <c r="E1520" s="187"/>
      <c r="F1520" s="186"/>
      <c r="G1520" s="190"/>
      <c r="H1520" s="194"/>
      <c r="I1520" s="196"/>
      <c r="J1520" s="192"/>
      <c r="K1520" s="204"/>
    </row>
    <row r="1521" spans="1:11">
      <c r="A1521" s="186"/>
      <c r="B1521" s="184"/>
      <c r="C1521" s="185"/>
      <c r="D1521" s="186"/>
      <c r="E1521" s="187"/>
      <c r="F1521" s="188"/>
      <c r="G1521" s="181"/>
      <c r="H1521" s="194"/>
      <c r="I1521" s="196"/>
      <c r="J1521" s="192"/>
      <c r="K1521" s="204"/>
    </row>
    <row r="1522" spans="1:11">
      <c r="A1522" s="183"/>
      <c r="B1522" s="184"/>
      <c r="C1522" s="185"/>
      <c r="D1522" s="186"/>
      <c r="E1522" s="187"/>
      <c r="F1522" s="186"/>
      <c r="G1522" s="190"/>
      <c r="H1522" s="194"/>
      <c r="I1522" s="196"/>
      <c r="J1522" s="192"/>
      <c r="K1522" s="204"/>
    </row>
    <row r="1523" spans="1:11">
      <c r="A1523" s="186"/>
      <c r="B1523" s="184"/>
      <c r="C1523" s="185"/>
      <c r="D1523" s="186"/>
      <c r="E1523" s="187"/>
      <c r="F1523" s="188"/>
      <c r="G1523" s="181"/>
      <c r="H1523" s="194"/>
      <c r="I1523" s="196"/>
      <c r="J1523" s="192"/>
      <c r="K1523" s="204"/>
    </row>
    <row r="1524" spans="1:11">
      <c r="A1524" s="183"/>
      <c r="B1524" s="184"/>
      <c r="C1524" s="185"/>
      <c r="D1524" s="186"/>
      <c r="E1524" s="187"/>
      <c r="F1524" s="186"/>
      <c r="G1524" s="190"/>
      <c r="H1524" s="194"/>
      <c r="I1524" s="196"/>
      <c r="J1524" s="192"/>
      <c r="K1524" s="204"/>
    </row>
    <row r="1525" spans="1:11">
      <c r="A1525" s="186"/>
      <c r="B1525" s="184"/>
      <c r="C1525" s="185"/>
      <c r="D1525" s="186"/>
      <c r="E1525" s="187"/>
      <c r="F1525" s="188"/>
      <c r="G1525" s="181"/>
      <c r="H1525" s="194"/>
      <c r="I1525" s="196"/>
      <c r="J1525" s="192"/>
      <c r="K1525" s="204"/>
    </row>
    <row r="1526" spans="1:11">
      <c r="A1526" s="182"/>
      <c r="B1526" s="184"/>
      <c r="C1526" s="203"/>
      <c r="D1526" s="186"/>
      <c r="E1526" s="198"/>
      <c r="F1526" s="186"/>
      <c r="G1526" s="186"/>
      <c r="H1526" s="186"/>
      <c r="I1526" s="191"/>
      <c r="J1526" s="192"/>
      <c r="K1526" s="204"/>
    </row>
    <row r="1527" spans="1:11">
      <c r="A1527" s="183"/>
      <c r="B1527" s="184"/>
      <c r="C1527" s="203"/>
      <c r="D1527" s="186"/>
      <c r="E1527" s="198"/>
      <c r="F1527" s="186"/>
      <c r="G1527" s="186"/>
      <c r="H1527" s="186"/>
      <c r="I1527" s="191"/>
      <c r="J1527" s="192"/>
      <c r="K1527" s="204"/>
    </row>
    <row r="1528" spans="1:11" ht="21" customHeight="1">
      <c r="A1528" s="186"/>
      <c r="B1528" s="184"/>
      <c r="C1528" s="203"/>
      <c r="D1528" s="186"/>
      <c r="E1528" s="198"/>
      <c r="F1528" s="186"/>
      <c r="G1528" s="186"/>
      <c r="H1528" s="186"/>
      <c r="I1528" s="191"/>
      <c r="J1528" s="192"/>
      <c r="K1528" s="204"/>
    </row>
    <row r="1529" spans="1:11">
      <c r="A1529" s="183"/>
      <c r="B1529" s="184"/>
      <c r="C1529" s="203"/>
      <c r="D1529" s="186"/>
      <c r="E1529" s="198"/>
      <c r="F1529" s="186"/>
      <c r="G1529" s="186"/>
      <c r="H1529" s="186"/>
      <c r="I1529" s="196"/>
      <c r="J1529" s="193"/>
      <c r="K1529" s="204"/>
    </row>
    <row r="1530" spans="1:11">
      <c r="A1530" s="186"/>
      <c r="B1530" s="184"/>
      <c r="C1530" s="203"/>
      <c r="D1530" s="186"/>
      <c r="E1530" s="198"/>
      <c r="F1530" s="186"/>
      <c r="G1530" s="186"/>
      <c r="H1530" s="181"/>
      <c r="I1530" s="196"/>
      <c r="J1530" s="193"/>
      <c r="K1530" s="204"/>
    </row>
    <row r="1531" spans="1:11" ht="14" customHeight="1">
      <c r="A1531" s="183"/>
      <c r="B1531" s="184"/>
      <c r="C1531" s="203"/>
      <c r="D1531" s="186"/>
      <c r="E1531" s="198"/>
      <c r="F1531" s="186"/>
      <c r="G1531" s="186"/>
      <c r="H1531" s="186"/>
      <c r="I1531" s="196"/>
      <c r="J1531" s="192"/>
      <c r="K1531" s="204"/>
    </row>
    <row r="1532" spans="1:11">
      <c r="A1532" s="186"/>
      <c r="B1532" s="184"/>
      <c r="C1532" s="203"/>
      <c r="D1532" s="186"/>
      <c r="E1532" s="198"/>
      <c r="F1532" s="186"/>
      <c r="G1532" s="186"/>
      <c r="H1532" s="181"/>
      <c r="I1532" s="196"/>
      <c r="J1532" s="192"/>
      <c r="K1532" s="204"/>
    </row>
    <row r="1533" spans="1:11">
      <c r="A1533" s="182"/>
      <c r="B1533" s="184"/>
      <c r="C1533" s="202"/>
      <c r="D1533" s="186"/>
      <c r="E1533" s="198"/>
      <c r="F1533" s="186"/>
      <c r="G1533" s="186"/>
      <c r="H1533" s="194"/>
      <c r="I1533" s="195"/>
      <c r="J1533" s="192"/>
      <c r="K1533" s="204"/>
    </row>
    <row r="1534" spans="1:11" ht="16" customHeight="1">
      <c r="A1534" s="183"/>
      <c r="B1534" s="184"/>
      <c r="C1534" s="202"/>
      <c r="D1534" s="186"/>
      <c r="E1534" s="198"/>
      <c r="F1534" s="186"/>
      <c r="G1534" s="186"/>
      <c r="H1534" s="186"/>
      <c r="I1534" s="196"/>
      <c r="J1534" s="192"/>
      <c r="K1534" s="204"/>
    </row>
    <row r="1535" spans="1:11">
      <c r="A1535" s="186"/>
      <c r="B1535" s="184"/>
      <c r="C1535" s="202"/>
      <c r="D1535" s="186"/>
      <c r="E1535" s="198"/>
      <c r="F1535" s="186"/>
      <c r="G1535" s="186"/>
      <c r="H1535" s="181"/>
      <c r="I1535" s="196"/>
      <c r="J1535" s="192"/>
      <c r="K1535" s="204"/>
    </row>
    <row r="1536" spans="1:11">
      <c r="A1536" s="183"/>
      <c r="B1536" s="184"/>
      <c r="C1536" s="203"/>
      <c r="D1536" s="186"/>
      <c r="E1536" s="187"/>
      <c r="F1536" s="186"/>
      <c r="G1536" s="190"/>
      <c r="H1536" s="186"/>
      <c r="I1536" s="196"/>
      <c r="J1536" s="192"/>
      <c r="K1536" s="204"/>
    </row>
    <row r="1537" spans="1:11" ht="21" customHeight="1">
      <c r="A1537" s="186"/>
      <c r="B1537" s="184"/>
      <c r="C1537" s="203"/>
      <c r="D1537" s="186"/>
      <c r="E1537" s="187"/>
      <c r="F1537" s="188"/>
      <c r="G1537" s="181"/>
      <c r="H1537" s="181"/>
      <c r="I1537" s="196"/>
      <c r="J1537" s="192"/>
      <c r="K1537" s="204"/>
    </row>
    <row r="1538" spans="1:11">
      <c r="A1538" s="183"/>
      <c r="B1538" s="184"/>
      <c r="C1538" s="185"/>
      <c r="D1538" s="186"/>
      <c r="E1538" s="187"/>
      <c r="F1538" s="186"/>
      <c r="G1538" s="190"/>
      <c r="H1538" s="194"/>
      <c r="I1538" s="196"/>
      <c r="J1538" s="192"/>
      <c r="K1538" s="204"/>
    </row>
    <row r="1539" spans="1:11">
      <c r="A1539" s="186"/>
      <c r="B1539" s="184"/>
      <c r="C1539" s="185"/>
      <c r="D1539" s="186"/>
      <c r="E1539" s="187"/>
      <c r="F1539" s="188"/>
      <c r="G1539" s="181"/>
      <c r="H1539" s="194"/>
      <c r="I1539" s="196"/>
      <c r="J1539" s="192"/>
      <c r="K1539" s="204"/>
    </row>
    <row r="1540" spans="1:11" ht="21" customHeight="1">
      <c r="A1540" s="183"/>
      <c r="B1540" s="184"/>
      <c r="C1540" s="189"/>
      <c r="D1540" s="202"/>
      <c r="E1540" s="198"/>
      <c r="F1540" s="186"/>
      <c r="G1540" s="186"/>
      <c r="H1540" s="194"/>
      <c r="I1540" s="196"/>
      <c r="J1540" s="192"/>
      <c r="K1540" s="204"/>
    </row>
    <row r="1541" spans="1:11">
      <c r="A1541" s="199"/>
      <c r="B1541" s="184"/>
      <c r="C1541" s="189"/>
      <c r="D1541" s="202"/>
      <c r="E1541" s="198"/>
      <c r="F1541" s="186"/>
      <c r="G1541" s="186"/>
      <c r="H1541" s="194"/>
      <c r="I1541" s="196"/>
      <c r="J1541" s="192"/>
      <c r="K1541" s="204"/>
    </row>
    <row r="1542" spans="1:11">
      <c r="A1542" s="182"/>
      <c r="B1542" s="184"/>
      <c r="C1542" s="203"/>
      <c r="D1542" s="186"/>
      <c r="E1542" s="198"/>
      <c r="F1542" s="186"/>
      <c r="G1542" s="186"/>
      <c r="H1542" s="186"/>
      <c r="I1542" s="191"/>
      <c r="J1542" s="192"/>
      <c r="K1542" s="204"/>
    </row>
    <row r="1543" spans="1:11">
      <c r="A1543" s="183"/>
      <c r="B1543" s="184"/>
      <c r="C1543" s="203"/>
      <c r="D1543" s="186"/>
      <c r="E1543" s="198"/>
      <c r="F1543" s="186"/>
      <c r="G1543" s="186"/>
      <c r="H1543" s="186"/>
      <c r="I1543" s="191"/>
      <c r="J1543" s="192"/>
      <c r="K1543" s="204"/>
    </row>
    <row r="1544" spans="1:11">
      <c r="A1544" s="186"/>
      <c r="B1544" s="184"/>
      <c r="C1544" s="203"/>
      <c r="D1544" s="186"/>
      <c r="E1544" s="198"/>
      <c r="F1544" s="186"/>
      <c r="G1544" s="186"/>
      <c r="H1544" s="186"/>
      <c r="I1544" s="191"/>
      <c r="J1544" s="192"/>
      <c r="K1544" s="204"/>
    </row>
    <row r="1545" spans="1:11">
      <c r="A1545" s="183"/>
      <c r="B1545" s="184"/>
      <c r="C1545" s="185"/>
      <c r="D1545" s="186"/>
      <c r="E1545" s="187"/>
      <c r="F1545" s="186"/>
      <c r="G1545" s="190"/>
      <c r="H1545" s="194"/>
      <c r="I1545" s="196"/>
      <c r="J1545" s="192"/>
      <c r="K1545" s="204"/>
    </row>
    <row r="1546" spans="1:11" ht="24" customHeight="1">
      <c r="A1546" s="186"/>
      <c r="B1546" s="184"/>
      <c r="C1546" s="185"/>
      <c r="D1546" s="186"/>
      <c r="E1546" s="187"/>
      <c r="F1546" s="188"/>
      <c r="G1546" s="181"/>
      <c r="H1546" s="194"/>
      <c r="I1546" s="196"/>
      <c r="J1546" s="192"/>
      <c r="K1546" s="204"/>
    </row>
    <row r="1547" spans="1:11">
      <c r="A1547" s="183"/>
      <c r="B1547" s="184"/>
      <c r="C1547" s="185"/>
      <c r="D1547" s="186"/>
      <c r="E1547" s="187"/>
      <c r="F1547" s="186"/>
      <c r="G1547" s="190"/>
      <c r="H1547" s="194"/>
      <c r="I1547" s="196"/>
      <c r="J1547" s="192"/>
      <c r="K1547" s="204"/>
    </row>
    <row r="1548" spans="1:11">
      <c r="A1548" s="186"/>
      <c r="B1548" s="184"/>
      <c r="C1548" s="185"/>
      <c r="D1548" s="186"/>
      <c r="E1548" s="187"/>
      <c r="F1548" s="188"/>
      <c r="G1548" s="181"/>
      <c r="H1548" s="194"/>
      <c r="I1548" s="196"/>
      <c r="J1548" s="192"/>
      <c r="K1548" s="204"/>
    </row>
    <row r="1549" spans="1:11">
      <c r="A1549" s="183"/>
      <c r="B1549" s="184"/>
      <c r="C1549" s="185"/>
      <c r="D1549" s="186"/>
      <c r="E1549" s="187"/>
      <c r="F1549" s="186"/>
      <c r="G1549" s="190"/>
      <c r="H1549" s="194"/>
      <c r="I1549" s="196"/>
      <c r="J1549" s="192"/>
      <c r="K1549" s="204"/>
    </row>
    <row r="1550" spans="1:11">
      <c r="A1550" s="186"/>
      <c r="B1550" s="184"/>
      <c r="C1550" s="185"/>
      <c r="D1550" s="186"/>
      <c r="E1550" s="187"/>
      <c r="F1550" s="188"/>
      <c r="G1550" s="181"/>
      <c r="H1550" s="194"/>
      <c r="I1550" s="196"/>
      <c r="J1550" s="192"/>
      <c r="K1550" s="204"/>
    </row>
    <row r="1551" spans="1:11">
      <c r="A1551" s="183"/>
      <c r="B1551" s="184"/>
      <c r="C1551" s="189"/>
      <c r="D1551" s="186"/>
      <c r="E1551" s="198"/>
      <c r="F1551" s="186"/>
      <c r="G1551" s="186"/>
      <c r="H1551" s="194"/>
      <c r="I1551" s="196"/>
      <c r="J1551" s="192"/>
      <c r="K1551" s="204"/>
    </row>
    <row r="1552" spans="1:11">
      <c r="A1552" s="199"/>
      <c r="B1552" s="184"/>
      <c r="C1552" s="189"/>
      <c r="D1552" s="186"/>
      <c r="E1552" s="198"/>
      <c r="F1552" s="186"/>
      <c r="G1552" s="186"/>
      <c r="H1552" s="194"/>
      <c r="I1552" s="196"/>
      <c r="J1552" s="192"/>
      <c r="K1552" s="204"/>
    </row>
    <row r="1553" spans="1:11">
      <c r="A1553" s="183"/>
      <c r="B1553" s="184"/>
      <c r="C1553" s="185"/>
      <c r="D1553" s="186"/>
      <c r="E1553" s="187"/>
      <c r="F1553" s="186"/>
      <c r="G1553" s="190"/>
      <c r="H1553" s="194"/>
      <c r="I1553" s="196"/>
      <c r="J1553" s="192"/>
      <c r="K1553" s="204"/>
    </row>
    <row r="1554" spans="1:11">
      <c r="A1554" s="186"/>
      <c r="B1554" s="184"/>
      <c r="C1554" s="185"/>
      <c r="D1554" s="186"/>
      <c r="E1554" s="187"/>
      <c r="F1554" s="188"/>
      <c r="G1554" s="181"/>
      <c r="H1554" s="194"/>
      <c r="I1554" s="196"/>
      <c r="J1554" s="192"/>
      <c r="K1554" s="204"/>
    </row>
    <row r="1555" spans="1:11">
      <c r="A1555" s="183"/>
      <c r="B1555" s="184"/>
      <c r="C1555" s="203"/>
      <c r="D1555" s="186"/>
      <c r="E1555" s="187"/>
      <c r="F1555" s="186"/>
      <c r="G1555" s="190"/>
      <c r="H1555" s="186"/>
      <c r="I1555" s="196"/>
      <c r="J1555" s="192"/>
      <c r="K1555" s="204"/>
    </row>
    <row r="1556" spans="1:11">
      <c r="A1556" s="186"/>
      <c r="B1556" s="184"/>
      <c r="C1556" s="203"/>
      <c r="D1556" s="186"/>
      <c r="E1556" s="187"/>
      <c r="F1556" s="188"/>
      <c r="G1556" s="181"/>
      <c r="H1556" s="181"/>
      <c r="I1556" s="196"/>
      <c r="J1556" s="192"/>
      <c r="K1556" s="204"/>
    </row>
    <row r="1557" spans="1:11">
      <c r="A1557" s="183"/>
      <c r="B1557" s="184"/>
      <c r="C1557" s="185"/>
      <c r="D1557" s="186"/>
      <c r="E1557" s="187"/>
      <c r="F1557" s="186"/>
      <c r="G1557" s="190"/>
      <c r="H1557" s="194"/>
      <c r="I1557" s="196"/>
      <c r="J1557" s="192"/>
      <c r="K1557" s="204"/>
    </row>
    <row r="1558" spans="1:11" ht="21" customHeight="1">
      <c r="A1558" s="186"/>
      <c r="B1558" s="184"/>
      <c r="C1558" s="185"/>
      <c r="D1558" s="186"/>
      <c r="E1558" s="187"/>
      <c r="F1558" s="188"/>
      <c r="G1558" s="181"/>
      <c r="H1558" s="194"/>
      <c r="I1558" s="196"/>
      <c r="J1558" s="192"/>
      <c r="K1558" s="204"/>
    </row>
    <row r="1559" spans="1:11">
      <c r="A1559" s="183"/>
      <c r="B1559" s="184"/>
      <c r="C1559" s="185"/>
      <c r="D1559" s="186"/>
      <c r="E1559" s="187"/>
      <c r="F1559" s="186"/>
      <c r="G1559" s="190"/>
      <c r="H1559" s="194"/>
      <c r="I1559" s="196"/>
      <c r="J1559" s="192"/>
      <c r="K1559" s="204"/>
    </row>
    <row r="1560" spans="1:11">
      <c r="A1560" s="186"/>
      <c r="B1560" s="184"/>
      <c r="C1560" s="185"/>
      <c r="D1560" s="186"/>
      <c r="E1560" s="187"/>
      <c r="F1560" s="188"/>
      <c r="G1560" s="181"/>
      <c r="H1560" s="194"/>
      <c r="I1560" s="196"/>
      <c r="J1560" s="192"/>
      <c r="K1560" s="204"/>
    </row>
    <row r="1561" spans="1:11">
      <c r="A1561" s="183"/>
      <c r="B1561" s="184"/>
      <c r="C1561" s="203"/>
      <c r="D1561" s="186"/>
      <c r="E1561" s="198"/>
      <c r="F1561" s="186"/>
      <c r="G1561" s="186"/>
      <c r="H1561" s="186"/>
      <c r="I1561" s="196"/>
      <c r="J1561" s="192"/>
      <c r="K1561" s="204"/>
    </row>
    <row r="1562" spans="1:11">
      <c r="A1562" s="186"/>
      <c r="B1562" s="184"/>
      <c r="C1562" s="203"/>
      <c r="D1562" s="186"/>
      <c r="E1562" s="198"/>
      <c r="F1562" s="186"/>
      <c r="G1562" s="186"/>
      <c r="H1562" s="181"/>
      <c r="I1562" s="196"/>
      <c r="J1562" s="192"/>
      <c r="K1562" s="204"/>
    </row>
    <row r="1563" spans="1:11">
      <c r="A1563" s="183"/>
      <c r="B1563" s="184"/>
      <c r="C1563" s="185"/>
      <c r="D1563" s="186"/>
      <c r="E1563" s="187"/>
      <c r="F1563" s="186"/>
      <c r="G1563" s="190"/>
      <c r="H1563" s="194"/>
      <c r="I1563" s="196"/>
      <c r="J1563" s="192"/>
      <c r="K1563" s="204"/>
    </row>
    <row r="1564" spans="1:11">
      <c r="A1564" s="186"/>
      <c r="B1564" s="184"/>
      <c r="C1564" s="185"/>
      <c r="D1564" s="186"/>
      <c r="E1564" s="187"/>
      <c r="F1564" s="188"/>
      <c r="G1564" s="181"/>
      <c r="H1564" s="194"/>
      <c r="I1564" s="196"/>
      <c r="J1564" s="192"/>
      <c r="K1564" s="204"/>
    </row>
    <row r="1565" spans="1:11">
      <c r="A1565" s="182"/>
      <c r="B1565" s="184"/>
      <c r="C1565" s="203"/>
      <c r="D1565" s="186"/>
      <c r="E1565" s="198"/>
      <c r="F1565" s="186"/>
      <c r="G1565" s="186"/>
      <c r="H1565" s="186"/>
      <c r="I1565" s="191"/>
      <c r="J1565" s="193"/>
      <c r="K1565" s="204"/>
    </row>
    <row r="1566" spans="1:11">
      <c r="A1566" s="183"/>
      <c r="B1566" s="184"/>
      <c r="C1566" s="203"/>
      <c r="D1566" s="186"/>
      <c r="E1566" s="198"/>
      <c r="F1566" s="186"/>
      <c r="G1566" s="186"/>
      <c r="H1566" s="186"/>
      <c r="I1566" s="191"/>
      <c r="J1566" s="193"/>
      <c r="K1566" s="204"/>
    </row>
    <row r="1567" spans="1:11" ht="21" customHeight="1">
      <c r="A1567" s="183"/>
      <c r="B1567" s="184"/>
      <c r="C1567" s="185"/>
      <c r="D1567" s="186"/>
      <c r="E1567" s="187"/>
      <c r="F1567" s="186"/>
      <c r="G1567" s="190"/>
      <c r="H1567" s="194"/>
      <c r="I1567" s="196"/>
      <c r="J1567" s="192"/>
      <c r="K1567" s="204"/>
    </row>
    <row r="1568" spans="1:11">
      <c r="A1568" s="186"/>
      <c r="B1568" s="184"/>
      <c r="C1568" s="185"/>
      <c r="D1568" s="186"/>
      <c r="E1568" s="187"/>
      <c r="F1568" s="188"/>
      <c r="G1568" s="181"/>
      <c r="H1568" s="194"/>
      <c r="I1568" s="196"/>
      <c r="J1568" s="192"/>
      <c r="K1568" s="204"/>
    </row>
    <row r="1569" spans="1:11">
      <c r="A1569" s="183"/>
      <c r="B1569" s="184"/>
      <c r="C1569" s="185"/>
      <c r="D1569" s="186"/>
      <c r="E1569" s="187"/>
      <c r="F1569" s="186"/>
      <c r="G1569" s="190"/>
      <c r="H1569" s="194"/>
      <c r="I1569" s="196"/>
      <c r="J1569" s="192"/>
      <c r="K1569" s="204"/>
    </row>
    <row r="1570" spans="1:11">
      <c r="A1570" s="186"/>
      <c r="B1570" s="184"/>
      <c r="C1570" s="185"/>
      <c r="D1570" s="186"/>
      <c r="E1570" s="187"/>
      <c r="F1570" s="188"/>
      <c r="G1570" s="181"/>
      <c r="H1570" s="194"/>
      <c r="I1570" s="196"/>
      <c r="J1570" s="192"/>
      <c r="K1570" s="204"/>
    </row>
    <row r="1571" spans="1:11">
      <c r="A1571" s="183"/>
      <c r="B1571" s="184"/>
      <c r="C1571" s="203"/>
      <c r="D1571" s="186"/>
      <c r="E1571" s="198"/>
      <c r="F1571" s="186"/>
      <c r="G1571" s="186"/>
      <c r="H1571" s="186"/>
      <c r="I1571" s="196"/>
      <c r="J1571" s="192"/>
      <c r="K1571" s="204"/>
    </row>
    <row r="1572" spans="1:11">
      <c r="A1572" s="186"/>
      <c r="B1572" s="184"/>
      <c r="C1572" s="203"/>
      <c r="D1572" s="186"/>
      <c r="E1572" s="198"/>
      <c r="F1572" s="186"/>
      <c r="G1572" s="186"/>
      <c r="H1572" s="181"/>
      <c r="I1572" s="196"/>
      <c r="J1572" s="192"/>
      <c r="K1572" s="204"/>
    </row>
    <row r="1573" spans="1:11">
      <c r="A1573" s="183"/>
      <c r="B1573" s="184"/>
      <c r="C1573" s="185"/>
      <c r="D1573" s="186"/>
      <c r="E1573" s="187"/>
      <c r="F1573" s="186"/>
      <c r="G1573" s="190"/>
      <c r="H1573" s="194"/>
      <c r="I1573" s="196"/>
      <c r="J1573" s="192"/>
      <c r="K1573" s="204"/>
    </row>
    <row r="1574" spans="1:11">
      <c r="A1574" s="186"/>
      <c r="B1574" s="184"/>
      <c r="C1574" s="185"/>
      <c r="D1574" s="186"/>
      <c r="E1574" s="187"/>
      <c r="F1574" s="188"/>
      <c r="G1574" s="181"/>
      <c r="H1574" s="194"/>
      <c r="I1574" s="196"/>
      <c r="J1574" s="192"/>
      <c r="K1574" s="204"/>
    </row>
    <row r="1575" spans="1:11">
      <c r="A1575" s="183"/>
      <c r="B1575" s="184"/>
      <c r="C1575" s="185"/>
      <c r="D1575" s="186"/>
      <c r="E1575" s="187"/>
      <c r="F1575" s="186"/>
      <c r="G1575" s="190"/>
      <c r="H1575" s="194"/>
      <c r="I1575" s="196"/>
      <c r="J1575" s="192"/>
      <c r="K1575" s="204"/>
    </row>
    <row r="1576" spans="1:11" ht="21" customHeight="1">
      <c r="A1576" s="186"/>
      <c r="B1576" s="184"/>
      <c r="C1576" s="185"/>
      <c r="D1576" s="186"/>
      <c r="E1576" s="187"/>
      <c r="F1576" s="188"/>
      <c r="G1576" s="181"/>
      <c r="H1576" s="194"/>
      <c r="I1576" s="196"/>
      <c r="J1576" s="192"/>
      <c r="K1576" s="204"/>
    </row>
    <row r="1577" spans="1:11">
      <c r="A1577" s="183"/>
      <c r="B1577" s="184"/>
      <c r="C1577" s="185"/>
      <c r="D1577" s="186"/>
      <c r="E1577" s="187"/>
      <c r="F1577" s="186"/>
      <c r="G1577" s="190"/>
      <c r="H1577" s="194"/>
      <c r="I1577" s="196"/>
      <c r="J1577" s="192"/>
      <c r="K1577" s="204"/>
    </row>
    <row r="1578" spans="1:11">
      <c r="A1578" s="186"/>
      <c r="B1578" s="184"/>
      <c r="C1578" s="185"/>
      <c r="D1578" s="186"/>
      <c r="E1578" s="187"/>
      <c r="F1578" s="188"/>
      <c r="G1578" s="181"/>
      <c r="H1578" s="194"/>
      <c r="I1578" s="196"/>
      <c r="J1578" s="192"/>
      <c r="K1578" s="204"/>
    </row>
    <row r="1579" spans="1:11" ht="21" customHeight="1">
      <c r="A1579" s="183"/>
      <c r="B1579" s="184"/>
      <c r="C1579" s="203"/>
      <c r="D1579" s="186"/>
      <c r="E1579" s="198"/>
      <c r="F1579" s="186"/>
      <c r="G1579" s="186"/>
      <c r="H1579" s="186"/>
      <c r="I1579" s="196"/>
      <c r="J1579" s="192"/>
      <c r="K1579" s="204"/>
    </row>
    <row r="1580" spans="1:11">
      <c r="A1580" s="186"/>
      <c r="B1580" s="184"/>
      <c r="C1580" s="203"/>
      <c r="D1580" s="186"/>
      <c r="E1580" s="198"/>
      <c r="F1580" s="186"/>
      <c r="G1580" s="186"/>
      <c r="H1580" s="181"/>
      <c r="I1580" s="196"/>
      <c r="J1580" s="192"/>
      <c r="K1580" s="204"/>
    </row>
    <row r="1581" spans="1:11">
      <c r="A1581" s="183"/>
      <c r="B1581" s="184"/>
      <c r="C1581" s="200"/>
      <c r="D1581" s="186"/>
      <c r="E1581" s="187"/>
      <c r="F1581" s="186"/>
      <c r="G1581" s="190"/>
      <c r="H1581" s="194"/>
      <c r="I1581" s="196"/>
      <c r="J1581" s="192"/>
      <c r="K1581" s="204"/>
    </row>
    <row r="1582" spans="1:11" ht="16" customHeight="1">
      <c r="A1582" s="186"/>
      <c r="B1582" s="184"/>
      <c r="C1582" s="200"/>
      <c r="D1582" s="186"/>
      <c r="E1582" s="187"/>
      <c r="F1582" s="188"/>
      <c r="G1582" s="181"/>
      <c r="H1582" s="194"/>
      <c r="I1582" s="196"/>
      <c r="J1582" s="192"/>
      <c r="K1582" s="204"/>
    </row>
    <row r="1583" spans="1:11">
      <c r="A1583" s="183"/>
      <c r="B1583" s="184"/>
      <c r="C1583" s="185"/>
      <c r="D1583" s="186"/>
      <c r="E1583" s="187"/>
      <c r="F1583" s="186"/>
      <c r="G1583" s="190"/>
      <c r="H1583" s="194"/>
      <c r="I1583" s="196"/>
      <c r="J1583" s="192"/>
      <c r="K1583" s="204"/>
    </row>
    <row r="1584" spans="1:11">
      <c r="A1584" s="186"/>
      <c r="B1584" s="184"/>
      <c r="C1584" s="185"/>
      <c r="D1584" s="186"/>
      <c r="E1584" s="187"/>
      <c r="F1584" s="188"/>
      <c r="G1584" s="181"/>
      <c r="H1584" s="194"/>
      <c r="I1584" s="196"/>
      <c r="J1584" s="192"/>
      <c r="K1584" s="204"/>
    </row>
    <row r="1585" spans="1:11" ht="21" customHeight="1">
      <c r="A1585" s="183"/>
      <c r="B1585" s="184"/>
      <c r="C1585" s="185"/>
      <c r="D1585" s="186"/>
      <c r="E1585" s="187"/>
      <c r="F1585" s="186"/>
      <c r="G1585" s="190"/>
      <c r="H1585" s="194"/>
      <c r="I1585" s="196"/>
      <c r="J1585" s="192"/>
      <c r="K1585" s="204"/>
    </row>
    <row r="1586" spans="1:11">
      <c r="A1586" s="186"/>
      <c r="B1586" s="184"/>
      <c r="C1586" s="185"/>
      <c r="D1586" s="186"/>
      <c r="E1586" s="187"/>
      <c r="F1586" s="188"/>
      <c r="G1586" s="181"/>
      <c r="H1586" s="194"/>
      <c r="I1586" s="196"/>
      <c r="J1586" s="192"/>
      <c r="K1586" s="204"/>
    </row>
    <row r="1587" spans="1:11">
      <c r="A1587" s="183"/>
      <c r="B1587" s="184"/>
      <c r="C1587" s="185"/>
      <c r="D1587" s="186"/>
      <c r="E1587" s="187"/>
      <c r="F1587" s="186"/>
      <c r="G1587" s="190"/>
      <c r="H1587" s="194"/>
      <c r="I1587" s="196"/>
      <c r="J1587" s="192"/>
      <c r="K1587" s="204"/>
    </row>
    <row r="1588" spans="1:11">
      <c r="A1588" s="186"/>
      <c r="B1588" s="184"/>
      <c r="C1588" s="185"/>
      <c r="D1588" s="186"/>
      <c r="E1588" s="187"/>
      <c r="F1588" s="188"/>
      <c r="G1588" s="181"/>
      <c r="H1588" s="194"/>
      <c r="I1588" s="196"/>
      <c r="J1588" s="192"/>
      <c r="K1588" s="204"/>
    </row>
    <row r="1589" spans="1:11">
      <c r="A1589" s="183"/>
      <c r="B1589" s="184"/>
      <c r="C1589" s="185"/>
      <c r="D1589" s="186"/>
      <c r="E1589" s="187"/>
      <c r="F1589" s="186"/>
      <c r="G1589" s="190"/>
      <c r="H1589" s="194"/>
      <c r="I1589" s="196"/>
      <c r="J1589" s="192"/>
      <c r="K1589" s="204"/>
    </row>
    <row r="1590" spans="1:11">
      <c r="A1590" s="186"/>
      <c r="B1590" s="184"/>
      <c r="C1590" s="185"/>
      <c r="D1590" s="186"/>
      <c r="E1590" s="187"/>
      <c r="F1590" s="188"/>
      <c r="G1590" s="181"/>
      <c r="H1590" s="194"/>
      <c r="I1590" s="196"/>
      <c r="J1590" s="192"/>
      <c r="K1590" s="204"/>
    </row>
    <row r="1591" spans="1:11">
      <c r="A1591" s="183"/>
      <c r="B1591" s="184"/>
      <c r="C1591" s="203"/>
      <c r="D1591" s="186"/>
      <c r="E1591" s="187"/>
      <c r="F1591" s="186"/>
      <c r="G1591" s="186"/>
      <c r="H1591" s="186"/>
      <c r="I1591" s="196"/>
      <c r="J1591" s="192"/>
      <c r="K1591" s="204"/>
    </row>
    <row r="1592" spans="1:11">
      <c r="A1592" s="186"/>
      <c r="B1592" s="184"/>
      <c r="C1592" s="203"/>
      <c r="D1592" s="186"/>
      <c r="E1592" s="187"/>
      <c r="F1592" s="188"/>
      <c r="G1592" s="186"/>
      <c r="H1592" s="181"/>
      <c r="I1592" s="196"/>
      <c r="J1592" s="192"/>
      <c r="K1592" s="204"/>
    </row>
    <row r="1593" spans="1:11">
      <c r="A1593" s="183"/>
      <c r="B1593" s="184"/>
      <c r="C1593" s="189"/>
      <c r="D1593" s="186"/>
      <c r="E1593" s="198"/>
      <c r="F1593" s="186"/>
      <c r="G1593" s="186"/>
      <c r="H1593" s="194"/>
      <c r="I1593" s="196"/>
      <c r="J1593" s="192"/>
      <c r="K1593" s="204"/>
    </row>
    <row r="1594" spans="1:11" ht="16" customHeight="1">
      <c r="A1594" s="199"/>
      <c r="B1594" s="184"/>
      <c r="C1594" s="189"/>
      <c r="D1594" s="186"/>
      <c r="E1594" s="198"/>
      <c r="F1594" s="186"/>
      <c r="G1594" s="186"/>
      <c r="H1594" s="194"/>
      <c r="I1594" s="196"/>
      <c r="J1594" s="192"/>
      <c r="K1594" s="204"/>
    </row>
    <row r="1595" spans="1:11">
      <c r="A1595" s="183"/>
      <c r="B1595" s="184"/>
      <c r="C1595" s="200"/>
      <c r="D1595" s="186"/>
      <c r="E1595" s="187"/>
      <c r="F1595" s="186"/>
      <c r="G1595" s="190"/>
      <c r="H1595" s="194"/>
      <c r="I1595" s="196"/>
      <c r="J1595" s="192"/>
      <c r="K1595" s="204"/>
    </row>
    <row r="1596" spans="1:11">
      <c r="A1596" s="186"/>
      <c r="B1596" s="184"/>
      <c r="C1596" s="200"/>
      <c r="D1596" s="186"/>
      <c r="E1596" s="187"/>
      <c r="F1596" s="188"/>
      <c r="G1596" s="181"/>
      <c r="H1596" s="194"/>
      <c r="I1596" s="196"/>
      <c r="J1596" s="192"/>
      <c r="K1596" s="204"/>
    </row>
    <row r="1597" spans="1:11">
      <c r="A1597" s="183"/>
      <c r="B1597" s="184"/>
      <c r="C1597" s="203"/>
      <c r="D1597" s="186"/>
      <c r="E1597" s="198"/>
      <c r="F1597" s="186"/>
      <c r="G1597" s="186"/>
      <c r="H1597" s="186"/>
      <c r="I1597" s="196"/>
      <c r="J1597" s="192"/>
      <c r="K1597" s="204"/>
    </row>
    <row r="1598" spans="1:11">
      <c r="A1598" s="186"/>
      <c r="B1598" s="184"/>
      <c r="C1598" s="203"/>
      <c r="D1598" s="186"/>
      <c r="E1598" s="198"/>
      <c r="F1598" s="186"/>
      <c r="G1598" s="186"/>
      <c r="H1598" s="181"/>
      <c r="I1598" s="196"/>
      <c r="J1598" s="192"/>
      <c r="K1598" s="204"/>
    </row>
    <row r="1599" spans="1:11">
      <c r="A1599" s="183"/>
      <c r="B1599" s="184"/>
      <c r="C1599" s="189"/>
      <c r="D1599" s="200"/>
      <c r="E1599" s="198"/>
      <c r="F1599" s="186"/>
      <c r="G1599" s="186"/>
      <c r="H1599" s="194"/>
      <c r="I1599" s="196"/>
      <c r="J1599" s="192"/>
      <c r="K1599" s="204"/>
    </row>
    <row r="1600" spans="1:11" ht="24" customHeight="1">
      <c r="A1600" s="186"/>
      <c r="B1600" s="184"/>
      <c r="C1600" s="189"/>
      <c r="D1600" s="200"/>
      <c r="E1600" s="198"/>
      <c r="F1600" s="186"/>
      <c r="G1600" s="186"/>
      <c r="H1600" s="194"/>
      <c r="I1600" s="196"/>
      <c r="J1600" s="192"/>
      <c r="K1600" s="204"/>
    </row>
    <row r="1601" spans="1:11">
      <c r="A1601" s="183"/>
      <c r="B1601" s="184"/>
      <c r="C1601" s="203"/>
      <c r="D1601" s="186"/>
      <c r="E1601" s="198"/>
      <c r="F1601" s="186"/>
      <c r="G1601" s="186"/>
      <c r="H1601" s="194"/>
      <c r="I1601" s="196"/>
      <c r="J1601" s="192"/>
      <c r="K1601" s="204"/>
    </row>
    <row r="1602" spans="1:11">
      <c r="A1602" s="186"/>
      <c r="B1602" s="184"/>
      <c r="C1602" s="203"/>
      <c r="D1602" s="186"/>
      <c r="E1602" s="198"/>
      <c r="F1602" s="186"/>
      <c r="G1602" s="186"/>
      <c r="H1602" s="194"/>
      <c r="I1602" s="196"/>
      <c r="J1602" s="192"/>
      <c r="K1602" s="204"/>
    </row>
    <row r="1603" spans="1:11" ht="16" customHeight="1">
      <c r="A1603" s="182"/>
      <c r="B1603" s="184"/>
      <c r="C1603" s="203"/>
      <c r="D1603" s="186"/>
      <c r="E1603" s="187"/>
      <c r="F1603" s="186"/>
      <c r="G1603" s="186"/>
      <c r="H1603" s="186"/>
      <c r="I1603" s="191"/>
      <c r="J1603" s="193"/>
      <c r="K1603" s="204"/>
    </row>
    <row r="1604" spans="1:11">
      <c r="A1604" s="183"/>
      <c r="B1604" s="184"/>
      <c r="C1604" s="203"/>
      <c r="D1604" s="186"/>
      <c r="E1604" s="187"/>
      <c r="F1604" s="186"/>
      <c r="G1604" s="186"/>
      <c r="H1604" s="186"/>
      <c r="I1604" s="191"/>
      <c r="J1604" s="193"/>
      <c r="K1604" s="204"/>
    </row>
    <row r="1605" spans="1:11">
      <c r="A1605" s="181"/>
      <c r="B1605" s="184"/>
      <c r="C1605" s="203"/>
      <c r="D1605" s="186"/>
      <c r="E1605" s="187"/>
      <c r="F1605" s="188"/>
      <c r="G1605" s="186"/>
      <c r="H1605" s="186"/>
      <c r="I1605" s="191"/>
      <c r="J1605" s="193"/>
      <c r="K1605" s="204"/>
    </row>
    <row r="1606" spans="1:11" ht="24" customHeight="1">
      <c r="A1606" s="183"/>
      <c r="B1606" s="184"/>
      <c r="C1606" s="203"/>
      <c r="D1606" s="186"/>
      <c r="E1606" s="187"/>
      <c r="F1606" s="186"/>
      <c r="G1606" s="186"/>
      <c r="H1606" s="194"/>
      <c r="I1606" s="196"/>
      <c r="J1606" s="192"/>
      <c r="K1606" s="204"/>
    </row>
    <row r="1607" spans="1:11">
      <c r="A1607" s="186"/>
      <c r="B1607" s="184"/>
      <c r="C1607" s="203"/>
      <c r="D1607" s="186"/>
      <c r="E1607" s="187"/>
      <c r="F1607" s="188"/>
      <c r="G1607" s="186"/>
      <c r="H1607" s="194"/>
      <c r="I1607" s="196"/>
      <c r="J1607" s="192"/>
      <c r="K1607" s="204"/>
    </row>
    <row r="1608" spans="1:11">
      <c r="A1608" s="183"/>
      <c r="B1608" s="184"/>
      <c r="C1608" s="185"/>
      <c r="D1608" s="186"/>
      <c r="E1608" s="187"/>
      <c r="F1608" s="186"/>
      <c r="G1608" s="190"/>
      <c r="H1608" s="194"/>
      <c r="I1608" s="196"/>
      <c r="J1608" s="192"/>
      <c r="K1608" s="204"/>
    </row>
    <row r="1609" spans="1:11" ht="24" customHeight="1">
      <c r="A1609" s="186"/>
      <c r="B1609" s="184"/>
      <c r="C1609" s="185"/>
      <c r="D1609" s="186"/>
      <c r="E1609" s="187"/>
      <c r="F1609" s="188"/>
      <c r="G1609" s="181"/>
      <c r="H1609" s="194"/>
      <c r="I1609" s="196"/>
      <c r="J1609" s="192"/>
      <c r="K1609" s="204"/>
    </row>
    <row r="1610" spans="1:11">
      <c r="A1610" s="183"/>
      <c r="B1610" s="184"/>
      <c r="C1610" s="185"/>
      <c r="D1610" s="186"/>
      <c r="E1610" s="187"/>
      <c r="F1610" s="186"/>
      <c r="G1610" s="190"/>
      <c r="H1610" s="194"/>
      <c r="I1610" s="196"/>
      <c r="J1610" s="192"/>
      <c r="K1610" s="204"/>
    </row>
    <row r="1611" spans="1:11">
      <c r="A1611" s="186"/>
      <c r="B1611" s="184"/>
      <c r="C1611" s="185"/>
      <c r="D1611" s="186"/>
      <c r="E1611" s="187"/>
      <c r="F1611" s="188"/>
      <c r="G1611" s="181"/>
      <c r="H1611" s="194"/>
      <c r="I1611" s="196"/>
      <c r="J1611" s="192"/>
      <c r="K1611" s="204"/>
    </row>
    <row r="1612" spans="1:11" ht="21" customHeight="1">
      <c r="A1612" s="183"/>
      <c r="B1612" s="184"/>
      <c r="C1612" s="185"/>
      <c r="D1612" s="186"/>
      <c r="E1612" s="187"/>
      <c r="F1612" s="186"/>
      <c r="G1612" s="190"/>
      <c r="H1612" s="194"/>
      <c r="I1612" s="196"/>
      <c r="J1612" s="192"/>
      <c r="K1612" s="204"/>
    </row>
    <row r="1613" spans="1:11">
      <c r="A1613" s="186"/>
      <c r="B1613" s="184"/>
      <c r="C1613" s="185"/>
      <c r="D1613" s="186"/>
      <c r="E1613" s="187"/>
      <c r="F1613" s="188"/>
      <c r="G1613" s="181"/>
      <c r="H1613" s="194"/>
      <c r="I1613" s="196"/>
      <c r="J1613" s="192"/>
      <c r="K1613" s="204"/>
    </row>
    <row r="1614" spans="1:11">
      <c r="A1614" s="183"/>
      <c r="B1614" s="184"/>
      <c r="C1614" s="185"/>
      <c r="D1614" s="186"/>
      <c r="E1614" s="187"/>
      <c r="F1614" s="186"/>
      <c r="G1614" s="190"/>
      <c r="H1614" s="194"/>
      <c r="I1614" s="196"/>
      <c r="J1614" s="192"/>
      <c r="K1614" s="204"/>
    </row>
    <row r="1615" spans="1:11" ht="21" customHeight="1">
      <c r="A1615" s="186"/>
      <c r="B1615" s="184"/>
      <c r="C1615" s="185"/>
      <c r="D1615" s="186"/>
      <c r="E1615" s="187"/>
      <c r="F1615" s="188"/>
      <c r="G1615" s="181"/>
      <c r="H1615" s="194"/>
      <c r="I1615" s="196"/>
      <c r="J1615" s="192"/>
      <c r="K1615" s="204"/>
    </row>
    <row r="1616" spans="1:11">
      <c r="A1616" s="183"/>
      <c r="B1616" s="184"/>
      <c r="C1616" s="185"/>
      <c r="D1616" s="186"/>
      <c r="E1616" s="187"/>
      <c r="F1616" s="186"/>
      <c r="G1616" s="190"/>
      <c r="H1616" s="194"/>
      <c r="I1616" s="196"/>
      <c r="J1616" s="192"/>
      <c r="K1616" s="204"/>
    </row>
    <row r="1617" spans="1:11">
      <c r="A1617" s="186"/>
      <c r="B1617" s="184"/>
      <c r="C1617" s="185"/>
      <c r="D1617" s="186"/>
      <c r="E1617" s="187"/>
      <c r="F1617" s="188"/>
      <c r="G1617" s="181"/>
      <c r="H1617" s="194"/>
      <c r="I1617" s="196"/>
      <c r="J1617" s="192"/>
      <c r="K1617" s="204"/>
    </row>
    <row r="1618" spans="1:11">
      <c r="A1618" s="183"/>
      <c r="B1618" s="184"/>
      <c r="C1618" s="185"/>
      <c r="D1618" s="186"/>
      <c r="E1618" s="187"/>
      <c r="F1618" s="186"/>
      <c r="G1618" s="190"/>
      <c r="H1618" s="194"/>
      <c r="I1618" s="196"/>
      <c r="J1618" s="192"/>
      <c r="K1618" s="204"/>
    </row>
    <row r="1619" spans="1:11">
      <c r="A1619" s="186"/>
      <c r="B1619" s="184"/>
      <c r="C1619" s="185"/>
      <c r="D1619" s="186"/>
      <c r="E1619" s="187"/>
      <c r="F1619" s="188"/>
      <c r="G1619" s="181"/>
      <c r="H1619" s="194"/>
      <c r="I1619" s="196"/>
      <c r="J1619" s="192"/>
      <c r="K1619" s="204"/>
    </row>
    <row r="1620" spans="1:11">
      <c r="A1620" s="182"/>
      <c r="B1620" s="184"/>
      <c r="C1620" s="185"/>
      <c r="D1620" s="186"/>
      <c r="E1620" s="187"/>
      <c r="F1620" s="186"/>
      <c r="G1620" s="189"/>
      <c r="H1620" s="186"/>
      <c r="I1620" s="191"/>
      <c r="J1620" s="192"/>
      <c r="K1620" s="204"/>
    </row>
    <row r="1621" spans="1:11" ht="21" customHeight="1">
      <c r="A1621" s="183"/>
      <c r="B1621" s="184"/>
      <c r="C1621" s="185"/>
      <c r="D1621" s="186"/>
      <c r="E1621" s="187"/>
      <c r="F1621" s="186"/>
      <c r="G1621" s="190"/>
      <c r="H1621" s="186"/>
      <c r="I1621" s="191"/>
      <c r="J1621" s="192"/>
      <c r="K1621" s="204"/>
    </row>
    <row r="1622" spans="1:11">
      <c r="A1622" s="186"/>
      <c r="B1622" s="184"/>
      <c r="C1622" s="185"/>
      <c r="D1622" s="186"/>
      <c r="E1622" s="187"/>
      <c r="F1622" s="188"/>
      <c r="G1622" s="181"/>
      <c r="H1622" s="186"/>
      <c r="I1622" s="191"/>
      <c r="J1622" s="192"/>
      <c r="K1622" s="204"/>
    </row>
    <row r="1623" spans="1:11">
      <c r="A1623" s="183"/>
      <c r="B1623" s="184"/>
      <c r="C1623" s="203"/>
      <c r="D1623" s="186"/>
      <c r="E1623" s="198"/>
      <c r="F1623" s="186"/>
      <c r="G1623" s="186"/>
      <c r="H1623" s="194"/>
      <c r="I1623" s="196"/>
      <c r="J1623" s="192"/>
      <c r="K1623" s="204"/>
    </row>
    <row r="1624" spans="1:11" ht="16" customHeight="1">
      <c r="A1624" s="186"/>
      <c r="B1624" s="184"/>
      <c r="C1624" s="203"/>
      <c r="D1624" s="186"/>
      <c r="E1624" s="198"/>
      <c r="F1624" s="186"/>
      <c r="G1624" s="186"/>
      <c r="H1624" s="194"/>
      <c r="I1624" s="196"/>
      <c r="J1624" s="192"/>
      <c r="K1624" s="204"/>
    </row>
    <row r="1625" spans="1:11">
      <c r="A1625" s="183"/>
      <c r="B1625" s="184"/>
      <c r="C1625" s="189"/>
      <c r="D1625" s="200"/>
      <c r="E1625" s="198"/>
      <c r="F1625" s="186"/>
      <c r="G1625" s="186"/>
      <c r="H1625" s="194"/>
      <c r="I1625" s="196"/>
      <c r="J1625" s="192"/>
      <c r="K1625" s="204"/>
    </row>
    <row r="1626" spans="1:11">
      <c r="A1626" s="183"/>
      <c r="B1626" s="184"/>
      <c r="C1626" s="185"/>
      <c r="D1626" s="186"/>
      <c r="E1626" s="187"/>
      <c r="F1626" s="186"/>
      <c r="G1626" s="190"/>
      <c r="H1626" s="194"/>
      <c r="I1626" s="196"/>
      <c r="J1626" s="192"/>
      <c r="K1626" s="204"/>
    </row>
    <row r="1627" spans="1:11">
      <c r="A1627" s="186"/>
      <c r="B1627" s="184"/>
      <c r="C1627" s="185"/>
      <c r="D1627" s="186"/>
      <c r="E1627" s="187"/>
      <c r="F1627" s="188"/>
      <c r="G1627" s="181"/>
      <c r="H1627" s="194"/>
      <c r="I1627" s="196"/>
      <c r="J1627" s="192"/>
      <c r="K1627" s="204"/>
    </row>
    <row r="1628" spans="1:11">
      <c r="A1628" s="183"/>
      <c r="B1628" s="184"/>
      <c r="C1628" s="185"/>
      <c r="D1628" s="186"/>
      <c r="E1628" s="187"/>
      <c r="F1628" s="186"/>
      <c r="G1628" s="190"/>
      <c r="H1628" s="194"/>
      <c r="I1628" s="196"/>
      <c r="J1628" s="192"/>
      <c r="K1628" s="204"/>
    </row>
    <row r="1629" spans="1:11">
      <c r="A1629" s="186"/>
      <c r="B1629" s="184"/>
      <c r="C1629" s="185"/>
      <c r="D1629" s="186"/>
      <c r="E1629" s="187"/>
      <c r="F1629" s="188"/>
      <c r="G1629" s="181"/>
      <c r="H1629" s="194"/>
      <c r="I1629" s="196"/>
      <c r="J1629" s="192"/>
      <c r="K1629" s="204"/>
    </row>
    <row r="1630" spans="1:11" ht="21" customHeight="1">
      <c r="A1630" s="183"/>
      <c r="B1630" s="184"/>
      <c r="C1630" s="185"/>
      <c r="D1630" s="186"/>
      <c r="E1630" s="187"/>
      <c r="F1630" s="186"/>
      <c r="G1630" s="190"/>
      <c r="H1630" s="194"/>
      <c r="I1630" s="196"/>
      <c r="J1630" s="192"/>
      <c r="K1630" s="204"/>
    </row>
    <row r="1631" spans="1:11">
      <c r="A1631" s="181"/>
      <c r="B1631" s="184"/>
      <c r="C1631" s="185"/>
      <c r="D1631" s="186"/>
      <c r="E1631" s="187"/>
      <c r="F1631" s="188"/>
      <c r="G1631" s="181"/>
      <c r="H1631" s="194"/>
      <c r="I1631" s="196"/>
      <c r="J1631" s="192"/>
      <c r="K1631" s="204"/>
    </row>
    <row r="1632" spans="1:11">
      <c r="A1632" s="183"/>
      <c r="B1632" s="184"/>
      <c r="C1632" s="185"/>
      <c r="D1632" s="186"/>
      <c r="E1632" s="187"/>
      <c r="F1632" s="186"/>
      <c r="G1632" s="190"/>
      <c r="H1632" s="194"/>
      <c r="I1632" s="196"/>
      <c r="J1632" s="192"/>
      <c r="K1632" s="204"/>
    </row>
    <row r="1633" spans="1:11" ht="24" customHeight="1">
      <c r="A1633" s="186"/>
      <c r="B1633" s="184"/>
      <c r="C1633" s="185"/>
      <c r="D1633" s="186"/>
      <c r="E1633" s="187"/>
      <c r="F1633" s="188"/>
      <c r="G1633" s="181"/>
      <c r="H1633" s="194"/>
      <c r="I1633" s="196"/>
      <c r="J1633" s="192"/>
      <c r="K1633" s="204"/>
    </row>
    <row r="1634" spans="1:11">
      <c r="A1634" s="183"/>
      <c r="B1634" s="184"/>
      <c r="C1634" s="202"/>
      <c r="D1634" s="186"/>
      <c r="E1634" s="187"/>
      <c r="F1634" s="186"/>
      <c r="G1634" s="190"/>
      <c r="H1634" s="194"/>
      <c r="I1634" s="196"/>
      <c r="J1634" s="192"/>
      <c r="K1634" s="204"/>
    </row>
    <row r="1635" spans="1:11">
      <c r="A1635" s="186"/>
      <c r="B1635" s="184"/>
      <c r="C1635" s="202"/>
      <c r="D1635" s="186"/>
      <c r="E1635" s="187"/>
      <c r="F1635" s="188"/>
      <c r="G1635" s="181"/>
      <c r="H1635" s="194"/>
      <c r="I1635" s="196"/>
      <c r="J1635" s="192"/>
      <c r="K1635" s="204"/>
    </row>
    <row r="1636" spans="1:11" ht="21" customHeight="1">
      <c r="A1636" s="183"/>
      <c r="B1636" s="184"/>
      <c r="C1636" s="185"/>
      <c r="D1636" s="186"/>
      <c r="E1636" s="187"/>
      <c r="F1636" s="186"/>
      <c r="G1636" s="190"/>
      <c r="H1636" s="194"/>
      <c r="I1636" s="196"/>
      <c r="J1636" s="192"/>
      <c r="K1636" s="204"/>
    </row>
    <row r="1637" spans="1:11">
      <c r="A1637" s="186"/>
      <c r="B1637" s="184"/>
      <c r="C1637" s="185"/>
      <c r="D1637" s="186"/>
      <c r="E1637" s="187"/>
      <c r="F1637" s="188"/>
      <c r="G1637" s="181"/>
      <c r="H1637" s="194"/>
      <c r="I1637" s="196"/>
      <c r="J1637" s="192"/>
      <c r="K1637" s="204"/>
    </row>
    <row r="1638" spans="1:11">
      <c r="A1638" s="182"/>
      <c r="B1638" s="184"/>
      <c r="C1638" s="185"/>
      <c r="D1638" s="186"/>
      <c r="E1638" s="187"/>
      <c r="F1638" s="186"/>
      <c r="G1638" s="189"/>
      <c r="H1638" s="186"/>
      <c r="I1638" s="191"/>
      <c r="J1638" s="192"/>
      <c r="K1638" s="204"/>
    </row>
    <row r="1639" spans="1:11" ht="16" customHeight="1">
      <c r="A1639" s="183"/>
      <c r="B1639" s="184"/>
      <c r="C1639" s="185"/>
      <c r="D1639" s="186"/>
      <c r="E1639" s="187"/>
      <c r="F1639" s="186"/>
      <c r="G1639" s="190"/>
      <c r="H1639" s="186"/>
      <c r="I1639" s="191"/>
      <c r="J1639" s="192"/>
      <c r="K1639" s="204"/>
    </row>
    <row r="1640" spans="1:11">
      <c r="A1640" s="181"/>
      <c r="B1640" s="184"/>
      <c r="C1640" s="185"/>
      <c r="D1640" s="186"/>
      <c r="E1640" s="187"/>
      <c r="F1640" s="188"/>
      <c r="G1640" s="181"/>
      <c r="H1640" s="186"/>
      <c r="I1640" s="191"/>
      <c r="J1640" s="192"/>
      <c r="K1640" s="204"/>
    </row>
    <row r="1641" spans="1:11">
      <c r="A1641" s="183"/>
      <c r="B1641" s="184"/>
      <c r="C1641" s="185"/>
      <c r="D1641" s="186"/>
      <c r="E1641" s="187"/>
      <c r="F1641" s="186"/>
      <c r="G1641" s="190"/>
      <c r="H1641" s="194"/>
      <c r="I1641" s="196"/>
      <c r="J1641" s="192"/>
      <c r="K1641" s="204"/>
    </row>
    <row r="1642" spans="1:11" ht="21" customHeight="1">
      <c r="A1642" s="186"/>
      <c r="B1642" s="184"/>
      <c r="C1642" s="185"/>
      <c r="D1642" s="186"/>
      <c r="E1642" s="187"/>
      <c r="F1642" s="188"/>
      <c r="G1642" s="181"/>
      <c r="H1642" s="194"/>
      <c r="I1642" s="196"/>
      <c r="J1642" s="192"/>
      <c r="K1642" s="204"/>
    </row>
    <row r="1643" spans="1:11">
      <c r="A1643" s="183"/>
      <c r="B1643" s="184"/>
      <c r="C1643" s="185"/>
      <c r="D1643" s="186"/>
      <c r="E1643" s="187"/>
      <c r="F1643" s="186"/>
      <c r="G1643" s="190"/>
      <c r="H1643" s="194"/>
      <c r="I1643" s="196"/>
      <c r="J1643" s="192"/>
      <c r="K1643" s="204"/>
    </row>
    <row r="1644" spans="1:11">
      <c r="A1644" s="186"/>
      <c r="B1644" s="184"/>
      <c r="C1644" s="185"/>
      <c r="D1644" s="186"/>
      <c r="E1644" s="187"/>
      <c r="F1644" s="188"/>
      <c r="G1644" s="181"/>
      <c r="H1644" s="194"/>
      <c r="I1644" s="196"/>
      <c r="J1644" s="192"/>
      <c r="K1644" s="204"/>
    </row>
    <row r="1645" spans="1:11" ht="21" customHeight="1">
      <c r="A1645" s="183"/>
      <c r="B1645" s="184"/>
      <c r="C1645" s="203"/>
      <c r="D1645" s="186"/>
      <c r="E1645" s="198"/>
      <c r="F1645" s="186"/>
      <c r="G1645" s="186"/>
      <c r="H1645" s="186"/>
      <c r="I1645" s="196"/>
      <c r="J1645" s="192"/>
      <c r="K1645" s="204"/>
    </row>
    <row r="1646" spans="1:11">
      <c r="A1646" s="186"/>
      <c r="B1646" s="184"/>
      <c r="C1646" s="203"/>
      <c r="D1646" s="186"/>
      <c r="E1646" s="198"/>
      <c r="F1646" s="186"/>
      <c r="G1646" s="186"/>
      <c r="H1646" s="181"/>
      <c r="I1646" s="196"/>
      <c r="J1646" s="192"/>
      <c r="K1646" s="204"/>
    </row>
    <row r="1647" spans="1:11">
      <c r="A1647" s="182"/>
      <c r="B1647" s="184"/>
      <c r="C1647" s="203"/>
      <c r="D1647" s="186"/>
      <c r="E1647" s="198"/>
      <c r="F1647" s="186"/>
      <c r="G1647" s="186"/>
      <c r="H1647" s="186"/>
      <c r="I1647" s="191"/>
      <c r="J1647" s="192"/>
      <c r="K1647" s="204"/>
    </row>
    <row r="1648" spans="1:11" ht="16" customHeight="1">
      <c r="A1648" s="183"/>
      <c r="B1648" s="184"/>
      <c r="C1648" s="203"/>
      <c r="D1648" s="186"/>
      <c r="E1648" s="198"/>
      <c r="F1648" s="186"/>
      <c r="G1648" s="186"/>
      <c r="H1648" s="186"/>
      <c r="I1648" s="191"/>
      <c r="J1648" s="192"/>
      <c r="K1648" s="204"/>
    </row>
    <row r="1649" spans="1:11">
      <c r="A1649" s="186"/>
      <c r="B1649" s="184"/>
      <c r="C1649" s="203"/>
      <c r="D1649" s="186"/>
      <c r="E1649" s="198"/>
      <c r="F1649" s="186"/>
      <c r="G1649" s="186"/>
      <c r="H1649" s="186"/>
      <c r="I1649" s="191"/>
      <c r="J1649" s="192"/>
      <c r="K1649" s="204"/>
    </row>
    <row r="1650" spans="1:11">
      <c r="A1650" s="183"/>
      <c r="B1650" s="184"/>
      <c r="C1650" s="203"/>
      <c r="D1650" s="186"/>
      <c r="E1650" s="198"/>
      <c r="F1650" s="186"/>
      <c r="G1650" s="186"/>
      <c r="H1650" s="186"/>
      <c r="I1650" s="196"/>
      <c r="J1650" s="192"/>
      <c r="K1650" s="204"/>
    </row>
    <row r="1651" spans="1:11" ht="21" customHeight="1">
      <c r="A1651" s="186"/>
      <c r="B1651" s="184"/>
      <c r="C1651" s="203"/>
      <c r="D1651" s="186"/>
      <c r="E1651" s="198"/>
      <c r="F1651" s="186"/>
      <c r="G1651" s="186"/>
      <c r="H1651" s="181"/>
      <c r="I1651" s="196"/>
      <c r="J1651" s="192"/>
      <c r="K1651" s="204"/>
    </row>
    <row r="1652" spans="1:11">
      <c r="A1652" s="183"/>
      <c r="B1652" s="184"/>
      <c r="C1652" s="203"/>
      <c r="D1652" s="186"/>
      <c r="E1652" s="187"/>
      <c r="F1652" s="186"/>
      <c r="G1652" s="190"/>
      <c r="H1652" s="186"/>
      <c r="I1652" s="196"/>
      <c r="J1652" s="192"/>
      <c r="K1652" s="204"/>
    </row>
    <row r="1653" spans="1:11">
      <c r="A1653" s="186"/>
      <c r="B1653" s="184"/>
      <c r="C1653" s="203"/>
      <c r="D1653" s="186"/>
      <c r="E1653" s="187"/>
      <c r="F1653" s="188"/>
      <c r="G1653" s="181"/>
      <c r="H1653" s="181"/>
      <c r="I1653" s="196"/>
      <c r="J1653" s="192"/>
      <c r="K1653" s="204"/>
    </row>
    <row r="1654" spans="1:11" ht="16" customHeight="1">
      <c r="A1654" s="183"/>
      <c r="B1654" s="184"/>
      <c r="C1654" s="189"/>
      <c r="D1654" s="202"/>
      <c r="E1654" s="198"/>
      <c r="F1654" s="186"/>
      <c r="G1654" s="186"/>
      <c r="H1654" s="194"/>
      <c r="I1654" s="196"/>
      <c r="J1654" s="192"/>
      <c r="K1654" s="204"/>
    </row>
    <row r="1655" spans="1:11">
      <c r="A1655" s="186"/>
      <c r="B1655" s="184"/>
      <c r="C1655" s="189"/>
      <c r="D1655" s="202"/>
      <c r="E1655" s="198"/>
      <c r="F1655" s="186"/>
      <c r="G1655" s="186"/>
      <c r="H1655" s="194"/>
      <c r="I1655" s="196"/>
      <c r="J1655" s="192"/>
      <c r="K1655" s="204"/>
    </row>
    <row r="1656" spans="1:11">
      <c r="A1656" s="183"/>
      <c r="B1656" s="184"/>
      <c r="C1656" s="185"/>
      <c r="D1656" s="186"/>
      <c r="E1656" s="198"/>
      <c r="F1656" s="186"/>
      <c r="G1656" s="186"/>
      <c r="H1656" s="186"/>
      <c r="I1656" s="196"/>
      <c r="J1656" s="192"/>
      <c r="K1656" s="204"/>
    </row>
    <row r="1657" spans="1:11">
      <c r="A1657" s="186"/>
      <c r="B1657" s="184"/>
      <c r="C1657" s="185"/>
      <c r="D1657" s="186"/>
      <c r="E1657" s="198"/>
      <c r="F1657" s="186"/>
      <c r="G1657" s="186"/>
      <c r="H1657" s="181"/>
      <c r="I1657" s="196"/>
      <c r="J1657" s="192"/>
      <c r="K1657" s="204"/>
    </row>
    <row r="1658" spans="1:11">
      <c r="A1658" s="183"/>
      <c r="B1658" s="184"/>
      <c r="C1658" s="185"/>
      <c r="D1658" s="186"/>
      <c r="E1658" s="187"/>
      <c r="F1658" s="186"/>
      <c r="G1658" s="190"/>
      <c r="H1658" s="194"/>
      <c r="I1658" s="196"/>
      <c r="J1658" s="192"/>
      <c r="K1658" s="204"/>
    </row>
    <row r="1659" spans="1:11">
      <c r="A1659" s="186"/>
      <c r="B1659" s="184"/>
      <c r="C1659" s="185"/>
      <c r="D1659" s="186"/>
      <c r="E1659" s="187"/>
      <c r="F1659" s="188"/>
      <c r="G1659" s="181"/>
      <c r="H1659" s="194"/>
      <c r="I1659" s="196"/>
      <c r="J1659" s="192"/>
      <c r="K1659" s="204"/>
    </row>
    <row r="1660" spans="1:11" ht="16" customHeight="1">
      <c r="A1660" s="183"/>
      <c r="B1660" s="184"/>
      <c r="C1660" s="200"/>
      <c r="D1660" s="186"/>
      <c r="E1660" s="187"/>
      <c r="F1660" s="186"/>
      <c r="G1660" s="190"/>
      <c r="H1660" s="194"/>
      <c r="I1660" s="196"/>
      <c r="J1660" s="192"/>
      <c r="K1660" s="204"/>
    </row>
    <row r="1661" spans="1:11">
      <c r="A1661" s="186"/>
      <c r="B1661" s="184"/>
      <c r="C1661" s="200"/>
      <c r="D1661" s="186"/>
      <c r="E1661" s="187"/>
      <c r="F1661" s="188"/>
      <c r="G1661" s="181"/>
      <c r="H1661" s="194"/>
      <c r="I1661" s="196"/>
      <c r="J1661" s="192"/>
      <c r="K1661" s="204"/>
    </row>
    <row r="1662" spans="1:11">
      <c r="A1662" s="183"/>
      <c r="B1662" s="184"/>
      <c r="C1662" s="189"/>
      <c r="D1662" s="200"/>
      <c r="E1662" s="198"/>
      <c r="F1662" s="186"/>
      <c r="G1662" s="186"/>
      <c r="H1662" s="194"/>
      <c r="I1662" s="196"/>
      <c r="J1662" s="192"/>
      <c r="K1662" s="204"/>
    </row>
    <row r="1663" spans="1:11" ht="16" customHeight="1">
      <c r="A1663" s="199"/>
      <c r="B1663" s="184"/>
      <c r="C1663" s="189"/>
      <c r="D1663" s="200"/>
      <c r="E1663" s="198"/>
      <c r="F1663" s="186"/>
      <c r="G1663" s="186"/>
      <c r="H1663" s="194"/>
      <c r="I1663" s="196"/>
      <c r="J1663" s="192"/>
      <c r="K1663" s="204"/>
    </row>
    <row r="1664" spans="1:11">
      <c r="A1664" s="183"/>
      <c r="B1664" s="184"/>
      <c r="C1664" s="185"/>
      <c r="D1664" s="186"/>
      <c r="E1664" s="187"/>
      <c r="F1664" s="186"/>
      <c r="G1664" s="190"/>
      <c r="H1664" s="194"/>
      <c r="I1664" s="196"/>
      <c r="J1664" s="192"/>
      <c r="K1664" s="204"/>
    </row>
    <row r="1665" spans="1:11">
      <c r="A1665" s="186"/>
      <c r="B1665" s="184"/>
      <c r="C1665" s="185"/>
      <c r="D1665" s="186"/>
      <c r="E1665" s="187"/>
      <c r="F1665" s="188"/>
      <c r="G1665" s="181"/>
      <c r="H1665" s="194"/>
      <c r="I1665" s="196"/>
      <c r="J1665" s="192"/>
      <c r="K1665" s="204"/>
    </row>
    <row r="1666" spans="1:11">
      <c r="A1666" s="183"/>
      <c r="B1666" s="184"/>
      <c r="C1666" s="185"/>
      <c r="D1666" s="186"/>
      <c r="E1666" s="187"/>
      <c r="F1666" s="186"/>
      <c r="G1666" s="190"/>
      <c r="H1666" s="194"/>
      <c r="I1666" s="196"/>
      <c r="J1666" s="192"/>
      <c r="K1666" s="204"/>
    </row>
    <row r="1667" spans="1:11">
      <c r="A1667" s="186"/>
      <c r="B1667" s="184"/>
      <c r="C1667" s="185"/>
      <c r="D1667" s="186"/>
      <c r="E1667" s="187"/>
      <c r="F1667" s="188"/>
      <c r="G1667" s="181"/>
      <c r="H1667" s="194"/>
      <c r="I1667" s="196"/>
      <c r="J1667" s="192"/>
      <c r="K1667" s="204"/>
    </row>
    <row r="1668" spans="1:11">
      <c r="A1668" s="183"/>
      <c r="B1668" s="184"/>
      <c r="C1668" s="203"/>
      <c r="D1668" s="186"/>
      <c r="E1668" s="187"/>
      <c r="F1668" s="186"/>
      <c r="G1668" s="186"/>
      <c r="H1668" s="194"/>
      <c r="I1668" s="196"/>
      <c r="J1668" s="192"/>
      <c r="K1668" s="204"/>
    </row>
    <row r="1669" spans="1:11">
      <c r="A1669" s="186"/>
      <c r="B1669" s="184"/>
      <c r="C1669" s="203"/>
      <c r="D1669" s="186"/>
      <c r="E1669" s="187"/>
      <c r="F1669" s="188"/>
      <c r="G1669" s="186"/>
      <c r="H1669" s="194"/>
      <c r="I1669" s="196"/>
      <c r="J1669" s="192"/>
      <c r="K1669" s="204"/>
    </row>
    <row r="1670" spans="1:11">
      <c r="A1670" s="183"/>
      <c r="B1670" s="184"/>
      <c r="C1670" s="202"/>
      <c r="D1670" s="186"/>
      <c r="E1670" s="198"/>
      <c r="F1670" s="186"/>
      <c r="G1670" s="186"/>
      <c r="H1670" s="186"/>
      <c r="I1670" s="196"/>
      <c r="J1670" s="192"/>
      <c r="K1670" s="204"/>
    </row>
    <row r="1671" spans="1:11">
      <c r="A1671" s="186"/>
      <c r="B1671" s="184"/>
      <c r="C1671" s="202"/>
      <c r="D1671" s="186"/>
      <c r="E1671" s="198"/>
      <c r="F1671" s="186"/>
      <c r="G1671" s="186"/>
      <c r="H1671" s="181"/>
      <c r="I1671" s="196"/>
      <c r="J1671" s="192"/>
      <c r="K1671" s="204"/>
    </row>
    <row r="1672" spans="1:11">
      <c r="A1672" s="183"/>
      <c r="B1672" s="184"/>
      <c r="C1672" s="203"/>
      <c r="D1672" s="186"/>
      <c r="E1672" s="187"/>
      <c r="F1672" s="186"/>
      <c r="G1672" s="190"/>
      <c r="H1672" s="194"/>
      <c r="I1672" s="196"/>
      <c r="J1672" s="192"/>
      <c r="K1672" s="204"/>
    </row>
    <row r="1673" spans="1:11">
      <c r="A1673" s="186"/>
      <c r="B1673" s="184"/>
      <c r="C1673" s="203"/>
      <c r="D1673" s="186"/>
      <c r="E1673" s="187"/>
      <c r="F1673" s="188"/>
      <c r="G1673" s="181"/>
      <c r="H1673" s="194"/>
      <c r="I1673" s="196"/>
      <c r="J1673" s="192"/>
      <c r="K1673" s="204"/>
    </row>
    <row r="1674" spans="1:11">
      <c r="A1674" s="183"/>
      <c r="B1674" s="184"/>
      <c r="C1674" s="185"/>
      <c r="D1674" s="186"/>
      <c r="E1674" s="187"/>
      <c r="F1674" s="186"/>
      <c r="G1674" s="190"/>
      <c r="H1674" s="194"/>
      <c r="I1674" s="196"/>
      <c r="J1674" s="192"/>
      <c r="K1674" s="204"/>
    </row>
    <row r="1675" spans="1:11">
      <c r="A1675" s="186"/>
      <c r="B1675" s="184"/>
      <c r="C1675" s="185"/>
      <c r="D1675" s="186"/>
      <c r="E1675" s="187"/>
      <c r="F1675" s="188"/>
      <c r="G1675" s="181"/>
      <c r="H1675" s="194"/>
      <c r="I1675" s="196"/>
      <c r="J1675" s="192"/>
      <c r="K1675" s="204"/>
    </row>
    <row r="1676" spans="1:11">
      <c r="A1676" s="183"/>
      <c r="B1676" s="184"/>
      <c r="C1676" s="185"/>
      <c r="D1676" s="186"/>
      <c r="E1676" s="187"/>
      <c r="F1676" s="186"/>
      <c r="G1676" s="190"/>
      <c r="H1676" s="194"/>
      <c r="I1676" s="196"/>
      <c r="J1676" s="192"/>
      <c r="K1676" s="204"/>
    </row>
    <row r="1677" spans="1:11">
      <c r="A1677" s="186"/>
      <c r="B1677" s="184"/>
      <c r="C1677" s="185"/>
      <c r="D1677" s="186"/>
      <c r="E1677" s="187"/>
      <c r="F1677" s="188"/>
      <c r="G1677" s="181"/>
      <c r="H1677" s="194"/>
      <c r="I1677" s="196"/>
      <c r="J1677" s="192"/>
      <c r="K1677" s="204"/>
    </row>
    <row r="1678" spans="1:11">
      <c r="A1678" s="183"/>
      <c r="B1678" s="184"/>
      <c r="C1678" s="185"/>
      <c r="D1678" s="186"/>
      <c r="E1678" s="187"/>
      <c r="F1678" s="186"/>
      <c r="G1678" s="190"/>
      <c r="H1678" s="194"/>
      <c r="I1678" s="196"/>
      <c r="J1678" s="192"/>
      <c r="K1678" s="204"/>
    </row>
    <row r="1679" spans="1:11">
      <c r="A1679" s="186"/>
      <c r="B1679" s="184"/>
      <c r="C1679" s="185"/>
      <c r="D1679" s="186"/>
      <c r="E1679" s="187"/>
      <c r="F1679" s="188"/>
      <c r="G1679" s="181"/>
      <c r="H1679" s="194"/>
      <c r="I1679" s="196"/>
      <c r="J1679" s="192"/>
      <c r="K1679" s="204"/>
    </row>
    <row r="1680" spans="1:11">
      <c r="A1680" s="182"/>
      <c r="B1680" s="184"/>
      <c r="C1680" s="185"/>
      <c r="D1680" s="186"/>
      <c r="E1680" s="187"/>
      <c r="F1680" s="186"/>
      <c r="G1680" s="189"/>
      <c r="H1680" s="186"/>
      <c r="I1680" s="191"/>
      <c r="J1680" s="192"/>
      <c r="K1680" s="204"/>
    </row>
    <row r="1681" spans="1:11">
      <c r="A1681" s="183"/>
      <c r="B1681" s="184"/>
      <c r="C1681" s="185"/>
      <c r="D1681" s="186"/>
      <c r="E1681" s="187"/>
      <c r="F1681" s="186"/>
      <c r="G1681" s="190"/>
      <c r="H1681" s="186"/>
      <c r="I1681" s="191"/>
      <c r="J1681" s="192"/>
      <c r="K1681" s="204"/>
    </row>
    <row r="1682" spans="1:11">
      <c r="A1682" s="186"/>
      <c r="B1682" s="184"/>
      <c r="C1682" s="185"/>
      <c r="D1682" s="186"/>
      <c r="E1682" s="187"/>
      <c r="F1682" s="188"/>
      <c r="G1682" s="181"/>
      <c r="H1682" s="186"/>
      <c r="I1682" s="191"/>
      <c r="J1682" s="192"/>
      <c r="K1682" s="204"/>
    </row>
    <row r="1683" spans="1:11">
      <c r="A1683" s="183"/>
      <c r="B1683" s="184"/>
      <c r="C1683" s="185"/>
      <c r="D1683" s="186"/>
      <c r="E1683" s="187"/>
      <c r="F1683" s="186"/>
      <c r="G1683" s="190"/>
      <c r="H1683" s="194"/>
      <c r="I1683" s="196"/>
      <c r="J1683" s="192"/>
      <c r="K1683" s="204"/>
    </row>
    <row r="1684" spans="1:11" ht="21" customHeight="1">
      <c r="A1684" s="186"/>
      <c r="B1684" s="184"/>
      <c r="C1684" s="185"/>
      <c r="D1684" s="186"/>
      <c r="E1684" s="187"/>
      <c r="F1684" s="188"/>
      <c r="G1684" s="181"/>
      <c r="H1684" s="194"/>
      <c r="I1684" s="196"/>
      <c r="J1684" s="192"/>
      <c r="K1684" s="204"/>
    </row>
    <row r="1685" spans="1:11">
      <c r="A1685" s="183"/>
      <c r="B1685" s="184"/>
      <c r="C1685" s="185"/>
      <c r="D1685" s="186"/>
      <c r="E1685" s="187"/>
      <c r="F1685" s="186"/>
      <c r="G1685" s="186"/>
      <c r="H1685" s="186"/>
      <c r="I1685" s="196"/>
      <c r="J1685" s="192"/>
      <c r="K1685" s="204"/>
    </row>
    <row r="1686" spans="1:11">
      <c r="A1686" s="186"/>
      <c r="B1686" s="184"/>
      <c r="C1686" s="185"/>
      <c r="D1686" s="186"/>
      <c r="E1686" s="187"/>
      <c r="F1686" s="188"/>
      <c r="G1686" s="186"/>
      <c r="H1686" s="181"/>
      <c r="I1686" s="196"/>
      <c r="J1686" s="192"/>
      <c r="K1686" s="204"/>
    </row>
    <row r="1687" spans="1:11">
      <c r="A1687" s="183"/>
      <c r="B1687" s="184"/>
      <c r="C1687" s="185"/>
      <c r="D1687" s="186"/>
      <c r="E1687" s="187"/>
      <c r="F1687" s="186"/>
      <c r="G1687" s="190"/>
      <c r="H1687" s="194"/>
      <c r="I1687" s="196"/>
      <c r="J1687" s="192"/>
      <c r="K1687" s="204"/>
    </row>
    <row r="1688" spans="1:11">
      <c r="A1688" s="186"/>
      <c r="B1688" s="184"/>
      <c r="C1688" s="185"/>
      <c r="D1688" s="186"/>
      <c r="E1688" s="187"/>
      <c r="F1688" s="188"/>
      <c r="G1688" s="181"/>
      <c r="H1688" s="194"/>
      <c r="I1688" s="196"/>
      <c r="J1688" s="192"/>
      <c r="K1688" s="204"/>
    </row>
    <row r="1689" spans="1:11">
      <c r="A1689" s="183"/>
      <c r="B1689" s="184"/>
      <c r="C1689" s="185"/>
      <c r="D1689" s="186"/>
      <c r="E1689" s="187"/>
      <c r="F1689" s="186"/>
      <c r="G1689" s="190"/>
      <c r="H1689" s="194"/>
      <c r="I1689" s="196"/>
      <c r="J1689" s="192"/>
      <c r="K1689" s="204"/>
    </row>
    <row r="1690" spans="1:11" ht="21" customHeight="1">
      <c r="A1690" s="186"/>
      <c r="B1690" s="184"/>
      <c r="C1690" s="185"/>
      <c r="D1690" s="186"/>
      <c r="E1690" s="187"/>
      <c r="F1690" s="188"/>
      <c r="G1690" s="181"/>
      <c r="H1690" s="194"/>
      <c r="I1690" s="196"/>
      <c r="J1690" s="192"/>
      <c r="K1690" s="204"/>
    </row>
    <row r="1691" spans="1:11">
      <c r="A1691" s="183"/>
      <c r="B1691" s="184"/>
      <c r="C1691" s="200"/>
      <c r="D1691" s="186"/>
      <c r="E1691" s="187"/>
      <c r="F1691" s="186"/>
      <c r="G1691" s="186"/>
      <c r="H1691" s="194"/>
      <c r="I1691" s="196"/>
      <c r="J1691" s="192"/>
      <c r="K1691" s="204"/>
    </row>
    <row r="1692" spans="1:11">
      <c r="A1692" s="186"/>
      <c r="B1692" s="184"/>
      <c r="C1692" s="200"/>
      <c r="D1692" s="186"/>
      <c r="E1692" s="187"/>
      <c r="F1692" s="188"/>
      <c r="G1692" s="186"/>
      <c r="H1692" s="194"/>
      <c r="I1692" s="196"/>
      <c r="J1692" s="192"/>
      <c r="K1692" s="204"/>
    </row>
    <row r="1693" spans="1:11">
      <c r="A1693" s="183"/>
      <c r="B1693" s="184"/>
      <c r="C1693" s="185"/>
      <c r="D1693" s="186"/>
      <c r="E1693" s="187"/>
      <c r="F1693" s="186"/>
      <c r="G1693" s="190"/>
      <c r="H1693" s="194"/>
      <c r="I1693" s="196"/>
      <c r="J1693" s="192"/>
      <c r="K1693" s="204"/>
    </row>
    <row r="1694" spans="1:11">
      <c r="A1694" s="186"/>
      <c r="B1694" s="184"/>
      <c r="C1694" s="185"/>
      <c r="D1694" s="186"/>
      <c r="E1694" s="187"/>
      <c r="F1694" s="188"/>
      <c r="G1694" s="181"/>
      <c r="H1694" s="194"/>
      <c r="I1694" s="196"/>
      <c r="J1694" s="192"/>
      <c r="K1694" s="204"/>
    </row>
    <row r="1695" spans="1:11">
      <c r="A1695" s="183"/>
      <c r="B1695" s="184"/>
      <c r="C1695" s="185"/>
      <c r="D1695" s="186"/>
      <c r="E1695" s="187"/>
      <c r="F1695" s="186"/>
      <c r="G1695" s="190"/>
      <c r="H1695" s="194"/>
      <c r="I1695" s="196"/>
      <c r="J1695" s="192"/>
      <c r="K1695" s="204"/>
    </row>
    <row r="1696" spans="1:11" ht="24" customHeight="1">
      <c r="A1696" s="186"/>
      <c r="B1696" s="184"/>
      <c r="C1696" s="185"/>
      <c r="D1696" s="186"/>
      <c r="E1696" s="187"/>
      <c r="F1696" s="188"/>
      <c r="G1696" s="181"/>
      <c r="H1696" s="194"/>
      <c r="I1696" s="196"/>
      <c r="J1696" s="192"/>
      <c r="K1696" s="204"/>
    </row>
    <row r="1697" spans="1:11">
      <c r="A1697" s="183"/>
      <c r="B1697" s="184"/>
      <c r="C1697" s="185"/>
      <c r="D1697" s="186"/>
      <c r="E1697" s="187"/>
      <c r="F1697" s="186"/>
      <c r="G1697" s="190"/>
      <c r="H1697" s="194"/>
      <c r="I1697" s="196"/>
      <c r="J1697" s="192"/>
      <c r="K1697" s="204"/>
    </row>
    <row r="1698" spans="1:11">
      <c r="A1698" s="186"/>
      <c r="B1698" s="184"/>
      <c r="C1698" s="185"/>
      <c r="D1698" s="186"/>
      <c r="E1698" s="187"/>
      <c r="F1698" s="188"/>
      <c r="G1698" s="181"/>
      <c r="H1698" s="194"/>
      <c r="I1698" s="196"/>
      <c r="J1698" s="192"/>
      <c r="K1698" s="204"/>
    </row>
    <row r="1699" spans="1:11" ht="24" customHeight="1">
      <c r="A1699" s="183"/>
      <c r="B1699" s="184"/>
      <c r="C1699" s="185"/>
      <c r="D1699" s="186"/>
      <c r="E1699" s="187"/>
      <c r="F1699" s="186"/>
      <c r="G1699" s="190"/>
      <c r="H1699" s="194"/>
      <c r="I1699" s="196"/>
      <c r="J1699" s="192"/>
      <c r="K1699" s="204"/>
    </row>
    <row r="1700" spans="1:11">
      <c r="A1700" s="186"/>
      <c r="B1700" s="184"/>
      <c r="C1700" s="185"/>
      <c r="D1700" s="186"/>
      <c r="E1700" s="187"/>
      <c r="F1700" s="188"/>
      <c r="G1700" s="181"/>
      <c r="H1700" s="194"/>
      <c r="I1700" s="196"/>
      <c r="J1700" s="192"/>
      <c r="K1700" s="204"/>
    </row>
    <row r="1701" spans="1:11">
      <c r="A1701" s="183"/>
      <c r="B1701" s="184"/>
      <c r="C1701" s="185"/>
      <c r="D1701" s="186"/>
      <c r="E1701" s="187"/>
      <c r="F1701" s="186"/>
      <c r="G1701" s="190"/>
      <c r="H1701" s="194"/>
      <c r="I1701" s="196"/>
      <c r="J1701" s="192"/>
      <c r="K1701" s="204"/>
    </row>
    <row r="1702" spans="1:11">
      <c r="A1702" s="186"/>
      <c r="B1702" s="184"/>
      <c r="C1702" s="185"/>
      <c r="D1702" s="186"/>
      <c r="E1702" s="187"/>
      <c r="F1702" s="188"/>
      <c r="G1702" s="181"/>
      <c r="H1702" s="194"/>
      <c r="I1702" s="196"/>
      <c r="J1702" s="192"/>
      <c r="K1702" s="204"/>
    </row>
    <row r="1703" spans="1:11">
      <c r="A1703" s="183"/>
      <c r="B1703" s="184"/>
      <c r="C1703" s="203"/>
      <c r="D1703" s="186"/>
      <c r="E1703" s="198"/>
      <c r="F1703" s="186"/>
      <c r="G1703" s="186"/>
      <c r="H1703" s="186"/>
      <c r="I1703" s="196"/>
      <c r="J1703" s="192"/>
      <c r="K1703" s="204"/>
    </row>
    <row r="1704" spans="1:11">
      <c r="A1704" s="186"/>
      <c r="B1704" s="184"/>
      <c r="C1704" s="203"/>
      <c r="D1704" s="186"/>
      <c r="E1704" s="198"/>
      <c r="F1704" s="186"/>
      <c r="G1704" s="186"/>
      <c r="H1704" s="181"/>
      <c r="I1704" s="196"/>
      <c r="J1704" s="192"/>
      <c r="K1704" s="204"/>
    </row>
    <row r="1705" spans="1:11" ht="21" customHeight="1">
      <c r="A1705" s="183"/>
      <c r="B1705" s="184"/>
      <c r="C1705" s="185"/>
      <c r="D1705" s="186"/>
      <c r="E1705" s="187"/>
      <c r="F1705" s="186"/>
      <c r="G1705" s="190"/>
      <c r="H1705" s="194"/>
      <c r="I1705" s="196"/>
      <c r="J1705" s="192"/>
      <c r="K1705" s="204"/>
    </row>
    <row r="1706" spans="1:11">
      <c r="A1706" s="186"/>
      <c r="B1706" s="184"/>
      <c r="C1706" s="185"/>
      <c r="D1706" s="186"/>
      <c r="E1706" s="187"/>
      <c r="F1706" s="188"/>
      <c r="G1706" s="181"/>
      <c r="H1706" s="194"/>
      <c r="I1706" s="196"/>
      <c r="J1706" s="192"/>
      <c r="K1706" s="204"/>
    </row>
    <row r="1707" spans="1:11">
      <c r="A1707" s="183"/>
      <c r="B1707" s="184"/>
      <c r="C1707" s="189"/>
      <c r="D1707" s="200"/>
      <c r="E1707" s="198"/>
      <c r="F1707" s="186"/>
      <c r="G1707" s="186"/>
      <c r="H1707" s="194"/>
      <c r="I1707" s="196"/>
      <c r="J1707" s="192"/>
      <c r="K1707" s="204"/>
    </row>
    <row r="1708" spans="1:11">
      <c r="A1708" s="199"/>
      <c r="B1708" s="184"/>
      <c r="C1708" s="189"/>
      <c r="D1708" s="200"/>
      <c r="E1708" s="198"/>
      <c r="F1708" s="186"/>
      <c r="G1708" s="186"/>
      <c r="H1708" s="194"/>
      <c r="I1708" s="196"/>
      <c r="J1708" s="192"/>
      <c r="K1708" s="204"/>
    </row>
    <row r="1709" spans="1:11">
      <c r="A1709" s="183"/>
      <c r="B1709" s="184"/>
      <c r="C1709" s="197"/>
      <c r="D1709" s="186"/>
      <c r="E1709" s="198"/>
      <c r="F1709" s="186"/>
      <c r="G1709" s="186"/>
      <c r="H1709" s="194"/>
      <c r="I1709" s="196"/>
      <c r="J1709" s="192"/>
      <c r="K1709" s="204"/>
    </row>
    <row r="1710" spans="1:11">
      <c r="A1710" s="186"/>
      <c r="B1710" s="184"/>
      <c r="C1710" s="197"/>
      <c r="D1710" s="186"/>
      <c r="E1710" s="198"/>
      <c r="F1710" s="186"/>
      <c r="G1710" s="186"/>
      <c r="H1710" s="194"/>
      <c r="I1710" s="196"/>
      <c r="J1710" s="192"/>
      <c r="K1710" s="204"/>
    </row>
    <row r="1711" spans="1:11">
      <c r="A1711" s="183"/>
      <c r="B1711" s="184"/>
      <c r="C1711" s="185"/>
      <c r="D1711" s="186"/>
      <c r="E1711" s="187"/>
      <c r="F1711" s="186"/>
      <c r="G1711" s="190"/>
      <c r="H1711" s="194"/>
      <c r="I1711" s="196"/>
      <c r="J1711" s="192"/>
      <c r="K1711" s="204"/>
    </row>
    <row r="1712" spans="1:11">
      <c r="A1712" s="181"/>
      <c r="B1712" s="184"/>
      <c r="C1712" s="185"/>
      <c r="D1712" s="186"/>
      <c r="E1712" s="187"/>
      <c r="F1712" s="188"/>
      <c r="G1712" s="181"/>
      <c r="H1712" s="194"/>
      <c r="I1712" s="196"/>
      <c r="J1712" s="192"/>
      <c r="K1712" s="204"/>
    </row>
    <row r="1713" spans="1:11">
      <c r="A1713" s="183"/>
      <c r="B1713" s="184"/>
      <c r="C1713" s="185"/>
      <c r="D1713" s="186"/>
      <c r="E1713" s="198"/>
      <c r="F1713" s="186"/>
      <c r="G1713" s="186"/>
      <c r="H1713" s="194"/>
      <c r="I1713" s="196"/>
      <c r="J1713" s="192"/>
      <c r="K1713" s="204"/>
    </row>
    <row r="1714" spans="1:11" ht="24" customHeight="1">
      <c r="A1714" s="186"/>
      <c r="B1714" s="184"/>
      <c r="C1714" s="185"/>
      <c r="D1714" s="186"/>
      <c r="E1714" s="198"/>
      <c r="F1714" s="186"/>
      <c r="G1714" s="186"/>
      <c r="H1714" s="194"/>
      <c r="I1714" s="196"/>
      <c r="J1714" s="192"/>
      <c r="K1714" s="204"/>
    </row>
    <row r="1715" spans="1:11">
      <c r="A1715" s="182"/>
      <c r="B1715" s="184"/>
      <c r="C1715" s="185"/>
      <c r="D1715" s="186"/>
      <c r="E1715" s="187"/>
      <c r="F1715" s="186"/>
      <c r="G1715" s="189"/>
      <c r="H1715" s="186"/>
      <c r="I1715" s="191"/>
      <c r="J1715" s="192"/>
      <c r="K1715" s="204"/>
    </row>
    <row r="1716" spans="1:11">
      <c r="A1716" s="183"/>
      <c r="B1716" s="184"/>
      <c r="C1716" s="185"/>
      <c r="D1716" s="186"/>
      <c r="E1716" s="187"/>
      <c r="F1716" s="186"/>
      <c r="G1716" s="190"/>
      <c r="H1716" s="186"/>
      <c r="I1716" s="191"/>
      <c r="J1716" s="192"/>
      <c r="K1716" s="204"/>
    </row>
    <row r="1717" spans="1:11" ht="31.5" customHeight="1">
      <c r="A1717" s="181"/>
      <c r="B1717" s="184"/>
      <c r="C1717" s="185"/>
      <c r="D1717" s="186"/>
      <c r="E1717" s="187"/>
      <c r="F1717" s="188"/>
      <c r="G1717" s="181"/>
      <c r="H1717" s="186"/>
      <c r="I1717" s="191"/>
      <c r="J1717" s="192"/>
      <c r="K1717" s="204"/>
    </row>
    <row r="1718" spans="1:11">
      <c r="A1718" s="183"/>
      <c r="B1718" s="184"/>
      <c r="C1718" s="185"/>
      <c r="D1718" s="186"/>
      <c r="E1718" s="187"/>
      <c r="F1718" s="186"/>
      <c r="G1718" s="190"/>
      <c r="H1718" s="194"/>
      <c r="I1718" s="196"/>
      <c r="J1718" s="192"/>
      <c r="K1718" s="204"/>
    </row>
    <row r="1719" spans="1:11">
      <c r="A1719" s="186"/>
      <c r="B1719" s="184"/>
      <c r="C1719" s="185"/>
      <c r="D1719" s="186"/>
      <c r="E1719" s="187"/>
      <c r="F1719" s="188"/>
      <c r="G1719" s="181"/>
      <c r="H1719" s="194"/>
      <c r="I1719" s="196"/>
      <c r="J1719" s="192"/>
      <c r="K1719" s="204"/>
    </row>
    <row r="1720" spans="1:11">
      <c r="A1720" s="183"/>
      <c r="B1720" s="184"/>
      <c r="C1720" s="197"/>
      <c r="D1720" s="186"/>
      <c r="E1720" s="198"/>
      <c r="F1720" s="186"/>
      <c r="G1720" s="186"/>
      <c r="H1720" s="194"/>
      <c r="I1720" s="196"/>
      <c r="J1720" s="192"/>
      <c r="K1720" s="204"/>
    </row>
    <row r="1721" spans="1:11">
      <c r="A1721" s="186"/>
      <c r="B1721" s="184"/>
      <c r="C1721" s="197"/>
      <c r="D1721" s="186"/>
      <c r="E1721" s="198"/>
      <c r="F1721" s="186"/>
      <c r="G1721" s="186"/>
      <c r="H1721" s="194"/>
      <c r="I1721" s="196"/>
      <c r="J1721" s="192"/>
      <c r="K1721" s="204"/>
    </row>
    <row r="1722" spans="1:11">
      <c r="A1722" s="183"/>
      <c r="B1722" s="184"/>
      <c r="C1722" s="189"/>
      <c r="D1722" s="200"/>
      <c r="E1722" s="198"/>
      <c r="F1722" s="186"/>
      <c r="G1722" s="186"/>
      <c r="H1722" s="194"/>
      <c r="I1722" s="196"/>
      <c r="J1722" s="192"/>
      <c r="K1722" s="204"/>
    </row>
    <row r="1723" spans="1:11">
      <c r="A1723" s="199"/>
      <c r="B1723" s="184"/>
      <c r="C1723" s="189"/>
      <c r="D1723" s="200"/>
      <c r="E1723" s="198"/>
      <c r="F1723" s="186"/>
      <c r="G1723" s="186"/>
      <c r="H1723" s="194"/>
      <c r="I1723" s="196"/>
      <c r="J1723" s="192"/>
      <c r="K1723" s="204"/>
    </row>
    <row r="1724" spans="1:11">
      <c r="A1724" s="183"/>
      <c r="B1724" s="184"/>
      <c r="C1724" s="185"/>
      <c r="D1724" s="186"/>
      <c r="E1724" s="187"/>
      <c r="F1724" s="186"/>
      <c r="G1724" s="190"/>
      <c r="H1724" s="194"/>
      <c r="I1724" s="196"/>
      <c r="J1724" s="192"/>
      <c r="K1724" s="204"/>
    </row>
    <row r="1725" spans="1:11">
      <c r="A1725" s="186"/>
      <c r="B1725" s="184"/>
      <c r="C1725" s="185"/>
      <c r="D1725" s="186"/>
      <c r="E1725" s="187"/>
      <c r="F1725" s="188"/>
      <c r="G1725" s="181"/>
      <c r="H1725" s="194"/>
      <c r="I1725" s="196"/>
      <c r="J1725" s="192"/>
      <c r="K1725" s="204"/>
    </row>
    <row r="1726" spans="1:11" ht="31.5" customHeight="1">
      <c r="A1726" s="183"/>
      <c r="B1726" s="184"/>
      <c r="C1726" s="189"/>
      <c r="D1726" s="200"/>
      <c r="E1726" s="187"/>
      <c r="F1726" s="186"/>
      <c r="G1726" s="190"/>
      <c r="H1726" s="194"/>
      <c r="I1726" s="196"/>
      <c r="J1726" s="192"/>
      <c r="K1726" s="204"/>
    </row>
    <row r="1727" spans="1:11">
      <c r="A1727" s="199"/>
      <c r="B1727" s="184"/>
      <c r="C1727" s="189"/>
      <c r="D1727" s="200"/>
      <c r="E1727" s="187"/>
      <c r="F1727" s="188"/>
      <c r="G1727" s="181"/>
      <c r="H1727" s="194"/>
      <c r="I1727" s="196"/>
      <c r="J1727" s="192"/>
      <c r="K1727" s="204"/>
    </row>
    <row r="1728" spans="1:11">
      <c r="A1728" s="183"/>
      <c r="B1728" s="184"/>
      <c r="C1728" s="203"/>
      <c r="D1728" s="186"/>
      <c r="E1728" s="198"/>
      <c r="F1728" s="186"/>
      <c r="G1728" s="186"/>
      <c r="H1728" s="194"/>
      <c r="I1728" s="196"/>
      <c r="J1728" s="192"/>
      <c r="K1728" s="204"/>
    </row>
    <row r="1729" spans="1:11" ht="31.5" customHeight="1">
      <c r="A1729" s="186"/>
      <c r="B1729" s="184"/>
      <c r="C1729" s="203"/>
      <c r="D1729" s="186"/>
      <c r="E1729" s="198"/>
      <c r="F1729" s="186"/>
      <c r="G1729" s="186"/>
      <c r="H1729" s="194"/>
      <c r="I1729" s="196"/>
      <c r="J1729" s="192"/>
      <c r="K1729" s="204"/>
    </row>
    <row r="1730" spans="1:11">
      <c r="A1730" s="183"/>
      <c r="B1730" s="184"/>
      <c r="C1730" s="203"/>
      <c r="D1730" s="186"/>
      <c r="E1730" s="198"/>
      <c r="F1730" s="186"/>
      <c r="G1730" s="186"/>
      <c r="H1730" s="194"/>
      <c r="I1730" s="196"/>
      <c r="J1730" s="192"/>
      <c r="K1730" s="204"/>
    </row>
    <row r="1731" spans="1:11">
      <c r="A1731" s="186"/>
      <c r="B1731" s="184"/>
      <c r="C1731" s="203"/>
      <c r="D1731" s="186"/>
      <c r="E1731" s="198"/>
      <c r="F1731" s="186"/>
      <c r="G1731" s="186"/>
      <c r="H1731" s="194"/>
      <c r="I1731" s="196"/>
      <c r="J1731" s="192"/>
      <c r="K1731" s="204"/>
    </row>
    <row r="1732" spans="1:11">
      <c r="A1732" s="183"/>
      <c r="B1732" s="184"/>
      <c r="C1732" s="203"/>
      <c r="D1732" s="186"/>
      <c r="E1732" s="198"/>
      <c r="F1732" s="186"/>
      <c r="G1732" s="186"/>
      <c r="H1732" s="186"/>
      <c r="I1732" s="196"/>
      <c r="J1732" s="192"/>
      <c r="K1732" s="204"/>
    </row>
    <row r="1733" spans="1:11">
      <c r="A1733" s="186"/>
      <c r="B1733" s="184"/>
      <c r="C1733" s="203"/>
      <c r="D1733" s="186"/>
      <c r="E1733" s="198"/>
      <c r="F1733" s="186"/>
      <c r="G1733" s="186"/>
      <c r="H1733" s="181"/>
      <c r="I1733" s="196"/>
      <c r="J1733" s="192"/>
      <c r="K1733" s="204"/>
    </row>
    <row r="1734" spans="1:11">
      <c r="A1734" s="183"/>
      <c r="B1734" s="184"/>
      <c r="C1734" s="202"/>
      <c r="D1734" s="186"/>
      <c r="E1734" s="187"/>
      <c r="F1734" s="186"/>
      <c r="G1734" s="190"/>
      <c r="H1734" s="194"/>
      <c r="I1734" s="196"/>
      <c r="J1734" s="192"/>
      <c r="K1734" s="204"/>
    </row>
    <row r="1735" spans="1:11">
      <c r="A1735" s="186"/>
      <c r="B1735" s="184"/>
      <c r="C1735" s="202"/>
      <c r="D1735" s="186"/>
      <c r="E1735" s="187"/>
      <c r="F1735" s="188"/>
      <c r="G1735" s="181"/>
      <c r="H1735" s="194"/>
      <c r="I1735" s="196"/>
      <c r="J1735" s="192"/>
      <c r="K1735" s="204"/>
    </row>
    <row r="1736" spans="1:11">
      <c r="A1736" s="183"/>
      <c r="B1736" s="184"/>
      <c r="C1736" s="185"/>
      <c r="D1736" s="186"/>
      <c r="E1736" s="187"/>
      <c r="F1736" s="186"/>
      <c r="G1736" s="190"/>
      <c r="H1736" s="194"/>
      <c r="I1736" s="196"/>
      <c r="J1736" s="192"/>
      <c r="K1736" s="204"/>
    </row>
    <row r="1737" spans="1:11">
      <c r="A1737" s="186"/>
      <c r="B1737" s="184"/>
      <c r="C1737" s="185"/>
      <c r="D1737" s="186"/>
      <c r="E1737" s="187"/>
      <c r="F1737" s="188"/>
      <c r="G1737" s="181"/>
      <c r="H1737" s="194"/>
      <c r="I1737" s="196"/>
      <c r="J1737" s="192"/>
      <c r="K1737" s="204"/>
    </row>
    <row r="1738" spans="1:11" ht="16" customHeight="1">
      <c r="A1738" s="183"/>
      <c r="B1738" s="184"/>
      <c r="C1738" s="185"/>
      <c r="D1738" s="186"/>
      <c r="E1738" s="187"/>
      <c r="F1738" s="186"/>
      <c r="G1738" s="190"/>
      <c r="H1738" s="194"/>
      <c r="I1738" s="196"/>
      <c r="J1738" s="192"/>
      <c r="K1738" s="204"/>
    </row>
    <row r="1739" spans="1:11">
      <c r="A1739" s="186"/>
      <c r="B1739" s="184"/>
      <c r="C1739" s="185"/>
      <c r="D1739" s="186"/>
      <c r="E1739" s="187"/>
      <c r="F1739" s="188"/>
      <c r="G1739" s="181"/>
      <c r="H1739" s="194"/>
      <c r="I1739" s="196"/>
      <c r="J1739" s="192"/>
      <c r="K1739" s="204"/>
    </row>
    <row r="1740" spans="1:11">
      <c r="A1740" s="183"/>
      <c r="B1740" s="184"/>
      <c r="C1740" s="185"/>
      <c r="D1740" s="186"/>
      <c r="E1740" s="187"/>
      <c r="F1740" s="186"/>
      <c r="G1740" s="190"/>
      <c r="H1740" s="194"/>
      <c r="I1740" s="196"/>
      <c r="J1740" s="192"/>
      <c r="K1740" s="204"/>
    </row>
    <row r="1741" spans="1:11" ht="16" customHeight="1">
      <c r="A1741" s="186"/>
      <c r="B1741" s="184"/>
      <c r="C1741" s="185"/>
      <c r="D1741" s="186"/>
      <c r="E1741" s="187"/>
      <c r="F1741" s="188"/>
      <c r="G1741" s="181"/>
      <c r="H1741" s="194"/>
      <c r="I1741" s="196"/>
      <c r="J1741" s="192"/>
      <c r="K1741" s="204"/>
    </row>
    <row r="1742" spans="1:11">
      <c r="A1742" s="183"/>
      <c r="B1742" s="184"/>
      <c r="C1742" s="185"/>
      <c r="D1742" s="186"/>
      <c r="E1742" s="187"/>
      <c r="F1742" s="186"/>
      <c r="G1742" s="190"/>
      <c r="H1742" s="194"/>
      <c r="I1742" s="196"/>
      <c r="J1742" s="192"/>
      <c r="K1742" s="204"/>
    </row>
    <row r="1743" spans="1:11">
      <c r="A1743" s="186"/>
      <c r="B1743" s="184"/>
      <c r="C1743" s="185"/>
      <c r="D1743" s="186"/>
      <c r="E1743" s="187"/>
      <c r="F1743" s="188"/>
      <c r="G1743" s="181"/>
      <c r="H1743" s="194"/>
      <c r="I1743" s="196"/>
      <c r="J1743" s="192"/>
      <c r="K1743" s="204"/>
    </row>
    <row r="1744" spans="1:11" ht="21" customHeight="1">
      <c r="A1744" s="183"/>
      <c r="B1744" s="184"/>
      <c r="C1744" s="189"/>
      <c r="D1744" s="200"/>
      <c r="E1744" s="198"/>
      <c r="F1744" s="186"/>
      <c r="G1744" s="186"/>
      <c r="H1744" s="194"/>
      <c r="I1744" s="196"/>
      <c r="J1744" s="192"/>
      <c r="K1744" s="204"/>
    </row>
    <row r="1745" spans="1:11">
      <c r="A1745" s="199"/>
      <c r="B1745" s="184"/>
      <c r="C1745" s="189"/>
      <c r="D1745" s="200"/>
      <c r="E1745" s="198"/>
      <c r="F1745" s="186"/>
      <c r="G1745" s="186"/>
      <c r="H1745" s="194"/>
      <c r="I1745" s="196"/>
      <c r="J1745" s="192"/>
      <c r="K1745" s="204"/>
    </row>
    <row r="1746" spans="1:11">
      <c r="A1746" s="183"/>
      <c r="B1746" s="184"/>
      <c r="C1746" s="185"/>
      <c r="D1746" s="186"/>
      <c r="E1746" s="187"/>
      <c r="F1746" s="186"/>
      <c r="G1746" s="190"/>
      <c r="H1746" s="194"/>
      <c r="I1746" s="196"/>
      <c r="J1746" s="192"/>
      <c r="K1746" s="204"/>
    </row>
    <row r="1747" spans="1:11">
      <c r="A1747" s="186"/>
      <c r="B1747" s="184"/>
      <c r="C1747" s="185"/>
      <c r="D1747" s="186"/>
      <c r="E1747" s="187"/>
      <c r="F1747" s="188"/>
      <c r="G1747" s="181"/>
      <c r="H1747" s="194"/>
      <c r="I1747" s="196"/>
      <c r="J1747" s="192"/>
      <c r="K1747" s="204"/>
    </row>
    <row r="1748" spans="1:11">
      <c r="A1748" s="183"/>
      <c r="B1748" s="184"/>
      <c r="C1748" s="197"/>
      <c r="D1748" s="186"/>
      <c r="E1748" s="198"/>
      <c r="F1748" s="186"/>
      <c r="G1748" s="186"/>
      <c r="H1748" s="194"/>
      <c r="I1748" s="196"/>
      <c r="J1748" s="192"/>
      <c r="K1748" s="204"/>
    </row>
    <row r="1749" spans="1:11">
      <c r="A1749" s="186"/>
      <c r="B1749" s="184"/>
      <c r="C1749" s="197"/>
      <c r="D1749" s="186"/>
      <c r="E1749" s="198"/>
      <c r="F1749" s="186"/>
      <c r="G1749" s="186"/>
      <c r="H1749" s="194"/>
      <c r="I1749" s="196"/>
      <c r="J1749" s="192"/>
      <c r="K1749" s="204"/>
    </row>
    <row r="1750" spans="1:11" ht="21" customHeight="1">
      <c r="A1750" s="183"/>
      <c r="B1750" s="184"/>
      <c r="C1750" s="189"/>
      <c r="D1750" s="200"/>
      <c r="E1750" s="198"/>
      <c r="F1750" s="186"/>
      <c r="G1750" s="186"/>
      <c r="H1750" s="194"/>
      <c r="I1750" s="196"/>
      <c r="J1750" s="192"/>
      <c r="K1750" s="204"/>
    </row>
    <row r="1751" spans="1:11">
      <c r="A1751" s="199"/>
      <c r="B1751" s="184"/>
      <c r="C1751" s="189"/>
      <c r="D1751" s="200"/>
      <c r="E1751" s="198"/>
      <c r="F1751" s="186"/>
      <c r="G1751" s="186"/>
      <c r="H1751" s="194"/>
      <c r="I1751" s="196"/>
      <c r="J1751" s="192"/>
      <c r="K1751" s="204"/>
    </row>
    <row r="1752" spans="1:11">
      <c r="A1752" s="183"/>
      <c r="B1752" s="184"/>
      <c r="C1752" s="185"/>
      <c r="D1752" s="186"/>
      <c r="E1752" s="187"/>
      <c r="F1752" s="186"/>
      <c r="G1752" s="190"/>
      <c r="H1752" s="194"/>
      <c r="I1752" s="196"/>
      <c r="J1752" s="192"/>
      <c r="K1752" s="204"/>
    </row>
    <row r="1753" spans="1:11" ht="24" customHeight="1">
      <c r="A1753" s="186"/>
      <c r="B1753" s="184"/>
      <c r="C1753" s="185"/>
      <c r="D1753" s="186"/>
      <c r="E1753" s="187"/>
      <c r="F1753" s="188"/>
      <c r="G1753" s="181"/>
      <c r="H1753" s="194"/>
      <c r="I1753" s="196"/>
      <c r="J1753" s="192"/>
      <c r="K1753" s="204"/>
    </row>
    <row r="1754" spans="1:11">
      <c r="A1754" s="183"/>
      <c r="B1754" s="184"/>
      <c r="C1754" s="185"/>
      <c r="D1754" s="186"/>
      <c r="E1754" s="187"/>
      <c r="F1754" s="186"/>
      <c r="G1754" s="190"/>
      <c r="H1754" s="194"/>
      <c r="I1754" s="196"/>
      <c r="J1754" s="192"/>
      <c r="K1754" s="204"/>
    </row>
    <row r="1755" spans="1:11">
      <c r="A1755" s="186"/>
      <c r="B1755" s="184"/>
      <c r="C1755" s="185"/>
      <c r="D1755" s="186"/>
      <c r="E1755" s="187"/>
      <c r="F1755" s="188"/>
      <c r="G1755" s="181"/>
      <c r="H1755" s="194"/>
      <c r="I1755" s="196"/>
      <c r="J1755" s="192"/>
      <c r="K1755" s="204"/>
    </row>
    <row r="1756" spans="1:11">
      <c r="A1756" s="183"/>
      <c r="B1756" s="184"/>
      <c r="C1756" s="185"/>
      <c r="D1756" s="186"/>
      <c r="E1756" s="187"/>
      <c r="F1756" s="186"/>
      <c r="G1756" s="190"/>
      <c r="H1756" s="194"/>
      <c r="I1756" s="196"/>
      <c r="J1756" s="192"/>
      <c r="K1756" s="204"/>
    </row>
    <row r="1757" spans="1:11">
      <c r="A1757" s="186"/>
      <c r="B1757" s="184"/>
      <c r="C1757" s="185"/>
      <c r="D1757" s="186"/>
      <c r="E1757" s="187"/>
      <c r="F1757" s="188"/>
      <c r="G1757" s="181"/>
      <c r="H1757" s="194"/>
      <c r="I1757" s="196"/>
      <c r="J1757" s="192"/>
      <c r="K1757" s="204"/>
    </row>
    <row r="1758" spans="1:11">
      <c r="A1758" s="183"/>
      <c r="B1758" s="184"/>
      <c r="C1758" s="185"/>
      <c r="D1758" s="186"/>
      <c r="E1758" s="187"/>
      <c r="F1758" s="186"/>
      <c r="G1758" s="190"/>
      <c r="H1758" s="194"/>
      <c r="I1758" s="196"/>
      <c r="J1758" s="192"/>
      <c r="K1758" s="204"/>
    </row>
    <row r="1759" spans="1:11" ht="24" customHeight="1">
      <c r="A1759" s="186"/>
      <c r="B1759" s="184"/>
      <c r="C1759" s="185"/>
      <c r="D1759" s="186"/>
      <c r="E1759" s="187"/>
      <c r="F1759" s="188"/>
      <c r="G1759" s="181"/>
      <c r="H1759" s="194"/>
      <c r="I1759" s="196"/>
      <c r="J1759" s="192"/>
      <c r="K1759" s="204"/>
    </row>
    <row r="1760" spans="1:11">
      <c r="A1760" s="183"/>
      <c r="B1760" s="184"/>
      <c r="C1760" s="185"/>
      <c r="D1760" s="186"/>
      <c r="E1760" s="187"/>
      <c r="F1760" s="186"/>
      <c r="G1760" s="190"/>
      <c r="H1760" s="194"/>
      <c r="I1760" s="196"/>
      <c r="J1760" s="192"/>
      <c r="K1760" s="204"/>
    </row>
    <row r="1761" spans="1:11">
      <c r="A1761" s="186"/>
      <c r="B1761" s="184"/>
      <c r="C1761" s="185"/>
      <c r="D1761" s="186"/>
      <c r="E1761" s="187"/>
      <c r="F1761" s="188"/>
      <c r="G1761" s="181"/>
      <c r="H1761" s="194"/>
      <c r="I1761" s="196"/>
      <c r="J1761" s="192"/>
      <c r="K1761" s="204"/>
    </row>
    <row r="1762" spans="1:11">
      <c r="A1762" s="183"/>
      <c r="B1762" s="184"/>
      <c r="C1762" s="185"/>
      <c r="D1762" s="186"/>
      <c r="E1762" s="187"/>
      <c r="F1762" s="186"/>
      <c r="G1762" s="190"/>
      <c r="H1762" s="194"/>
      <c r="I1762" s="196"/>
      <c r="J1762" s="192"/>
      <c r="K1762" s="204"/>
    </row>
    <row r="1763" spans="1:11">
      <c r="A1763" s="186"/>
      <c r="B1763" s="184"/>
      <c r="C1763" s="185"/>
      <c r="D1763" s="186"/>
      <c r="E1763" s="187"/>
      <c r="F1763" s="188"/>
      <c r="G1763" s="181"/>
      <c r="H1763" s="194"/>
      <c r="I1763" s="196"/>
      <c r="J1763" s="192"/>
      <c r="K1763" s="204"/>
    </row>
    <row r="1764" spans="1:11">
      <c r="A1764" s="183"/>
      <c r="B1764" s="184"/>
      <c r="C1764" s="185"/>
      <c r="D1764" s="186"/>
      <c r="E1764" s="187"/>
      <c r="F1764" s="186"/>
      <c r="G1764" s="190"/>
      <c r="H1764" s="194"/>
      <c r="I1764" s="196"/>
      <c r="J1764" s="192"/>
      <c r="K1764" s="204"/>
    </row>
    <row r="1765" spans="1:11" ht="24" customHeight="1">
      <c r="A1765" s="186"/>
      <c r="B1765" s="184"/>
      <c r="C1765" s="185"/>
      <c r="D1765" s="186"/>
      <c r="E1765" s="187"/>
      <c r="F1765" s="188"/>
      <c r="G1765" s="181"/>
      <c r="H1765" s="194"/>
      <c r="I1765" s="196"/>
      <c r="J1765" s="192"/>
      <c r="K1765" s="204"/>
    </row>
    <row r="1766" spans="1:11">
      <c r="A1766" s="183"/>
      <c r="B1766" s="184"/>
      <c r="C1766" s="200"/>
      <c r="D1766" s="186"/>
      <c r="E1766" s="187"/>
      <c r="F1766" s="186"/>
      <c r="G1766" s="186"/>
      <c r="H1766" s="194"/>
      <c r="I1766" s="196"/>
      <c r="J1766" s="192"/>
      <c r="K1766" s="204"/>
    </row>
    <row r="1767" spans="1:11">
      <c r="A1767" s="186"/>
      <c r="B1767" s="184"/>
      <c r="C1767" s="200"/>
      <c r="D1767" s="186"/>
      <c r="E1767" s="187"/>
      <c r="F1767" s="188"/>
      <c r="G1767" s="186"/>
      <c r="H1767" s="194"/>
      <c r="I1767" s="196"/>
      <c r="J1767" s="192"/>
      <c r="K1767" s="204"/>
    </row>
    <row r="1768" spans="1:11" ht="21" customHeight="1">
      <c r="A1768" s="183"/>
      <c r="B1768" s="184"/>
      <c r="C1768" s="197"/>
      <c r="D1768" s="186"/>
      <c r="E1768" s="198"/>
      <c r="F1768" s="186"/>
      <c r="G1768" s="186"/>
      <c r="H1768" s="194"/>
      <c r="I1768" s="196"/>
      <c r="J1768" s="192"/>
      <c r="K1768" s="204"/>
    </row>
    <row r="1769" spans="1:11">
      <c r="A1769" s="186"/>
      <c r="B1769" s="184"/>
      <c r="C1769" s="197"/>
      <c r="D1769" s="186"/>
      <c r="E1769" s="198"/>
      <c r="F1769" s="186"/>
      <c r="G1769" s="186"/>
      <c r="H1769" s="194"/>
      <c r="I1769" s="196"/>
      <c r="J1769" s="192"/>
      <c r="K1769" s="204"/>
    </row>
    <row r="1770" spans="1:11">
      <c r="A1770" s="183"/>
      <c r="B1770" s="184"/>
      <c r="C1770" s="189"/>
      <c r="D1770" s="200"/>
      <c r="E1770" s="198"/>
      <c r="F1770" s="186"/>
      <c r="G1770" s="186"/>
      <c r="H1770" s="194"/>
      <c r="I1770" s="196"/>
      <c r="J1770" s="192"/>
      <c r="K1770" s="204"/>
    </row>
    <row r="1771" spans="1:11">
      <c r="A1771" s="183"/>
      <c r="B1771" s="184"/>
      <c r="C1771" s="185"/>
      <c r="D1771" s="186"/>
      <c r="E1771" s="187"/>
      <c r="F1771" s="186"/>
      <c r="G1771" s="190"/>
      <c r="H1771" s="194"/>
      <c r="I1771" s="196"/>
      <c r="J1771" s="192"/>
      <c r="K1771" s="204"/>
    </row>
    <row r="1772" spans="1:11">
      <c r="A1772" s="186"/>
      <c r="B1772" s="184"/>
      <c r="C1772" s="185"/>
      <c r="D1772" s="186"/>
      <c r="E1772" s="187"/>
      <c r="F1772" s="188"/>
      <c r="G1772" s="181"/>
      <c r="H1772" s="194"/>
      <c r="I1772" s="196"/>
      <c r="J1772" s="192"/>
      <c r="K1772" s="204"/>
    </row>
    <row r="1773" spans="1:11">
      <c r="A1773" s="183"/>
      <c r="B1773" s="184"/>
      <c r="C1773" s="203"/>
      <c r="D1773" s="200"/>
      <c r="E1773" s="198"/>
      <c r="F1773" s="186"/>
      <c r="G1773" s="186"/>
      <c r="H1773" s="186"/>
      <c r="I1773" s="196"/>
      <c r="J1773" s="192"/>
      <c r="K1773" s="204"/>
    </row>
    <row r="1774" spans="1:11" ht="21" customHeight="1">
      <c r="A1774" s="186"/>
      <c r="B1774" s="184"/>
      <c r="C1774" s="203"/>
      <c r="D1774" s="200"/>
      <c r="E1774" s="198"/>
      <c r="F1774" s="186"/>
      <c r="G1774" s="186"/>
      <c r="H1774" s="181"/>
      <c r="I1774" s="196"/>
      <c r="J1774" s="192"/>
      <c r="K1774" s="204"/>
    </row>
    <row r="1775" spans="1:11">
      <c r="A1775" s="183"/>
      <c r="B1775" s="184"/>
      <c r="C1775" s="203"/>
      <c r="D1775" s="186"/>
      <c r="E1775" s="198"/>
      <c r="F1775" s="186"/>
      <c r="G1775" s="186"/>
      <c r="H1775" s="194"/>
      <c r="I1775" s="196"/>
      <c r="J1775" s="192"/>
      <c r="K1775" s="204"/>
    </row>
    <row r="1776" spans="1:11">
      <c r="A1776" s="186"/>
      <c r="B1776" s="184"/>
      <c r="C1776" s="203"/>
      <c r="D1776" s="186"/>
      <c r="E1776" s="198"/>
      <c r="F1776" s="186"/>
      <c r="G1776" s="186"/>
      <c r="H1776" s="194"/>
      <c r="I1776" s="196"/>
      <c r="J1776" s="192"/>
      <c r="K1776" s="204"/>
    </row>
    <row r="1777" spans="1:11" ht="31.5" customHeight="1">
      <c r="A1777" s="183"/>
      <c r="B1777" s="184"/>
      <c r="C1777" s="203"/>
      <c r="D1777" s="186"/>
      <c r="E1777" s="198"/>
      <c r="F1777" s="186"/>
      <c r="G1777" s="186"/>
      <c r="H1777" s="186"/>
      <c r="I1777" s="196"/>
      <c r="J1777" s="192"/>
      <c r="K1777" s="204"/>
    </row>
    <row r="1778" spans="1:11">
      <c r="A1778" s="186"/>
      <c r="B1778" s="184"/>
      <c r="C1778" s="203"/>
      <c r="D1778" s="186"/>
      <c r="E1778" s="198"/>
      <c r="F1778" s="186"/>
      <c r="G1778" s="186"/>
      <c r="H1778" s="181"/>
      <c r="I1778" s="196"/>
      <c r="J1778" s="192"/>
      <c r="K1778" s="204"/>
    </row>
    <row r="1779" spans="1:11">
      <c r="A1779" s="183"/>
      <c r="B1779" s="184"/>
      <c r="C1779" s="203"/>
      <c r="D1779" s="186"/>
      <c r="E1779" s="198"/>
      <c r="F1779" s="186"/>
      <c r="G1779" s="186"/>
      <c r="H1779" s="186"/>
      <c r="I1779" s="196"/>
      <c r="J1779" s="192"/>
      <c r="K1779" s="204"/>
    </row>
    <row r="1780" spans="1:11" ht="16" customHeight="1">
      <c r="A1780" s="186"/>
      <c r="B1780" s="184"/>
      <c r="C1780" s="203"/>
      <c r="D1780" s="186"/>
      <c r="E1780" s="198"/>
      <c r="F1780" s="186"/>
      <c r="G1780" s="186"/>
      <c r="H1780" s="181"/>
      <c r="I1780" s="196"/>
      <c r="J1780" s="192"/>
      <c r="K1780" s="204"/>
    </row>
    <row r="1781" spans="1:11">
      <c r="A1781" s="183"/>
      <c r="B1781" s="184"/>
      <c r="C1781" s="185"/>
      <c r="D1781" s="186"/>
      <c r="E1781" s="187"/>
      <c r="F1781" s="186"/>
      <c r="G1781" s="190"/>
      <c r="H1781" s="194"/>
      <c r="I1781" s="196"/>
      <c r="J1781" s="192"/>
      <c r="K1781" s="204"/>
    </row>
    <row r="1782" spans="1:11">
      <c r="A1782" s="186"/>
      <c r="B1782" s="184"/>
      <c r="C1782" s="185"/>
      <c r="D1782" s="186"/>
      <c r="E1782" s="187"/>
      <c r="F1782" s="188"/>
      <c r="G1782" s="181"/>
      <c r="H1782" s="194"/>
      <c r="I1782" s="196"/>
      <c r="J1782" s="192"/>
      <c r="K1782" s="204"/>
    </row>
    <row r="1783" spans="1:11">
      <c r="A1783" s="183"/>
      <c r="B1783" s="184"/>
      <c r="C1783" s="189"/>
      <c r="D1783" s="202"/>
      <c r="E1783" s="198"/>
      <c r="F1783" s="186"/>
      <c r="G1783" s="186"/>
      <c r="H1783" s="194"/>
      <c r="I1783" s="196"/>
      <c r="J1783" s="192"/>
      <c r="K1783" s="204"/>
    </row>
    <row r="1784" spans="1:11">
      <c r="A1784" s="186"/>
      <c r="B1784" s="184"/>
      <c r="C1784" s="189"/>
      <c r="D1784" s="202"/>
      <c r="E1784" s="198"/>
      <c r="F1784" s="186"/>
      <c r="G1784" s="186"/>
      <c r="H1784" s="194"/>
      <c r="I1784" s="196"/>
      <c r="J1784" s="192"/>
      <c r="K1784" s="204"/>
    </row>
    <row r="1785" spans="1:11">
      <c r="A1785" s="183"/>
      <c r="B1785" s="184"/>
      <c r="C1785" s="185"/>
      <c r="D1785" s="186"/>
      <c r="E1785" s="187"/>
      <c r="F1785" s="186"/>
      <c r="G1785" s="190"/>
      <c r="H1785" s="194"/>
      <c r="I1785" s="196"/>
      <c r="J1785" s="192"/>
      <c r="K1785" s="204"/>
    </row>
    <row r="1786" spans="1:11" ht="24" customHeight="1">
      <c r="A1786" s="186"/>
      <c r="B1786" s="184"/>
      <c r="C1786" s="185"/>
      <c r="D1786" s="186"/>
      <c r="E1786" s="187"/>
      <c r="F1786" s="188"/>
      <c r="G1786" s="181"/>
      <c r="H1786" s="194"/>
      <c r="I1786" s="196"/>
      <c r="J1786" s="192"/>
      <c r="K1786" s="204"/>
    </row>
    <row r="1787" spans="1:11">
      <c r="A1787" s="183"/>
      <c r="B1787" s="184"/>
      <c r="C1787" s="185"/>
      <c r="D1787" s="186"/>
      <c r="E1787" s="187"/>
      <c r="F1787" s="186"/>
      <c r="G1787" s="190"/>
      <c r="H1787" s="194"/>
      <c r="I1787" s="196"/>
      <c r="J1787" s="192"/>
      <c r="K1787" s="204"/>
    </row>
    <row r="1788" spans="1:11">
      <c r="A1788" s="186"/>
      <c r="B1788" s="184"/>
      <c r="C1788" s="185"/>
      <c r="D1788" s="186"/>
      <c r="E1788" s="187"/>
      <c r="F1788" s="188"/>
      <c r="G1788" s="181"/>
      <c r="H1788" s="194"/>
      <c r="I1788" s="196"/>
      <c r="J1788" s="192"/>
      <c r="K1788" s="204"/>
    </row>
    <row r="1789" spans="1:11" ht="24" customHeight="1">
      <c r="A1789" s="183"/>
      <c r="B1789" s="184"/>
      <c r="C1789" s="185"/>
      <c r="D1789" s="186"/>
      <c r="E1789" s="187"/>
      <c r="F1789" s="186"/>
      <c r="G1789" s="190"/>
      <c r="H1789" s="194"/>
      <c r="I1789" s="196"/>
      <c r="J1789" s="192"/>
      <c r="K1789" s="204"/>
    </row>
    <row r="1790" spans="1:11">
      <c r="A1790" s="186"/>
      <c r="B1790" s="184"/>
      <c r="C1790" s="185"/>
      <c r="D1790" s="186"/>
      <c r="E1790" s="187"/>
      <c r="F1790" s="188"/>
      <c r="G1790" s="181"/>
      <c r="H1790" s="194"/>
      <c r="I1790" s="196"/>
      <c r="J1790" s="192"/>
      <c r="K1790" s="204"/>
    </row>
    <row r="1791" spans="1:11">
      <c r="A1791" s="182"/>
      <c r="B1791" s="184"/>
      <c r="C1791" s="189"/>
      <c r="D1791" s="186"/>
      <c r="E1791" s="198"/>
      <c r="F1791" s="186"/>
      <c r="G1791" s="186"/>
      <c r="H1791" s="194"/>
      <c r="I1791" s="195"/>
      <c r="J1791" s="192"/>
      <c r="K1791" s="204"/>
    </row>
    <row r="1792" spans="1:11">
      <c r="A1792" s="183"/>
      <c r="B1792" s="184"/>
      <c r="C1792" s="189"/>
      <c r="D1792" s="186"/>
      <c r="E1792" s="198"/>
      <c r="F1792" s="186"/>
      <c r="G1792" s="186"/>
      <c r="H1792" s="186"/>
      <c r="I1792" s="196"/>
      <c r="J1792" s="192"/>
      <c r="K1792" s="204"/>
    </row>
    <row r="1793" spans="1:11">
      <c r="A1793" s="186"/>
      <c r="B1793" s="184"/>
      <c r="C1793" s="189"/>
      <c r="D1793" s="186"/>
      <c r="E1793" s="198"/>
      <c r="F1793" s="186"/>
      <c r="G1793" s="186"/>
      <c r="H1793" s="181"/>
      <c r="I1793" s="196"/>
      <c r="J1793" s="192"/>
      <c r="K1793" s="204"/>
    </row>
    <row r="1794" spans="1:11">
      <c r="A1794" s="183"/>
      <c r="B1794" s="184"/>
      <c r="C1794" s="185"/>
      <c r="D1794" s="186"/>
      <c r="E1794" s="187"/>
      <c r="F1794" s="186"/>
      <c r="G1794" s="190"/>
      <c r="H1794" s="194"/>
      <c r="I1794" s="196"/>
      <c r="J1794" s="192"/>
      <c r="K1794" s="204"/>
    </row>
    <row r="1795" spans="1:11" ht="21" customHeight="1">
      <c r="A1795" s="186"/>
      <c r="B1795" s="184"/>
      <c r="C1795" s="185"/>
      <c r="D1795" s="186"/>
      <c r="E1795" s="187"/>
      <c r="F1795" s="188"/>
      <c r="G1795" s="181"/>
      <c r="H1795" s="194"/>
      <c r="I1795" s="196"/>
      <c r="J1795" s="192"/>
      <c r="K1795" s="204"/>
    </row>
    <row r="1796" spans="1:11">
      <c r="A1796" s="183"/>
      <c r="B1796" s="184"/>
      <c r="C1796" s="189"/>
      <c r="D1796" s="200"/>
      <c r="E1796" s="198"/>
      <c r="F1796" s="186"/>
      <c r="G1796" s="186"/>
      <c r="H1796" s="186"/>
      <c r="I1796" s="196"/>
      <c r="J1796" s="192"/>
      <c r="K1796" s="204"/>
    </row>
    <row r="1797" spans="1:11">
      <c r="A1797" s="186"/>
      <c r="B1797" s="184"/>
      <c r="C1797" s="189"/>
      <c r="D1797" s="200"/>
      <c r="E1797" s="198"/>
      <c r="F1797" s="186"/>
      <c r="G1797" s="186"/>
      <c r="H1797" s="181"/>
      <c r="I1797" s="196"/>
      <c r="J1797" s="192"/>
      <c r="K1797" s="204"/>
    </row>
    <row r="1798" spans="1:11" ht="16" customHeight="1">
      <c r="A1798" s="182"/>
      <c r="B1798" s="184"/>
      <c r="C1798" s="185"/>
      <c r="D1798" s="186"/>
      <c r="E1798" s="198"/>
      <c r="F1798" s="186"/>
      <c r="G1798" s="186"/>
      <c r="H1798" s="186"/>
      <c r="I1798" s="191"/>
      <c r="J1798" s="192"/>
      <c r="K1798" s="204"/>
    </row>
    <row r="1799" spans="1:11">
      <c r="A1799" s="183"/>
      <c r="B1799" s="184"/>
      <c r="C1799" s="185"/>
      <c r="D1799" s="186"/>
      <c r="E1799" s="198"/>
      <c r="F1799" s="186"/>
      <c r="G1799" s="186"/>
      <c r="H1799" s="186"/>
      <c r="I1799" s="191"/>
      <c r="J1799" s="192"/>
      <c r="K1799" s="204"/>
    </row>
    <row r="1800" spans="1:11">
      <c r="A1800" s="186"/>
      <c r="B1800" s="184"/>
      <c r="C1800" s="185"/>
      <c r="D1800" s="186"/>
      <c r="E1800" s="198"/>
      <c r="F1800" s="186"/>
      <c r="G1800" s="186"/>
      <c r="H1800" s="186"/>
      <c r="I1800" s="191"/>
      <c r="J1800" s="192"/>
      <c r="K1800" s="204"/>
    </row>
    <row r="1801" spans="1:11" ht="21" customHeight="1">
      <c r="A1801" s="183"/>
      <c r="B1801" s="184"/>
      <c r="C1801" s="185"/>
      <c r="D1801" s="186"/>
      <c r="E1801" s="198"/>
      <c r="F1801" s="186"/>
      <c r="G1801" s="186"/>
      <c r="H1801" s="186"/>
      <c r="I1801" s="196"/>
      <c r="J1801" s="192"/>
      <c r="K1801" s="204"/>
    </row>
    <row r="1802" spans="1:11">
      <c r="A1802" s="186"/>
      <c r="B1802" s="184"/>
      <c r="C1802" s="185"/>
      <c r="D1802" s="186"/>
      <c r="E1802" s="198"/>
      <c r="F1802" s="186"/>
      <c r="G1802" s="186"/>
      <c r="H1802" s="181"/>
      <c r="I1802" s="196"/>
      <c r="J1802" s="192"/>
      <c r="K1802" s="204"/>
    </row>
    <row r="1803" spans="1:11">
      <c r="A1803" s="183"/>
      <c r="B1803" s="184"/>
      <c r="C1803" s="185"/>
      <c r="D1803" s="186"/>
      <c r="E1803" s="187"/>
      <c r="F1803" s="186"/>
      <c r="G1803" s="190"/>
      <c r="H1803" s="194"/>
      <c r="I1803" s="196"/>
      <c r="J1803" s="192"/>
      <c r="K1803" s="204"/>
    </row>
    <row r="1804" spans="1:11" ht="16" customHeight="1">
      <c r="A1804" s="186"/>
      <c r="B1804" s="184"/>
      <c r="C1804" s="185"/>
      <c r="D1804" s="186"/>
      <c r="E1804" s="187"/>
      <c r="F1804" s="188"/>
      <c r="G1804" s="181"/>
      <c r="H1804" s="194"/>
      <c r="I1804" s="196"/>
      <c r="J1804" s="192"/>
      <c r="K1804" s="204"/>
    </row>
    <row r="1805" spans="1:11">
      <c r="A1805" s="183"/>
      <c r="B1805" s="184"/>
      <c r="C1805" s="185"/>
      <c r="D1805" s="186"/>
      <c r="E1805" s="187"/>
      <c r="F1805" s="186"/>
      <c r="G1805" s="190"/>
      <c r="H1805" s="194"/>
      <c r="I1805" s="196"/>
      <c r="J1805" s="192"/>
      <c r="K1805" s="204"/>
    </row>
    <row r="1806" spans="1:11">
      <c r="A1806" s="186"/>
      <c r="B1806" s="184"/>
      <c r="C1806" s="185"/>
      <c r="D1806" s="186"/>
      <c r="E1806" s="187"/>
      <c r="F1806" s="188"/>
      <c r="G1806" s="181"/>
      <c r="H1806" s="194"/>
      <c r="I1806" s="196"/>
      <c r="J1806" s="192"/>
      <c r="K1806" s="204"/>
    </row>
    <row r="1807" spans="1:11" ht="21" customHeight="1">
      <c r="A1807" s="183"/>
      <c r="B1807" s="184"/>
      <c r="C1807" s="203"/>
      <c r="D1807" s="186"/>
      <c r="E1807" s="198"/>
      <c r="F1807" s="186"/>
      <c r="G1807" s="186"/>
      <c r="H1807" s="186"/>
      <c r="I1807" s="196"/>
      <c r="J1807" s="192"/>
      <c r="K1807" s="204"/>
    </row>
    <row r="1808" spans="1:11">
      <c r="A1808" s="186"/>
      <c r="B1808" s="184"/>
      <c r="C1808" s="203"/>
      <c r="D1808" s="186"/>
      <c r="E1808" s="198"/>
      <c r="F1808" s="186"/>
      <c r="G1808" s="186"/>
      <c r="H1808" s="181"/>
      <c r="I1808" s="196"/>
      <c r="J1808" s="192"/>
      <c r="K1808" s="204"/>
    </row>
    <row r="1809" spans="1:11">
      <c r="A1809" s="182"/>
      <c r="B1809" s="184"/>
      <c r="C1809" s="185"/>
      <c r="D1809" s="186"/>
      <c r="E1809" s="187"/>
      <c r="F1809" s="186"/>
      <c r="G1809" s="189"/>
      <c r="H1809" s="186"/>
      <c r="I1809" s="191"/>
      <c r="J1809" s="192"/>
      <c r="K1809" s="204"/>
    </row>
    <row r="1810" spans="1:11" ht="24" customHeight="1">
      <c r="A1810" s="183"/>
      <c r="B1810" s="184"/>
      <c r="C1810" s="185"/>
      <c r="D1810" s="186"/>
      <c r="E1810" s="187"/>
      <c r="F1810" s="186"/>
      <c r="G1810" s="190"/>
      <c r="H1810" s="186"/>
      <c r="I1810" s="191"/>
      <c r="J1810" s="192"/>
      <c r="K1810" s="204"/>
    </row>
    <row r="1811" spans="1:11">
      <c r="A1811" s="181"/>
      <c r="B1811" s="184"/>
      <c r="C1811" s="185"/>
      <c r="D1811" s="186"/>
      <c r="E1811" s="187"/>
      <c r="F1811" s="188"/>
      <c r="G1811" s="181"/>
      <c r="H1811" s="186"/>
      <c r="I1811" s="191"/>
      <c r="J1811" s="192"/>
      <c r="K1811" s="204"/>
    </row>
    <row r="1812" spans="1:11">
      <c r="A1812" s="183"/>
      <c r="B1812" s="184"/>
      <c r="C1812" s="203"/>
      <c r="D1812" s="186"/>
      <c r="E1812" s="198"/>
      <c r="F1812" s="186"/>
      <c r="G1812" s="186"/>
      <c r="H1812" s="186"/>
      <c r="I1812" s="196"/>
      <c r="J1812" s="192"/>
      <c r="K1812" s="204"/>
    </row>
    <row r="1813" spans="1:11">
      <c r="A1813" s="186"/>
      <c r="B1813" s="184"/>
      <c r="C1813" s="203"/>
      <c r="D1813" s="186"/>
      <c r="E1813" s="198"/>
      <c r="F1813" s="186"/>
      <c r="G1813" s="186"/>
      <c r="H1813" s="181"/>
      <c r="I1813" s="196"/>
      <c r="J1813" s="192"/>
      <c r="K1813" s="204"/>
    </row>
    <row r="1814" spans="1:11">
      <c r="A1814" s="183"/>
      <c r="B1814" s="184"/>
      <c r="C1814" s="189"/>
      <c r="D1814" s="186"/>
      <c r="E1814" s="198"/>
      <c r="F1814" s="186"/>
      <c r="G1814" s="186"/>
      <c r="H1814" s="186"/>
      <c r="I1814" s="196"/>
      <c r="J1814" s="192"/>
      <c r="K1814" s="204"/>
    </row>
    <row r="1815" spans="1:11">
      <c r="A1815" s="186"/>
      <c r="B1815" s="184"/>
      <c r="C1815" s="189"/>
      <c r="D1815" s="186"/>
      <c r="E1815" s="198"/>
      <c r="F1815" s="186"/>
      <c r="G1815" s="186"/>
      <c r="H1815" s="181"/>
      <c r="I1815" s="196"/>
      <c r="J1815" s="192"/>
      <c r="K1815" s="204"/>
    </row>
    <row r="1816" spans="1:11" ht="21" customHeight="1">
      <c r="A1816" s="183"/>
      <c r="B1816" s="184"/>
      <c r="C1816" s="185"/>
      <c r="D1816" s="186"/>
      <c r="E1816" s="187"/>
      <c r="F1816" s="186"/>
      <c r="G1816" s="190"/>
      <c r="H1816" s="194"/>
      <c r="I1816" s="196"/>
      <c r="J1816" s="192"/>
      <c r="K1816" s="204"/>
    </row>
    <row r="1817" spans="1:11">
      <c r="A1817" s="186"/>
      <c r="B1817" s="184"/>
      <c r="C1817" s="185"/>
      <c r="D1817" s="186"/>
      <c r="E1817" s="187"/>
      <c r="F1817" s="188"/>
      <c r="G1817" s="181"/>
      <c r="H1817" s="194"/>
      <c r="I1817" s="196"/>
      <c r="J1817" s="192"/>
      <c r="K1817" s="204"/>
    </row>
    <row r="1818" spans="1:11">
      <c r="A1818" s="183"/>
      <c r="B1818" s="184"/>
      <c r="C1818" s="185"/>
      <c r="D1818" s="186"/>
      <c r="E1818" s="187"/>
      <c r="F1818" s="186"/>
      <c r="G1818" s="190"/>
      <c r="H1818" s="194"/>
      <c r="I1818" s="196"/>
      <c r="J1818" s="192"/>
      <c r="K1818" s="204"/>
    </row>
    <row r="1819" spans="1:11" ht="24" customHeight="1">
      <c r="A1819" s="186"/>
      <c r="B1819" s="184"/>
      <c r="C1819" s="185"/>
      <c r="D1819" s="186"/>
      <c r="E1819" s="187"/>
      <c r="F1819" s="188"/>
      <c r="G1819" s="181"/>
      <c r="H1819" s="194"/>
      <c r="I1819" s="196"/>
      <c r="J1819" s="192"/>
      <c r="K1819" s="204"/>
    </row>
    <row r="1820" spans="1:11">
      <c r="A1820" s="183"/>
      <c r="B1820" s="184"/>
      <c r="C1820" s="185"/>
      <c r="D1820" s="186"/>
      <c r="E1820" s="187"/>
      <c r="F1820" s="186"/>
      <c r="G1820" s="190"/>
      <c r="H1820" s="194"/>
      <c r="I1820" s="196"/>
      <c r="J1820" s="192"/>
      <c r="K1820" s="204"/>
    </row>
    <row r="1821" spans="1:11">
      <c r="A1821" s="186"/>
      <c r="B1821" s="184"/>
      <c r="C1821" s="185"/>
      <c r="D1821" s="186"/>
      <c r="E1821" s="187"/>
      <c r="F1821" s="188"/>
      <c r="G1821" s="181"/>
      <c r="H1821" s="194"/>
      <c r="I1821" s="196"/>
      <c r="J1821" s="192"/>
      <c r="K1821" s="204"/>
    </row>
    <row r="1822" spans="1:11" ht="16" customHeight="1">
      <c r="A1822" s="183"/>
      <c r="B1822" s="184"/>
      <c r="C1822" s="185"/>
      <c r="D1822" s="186"/>
      <c r="E1822" s="187"/>
      <c r="F1822" s="186"/>
      <c r="G1822" s="190"/>
      <c r="H1822" s="194"/>
      <c r="I1822" s="196"/>
      <c r="J1822" s="192"/>
      <c r="K1822" s="204"/>
    </row>
    <row r="1823" spans="1:11">
      <c r="A1823" s="186"/>
      <c r="B1823" s="184"/>
      <c r="C1823" s="185"/>
      <c r="D1823" s="186"/>
      <c r="E1823" s="187"/>
      <c r="F1823" s="188"/>
      <c r="G1823" s="181"/>
      <c r="H1823" s="194"/>
      <c r="I1823" s="196"/>
      <c r="J1823" s="192"/>
      <c r="K1823" s="204"/>
    </row>
    <row r="1824" spans="1:11">
      <c r="A1824" s="183"/>
      <c r="B1824" s="184"/>
      <c r="C1824" s="203"/>
      <c r="D1824" s="186"/>
      <c r="E1824" s="198"/>
      <c r="F1824" s="186"/>
      <c r="G1824" s="186"/>
      <c r="H1824" s="186"/>
      <c r="I1824" s="196"/>
      <c r="J1824" s="192"/>
      <c r="K1824" s="204"/>
    </row>
    <row r="1825" spans="1:11">
      <c r="A1825" s="186"/>
      <c r="B1825" s="184"/>
      <c r="C1825" s="203"/>
      <c r="D1825" s="186"/>
      <c r="E1825" s="198"/>
      <c r="F1825" s="186"/>
      <c r="G1825" s="186"/>
      <c r="H1825" s="181"/>
      <c r="I1825" s="196"/>
      <c r="J1825" s="192"/>
      <c r="K1825" s="204"/>
    </row>
    <row r="1826" spans="1:11">
      <c r="A1826" s="183"/>
      <c r="B1826" s="184"/>
      <c r="C1826" s="189"/>
      <c r="D1826" s="200"/>
      <c r="E1826" s="198"/>
      <c r="F1826" s="186"/>
      <c r="G1826" s="186"/>
      <c r="H1826" s="194"/>
      <c r="I1826" s="196"/>
      <c r="J1826" s="192"/>
      <c r="K1826" s="204"/>
    </row>
    <row r="1827" spans="1:11">
      <c r="A1827" s="186"/>
      <c r="B1827" s="184"/>
      <c r="C1827" s="189"/>
      <c r="D1827" s="200"/>
      <c r="E1827" s="198"/>
      <c r="F1827" s="186"/>
      <c r="G1827" s="186"/>
      <c r="H1827" s="194"/>
      <c r="I1827" s="196"/>
      <c r="J1827" s="192"/>
      <c r="K1827" s="204"/>
    </row>
    <row r="1828" spans="1:11">
      <c r="A1828" s="183"/>
      <c r="B1828" s="184"/>
      <c r="C1828" s="185"/>
      <c r="D1828" s="186"/>
      <c r="E1828" s="187"/>
      <c r="F1828" s="186"/>
      <c r="G1828" s="190"/>
      <c r="H1828" s="194"/>
      <c r="I1828" s="196"/>
      <c r="J1828" s="192"/>
      <c r="K1828" s="204"/>
    </row>
    <row r="1829" spans="1:11">
      <c r="A1829" s="186"/>
      <c r="B1829" s="184"/>
      <c r="C1829" s="185"/>
      <c r="D1829" s="186"/>
      <c r="E1829" s="187"/>
      <c r="F1829" s="188"/>
      <c r="G1829" s="181"/>
      <c r="H1829" s="194"/>
      <c r="I1829" s="196"/>
      <c r="J1829" s="192"/>
      <c r="K1829" s="204"/>
    </row>
    <row r="1830" spans="1:11">
      <c r="A1830" s="183"/>
      <c r="B1830" s="184"/>
      <c r="C1830" s="189"/>
      <c r="D1830" s="200"/>
      <c r="E1830" s="198"/>
      <c r="F1830" s="186"/>
      <c r="G1830" s="186"/>
      <c r="H1830" s="194"/>
      <c r="I1830" s="196"/>
      <c r="J1830" s="192"/>
      <c r="K1830" s="204"/>
    </row>
    <row r="1831" spans="1:11" ht="21" customHeight="1">
      <c r="A1831" s="199"/>
      <c r="B1831" s="184"/>
      <c r="C1831" s="189"/>
      <c r="D1831" s="200"/>
      <c r="E1831" s="198"/>
      <c r="F1831" s="186"/>
      <c r="G1831" s="186"/>
      <c r="H1831" s="194"/>
      <c r="I1831" s="196"/>
      <c r="J1831" s="192"/>
      <c r="K1831" s="204"/>
    </row>
    <row r="1832" spans="1:11">
      <c r="A1832" s="183"/>
      <c r="B1832" s="184"/>
      <c r="C1832" s="185"/>
      <c r="D1832" s="186"/>
      <c r="E1832" s="187"/>
      <c r="F1832" s="186"/>
      <c r="G1832" s="190"/>
      <c r="H1832" s="194"/>
      <c r="I1832" s="196"/>
      <c r="J1832" s="192"/>
      <c r="K1832" s="204"/>
    </row>
    <row r="1833" spans="1:11">
      <c r="A1833" s="186"/>
      <c r="B1833" s="184"/>
      <c r="C1833" s="185"/>
      <c r="D1833" s="186"/>
      <c r="E1833" s="187"/>
      <c r="F1833" s="188"/>
      <c r="G1833" s="181"/>
      <c r="H1833" s="194"/>
      <c r="I1833" s="196"/>
      <c r="J1833" s="192"/>
      <c r="K1833" s="204"/>
    </row>
    <row r="1834" spans="1:11" ht="14" customHeight="1">
      <c r="A1834" s="183"/>
      <c r="B1834" s="184"/>
      <c r="C1834" s="185"/>
      <c r="D1834" s="186"/>
      <c r="E1834" s="187"/>
      <c r="F1834" s="186"/>
      <c r="G1834" s="190"/>
      <c r="H1834" s="194"/>
      <c r="I1834" s="196"/>
      <c r="J1834" s="192"/>
      <c r="K1834" s="204"/>
    </row>
    <row r="1835" spans="1:11">
      <c r="A1835" s="186"/>
      <c r="B1835" s="184"/>
      <c r="C1835" s="185"/>
      <c r="D1835" s="186"/>
      <c r="E1835" s="187"/>
      <c r="F1835" s="188"/>
      <c r="G1835" s="181"/>
      <c r="H1835" s="194"/>
      <c r="I1835" s="196"/>
      <c r="J1835" s="192"/>
      <c r="K1835" s="204"/>
    </row>
    <row r="1836" spans="1:11">
      <c r="A1836" s="183"/>
      <c r="B1836" s="184"/>
      <c r="C1836" s="185"/>
      <c r="D1836" s="186"/>
      <c r="E1836" s="187"/>
      <c r="F1836" s="186"/>
      <c r="G1836" s="190"/>
      <c r="H1836" s="194"/>
      <c r="I1836" s="196"/>
      <c r="J1836" s="192"/>
      <c r="K1836" s="204"/>
    </row>
    <row r="1837" spans="1:11" ht="21" customHeight="1">
      <c r="A1837" s="186"/>
      <c r="B1837" s="184"/>
      <c r="C1837" s="185"/>
      <c r="D1837" s="186"/>
      <c r="E1837" s="187"/>
      <c r="F1837" s="188"/>
      <c r="G1837" s="181"/>
      <c r="H1837" s="194"/>
      <c r="I1837" s="196"/>
      <c r="J1837" s="192"/>
      <c r="K1837" s="204"/>
    </row>
    <row r="1838" spans="1:11">
      <c r="A1838" s="183"/>
      <c r="B1838" s="184"/>
      <c r="C1838" s="185"/>
      <c r="D1838" s="186"/>
      <c r="E1838" s="187"/>
      <c r="F1838" s="186"/>
      <c r="G1838" s="190"/>
      <c r="H1838" s="194"/>
      <c r="I1838" s="196"/>
      <c r="J1838" s="192"/>
      <c r="K1838" s="204"/>
    </row>
    <row r="1839" spans="1:11">
      <c r="A1839" s="186"/>
      <c r="B1839" s="184"/>
      <c r="C1839" s="185"/>
      <c r="D1839" s="186"/>
      <c r="E1839" s="187"/>
      <c r="F1839" s="188"/>
      <c r="G1839" s="181"/>
      <c r="H1839" s="194"/>
      <c r="I1839" s="196"/>
      <c r="J1839" s="192"/>
      <c r="K1839" s="204"/>
    </row>
    <row r="1840" spans="1:11">
      <c r="A1840" s="183"/>
      <c r="B1840" s="184"/>
      <c r="C1840" s="185"/>
      <c r="D1840" s="186"/>
      <c r="E1840" s="187"/>
      <c r="F1840" s="186"/>
      <c r="G1840" s="190"/>
      <c r="H1840" s="194"/>
      <c r="I1840" s="196"/>
      <c r="J1840" s="192"/>
      <c r="K1840" s="204"/>
    </row>
    <row r="1841" spans="1:11">
      <c r="A1841" s="186"/>
      <c r="B1841" s="184"/>
      <c r="C1841" s="185"/>
      <c r="D1841" s="186"/>
      <c r="E1841" s="187"/>
      <c r="F1841" s="188"/>
      <c r="G1841" s="181"/>
      <c r="H1841" s="194"/>
      <c r="I1841" s="196"/>
      <c r="J1841" s="192"/>
      <c r="K1841" s="204"/>
    </row>
    <row r="1842" spans="1:11" ht="14" customHeight="1">
      <c r="A1842" s="183"/>
      <c r="B1842" s="184"/>
      <c r="C1842" s="185"/>
      <c r="D1842" s="186"/>
      <c r="E1842" s="187"/>
      <c r="F1842" s="186"/>
      <c r="G1842" s="190"/>
      <c r="H1842" s="194"/>
      <c r="I1842" s="196"/>
      <c r="J1842" s="192"/>
      <c r="K1842" s="204"/>
    </row>
    <row r="1843" spans="1:11">
      <c r="A1843" s="186"/>
      <c r="B1843" s="184"/>
      <c r="C1843" s="185"/>
      <c r="D1843" s="186"/>
      <c r="E1843" s="187"/>
      <c r="F1843" s="188"/>
      <c r="G1843" s="181"/>
      <c r="H1843" s="194"/>
      <c r="I1843" s="196"/>
      <c r="J1843" s="192"/>
      <c r="K1843" s="204"/>
    </row>
    <row r="1844" spans="1:11">
      <c r="A1844" s="183"/>
      <c r="B1844" s="184"/>
      <c r="C1844" s="203"/>
      <c r="D1844" s="186"/>
      <c r="E1844" s="187"/>
      <c r="F1844" s="186"/>
      <c r="G1844" s="186"/>
      <c r="H1844" s="186"/>
      <c r="I1844" s="196"/>
      <c r="J1844" s="192"/>
      <c r="K1844" s="204"/>
    </row>
    <row r="1845" spans="1:11" ht="16" customHeight="1">
      <c r="A1845" s="186"/>
      <c r="B1845" s="184"/>
      <c r="C1845" s="203"/>
      <c r="D1845" s="186"/>
      <c r="E1845" s="187"/>
      <c r="F1845" s="188"/>
      <c r="G1845" s="186"/>
      <c r="H1845" s="181"/>
      <c r="I1845" s="196"/>
      <c r="J1845" s="192"/>
      <c r="K1845" s="204"/>
    </row>
    <row r="1846" spans="1:11">
      <c r="A1846" s="183"/>
      <c r="B1846" s="184"/>
      <c r="C1846" s="185"/>
      <c r="D1846" s="186"/>
      <c r="E1846" s="187"/>
      <c r="F1846" s="186"/>
      <c r="G1846" s="190"/>
      <c r="H1846" s="194"/>
      <c r="I1846" s="196"/>
      <c r="J1846" s="192"/>
      <c r="K1846" s="204"/>
    </row>
    <row r="1847" spans="1:11">
      <c r="A1847" s="186"/>
      <c r="B1847" s="184"/>
      <c r="C1847" s="185"/>
      <c r="D1847" s="186"/>
      <c r="E1847" s="187"/>
      <c r="F1847" s="188"/>
      <c r="G1847" s="181"/>
      <c r="H1847" s="194"/>
      <c r="I1847" s="196"/>
      <c r="J1847" s="192"/>
      <c r="K1847" s="204"/>
    </row>
    <row r="1848" spans="1:11">
      <c r="A1848" s="183"/>
      <c r="B1848" s="184"/>
      <c r="C1848" s="185"/>
      <c r="D1848" s="186"/>
      <c r="E1848" s="187"/>
      <c r="F1848" s="186"/>
      <c r="G1848" s="190"/>
      <c r="H1848" s="194"/>
      <c r="I1848" s="196"/>
      <c r="J1848" s="192"/>
      <c r="K1848" s="204"/>
    </row>
    <row r="1849" spans="1:11">
      <c r="A1849" s="186"/>
      <c r="B1849" s="184"/>
      <c r="C1849" s="185"/>
      <c r="D1849" s="186"/>
      <c r="E1849" s="187"/>
      <c r="F1849" s="188"/>
      <c r="G1849" s="181"/>
      <c r="H1849" s="194"/>
      <c r="I1849" s="196"/>
      <c r="J1849" s="192"/>
      <c r="K1849" s="204"/>
    </row>
    <row r="1850" spans="1:11">
      <c r="A1850" s="183"/>
      <c r="B1850" s="184"/>
      <c r="C1850" s="203"/>
      <c r="D1850" s="186"/>
      <c r="E1850" s="198"/>
      <c r="F1850" s="186"/>
      <c r="G1850" s="186"/>
      <c r="H1850" s="194"/>
      <c r="I1850" s="196"/>
      <c r="J1850" s="192"/>
      <c r="K1850" s="204"/>
    </row>
    <row r="1851" spans="1:11" ht="14" customHeight="1">
      <c r="A1851" s="186"/>
      <c r="B1851" s="184"/>
      <c r="C1851" s="203"/>
      <c r="D1851" s="186"/>
      <c r="E1851" s="198"/>
      <c r="F1851" s="186"/>
      <c r="G1851" s="186"/>
      <c r="H1851" s="194"/>
      <c r="I1851" s="196"/>
      <c r="J1851" s="192"/>
      <c r="K1851" s="204"/>
    </row>
    <row r="1852" spans="1:11">
      <c r="A1852" s="183"/>
      <c r="B1852" s="184"/>
      <c r="C1852" s="203"/>
      <c r="D1852" s="186"/>
      <c r="E1852" s="187"/>
      <c r="F1852" s="186"/>
      <c r="G1852" s="186"/>
      <c r="H1852" s="194"/>
      <c r="I1852" s="196"/>
      <c r="J1852" s="192"/>
      <c r="K1852" s="204"/>
    </row>
    <row r="1853" spans="1:11">
      <c r="A1853" s="186"/>
      <c r="B1853" s="184"/>
      <c r="C1853" s="203"/>
      <c r="D1853" s="186"/>
      <c r="E1853" s="187"/>
      <c r="F1853" s="188"/>
      <c r="G1853" s="186"/>
      <c r="H1853" s="194"/>
      <c r="I1853" s="196"/>
      <c r="J1853" s="192"/>
      <c r="K1853" s="204"/>
    </row>
    <row r="1854" spans="1:11">
      <c r="A1854" s="183"/>
      <c r="B1854" s="184"/>
      <c r="C1854" s="185"/>
      <c r="D1854" s="186"/>
      <c r="E1854" s="187"/>
      <c r="F1854" s="186"/>
      <c r="G1854" s="190"/>
      <c r="H1854" s="194"/>
      <c r="I1854" s="196"/>
      <c r="J1854" s="192"/>
      <c r="K1854" s="204"/>
    </row>
    <row r="1855" spans="1:11">
      <c r="A1855" s="186"/>
      <c r="B1855" s="184"/>
      <c r="C1855" s="185"/>
      <c r="D1855" s="186"/>
      <c r="E1855" s="187"/>
      <c r="F1855" s="188"/>
      <c r="G1855" s="181"/>
      <c r="H1855" s="194"/>
      <c r="I1855" s="196"/>
      <c r="J1855" s="192"/>
      <c r="K1855" s="204"/>
    </row>
    <row r="1856" spans="1:11">
      <c r="A1856" s="183"/>
      <c r="B1856" s="184"/>
      <c r="C1856" s="185"/>
      <c r="D1856" s="186"/>
      <c r="E1856" s="187"/>
      <c r="F1856" s="186"/>
      <c r="G1856" s="190"/>
      <c r="H1856" s="194"/>
      <c r="I1856" s="196"/>
      <c r="J1856" s="192"/>
      <c r="K1856" s="204"/>
    </row>
    <row r="1857" spans="1:11" ht="21" customHeight="1">
      <c r="A1857" s="186"/>
      <c r="B1857" s="184"/>
      <c r="C1857" s="185"/>
      <c r="D1857" s="186"/>
      <c r="E1857" s="187"/>
      <c r="F1857" s="188"/>
      <c r="G1857" s="181"/>
      <c r="H1857" s="194"/>
      <c r="I1857" s="196"/>
      <c r="J1857" s="192"/>
      <c r="K1857" s="204"/>
    </row>
    <row r="1858" spans="1:11">
      <c r="A1858" s="183"/>
      <c r="B1858" s="184"/>
      <c r="C1858" s="185"/>
      <c r="D1858" s="186"/>
      <c r="E1858" s="187"/>
      <c r="F1858" s="186"/>
      <c r="G1858" s="190"/>
      <c r="H1858" s="194"/>
      <c r="I1858" s="196"/>
      <c r="J1858" s="192"/>
      <c r="K1858" s="204"/>
    </row>
    <row r="1859" spans="1:11">
      <c r="A1859" s="186"/>
      <c r="B1859" s="184"/>
      <c r="C1859" s="185"/>
      <c r="D1859" s="186"/>
      <c r="E1859" s="187"/>
      <c r="F1859" s="188"/>
      <c r="G1859" s="181"/>
      <c r="H1859" s="194"/>
      <c r="I1859" s="196"/>
      <c r="J1859" s="192"/>
      <c r="K1859" s="204"/>
    </row>
    <row r="1860" spans="1:11">
      <c r="A1860" s="183"/>
      <c r="B1860" s="184"/>
      <c r="C1860" s="185"/>
      <c r="D1860" s="186"/>
      <c r="E1860" s="187"/>
      <c r="F1860" s="186"/>
      <c r="G1860" s="190"/>
      <c r="H1860" s="194"/>
      <c r="I1860" s="196"/>
      <c r="J1860" s="192"/>
      <c r="K1860" s="204"/>
    </row>
    <row r="1861" spans="1:11">
      <c r="A1861" s="186"/>
      <c r="B1861" s="184"/>
      <c r="C1861" s="185"/>
      <c r="D1861" s="186"/>
      <c r="E1861" s="187"/>
      <c r="F1861" s="188"/>
      <c r="G1861" s="181"/>
      <c r="H1861" s="194"/>
      <c r="I1861" s="196"/>
      <c r="J1861" s="192"/>
      <c r="K1861" s="204"/>
    </row>
    <row r="1862" spans="1:11">
      <c r="A1862" s="183"/>
      <c r="B1862" s="184"/>
      <c r="C1862" s="185"/>
      <c r="D1862" s="186"/>
      <c r="E1862" s="187"/>
      <c r="F1862" s="186"/>
      <c r="G1862" s="190"/>
      <c r="H1862" s="194"/>
      <c r="I1862" s="196"/>
      <c r="J1862" s="192"/>
      <c r="K1862" s="204"/>
    </row>
    <row r="1863" spans="1:11">
      <c r="A1863" s="186"/>
      <c r="B1863" s="184"/>
      <c r="C1863" s="185"/>
      <c r="D1863" s="186"/>
      <c r="E1863" s="187"/>
      <c r="F1863" s="188"/>
      <c r="G1863" s="181"/>
      <c r="H1863" s="194"/>
      <c r="I1863" s="196"/>
      <c r="J1863" s="192"/>
      <c r="K1863" s="204"/>
    </row>
    <row r="1864" spans="1:11">
      <c r="A1864" s="183"/>
      <c r="B1864" s="184"/>
      <c r="C1864" s="185"/>
      <c r="D1864" s="186"/>
      <c r="E1864" s="187"/>
      <c r="F1864" s="186"/>
      <c r="G1864" s="190"/>
      <c r="H1864" s="194"/>
      <c r="I1864" s="196"/>
      <c r="J1864" s="192"/>
      <c r="K1864" s="204"/>
    </row>
    <row r="1865" spans="1:11">
      <c r="A1865" s="186"/>
      <c r="B1865" s="184"/>
      <c r="C1865" s="185"/>
      <c r="D1865" s="186"/>
      <c r="E1865" s="187"/>
      <c r="F1865" s="188"/>
      <c r="G1865" s="181"/>
      <c r="H1865" s="194"/>
      <c r="I1865" s="196"/>
      <c r="J1865" s="192"/>
      <c r="K1865" s="204"/>
    </row>
    <row r="1866" spans="1:11">
      <c r="A1866" s="183"/>
      <c r="B1866" s="184"/>
      <c r="C1866" s="185"/>
      <c r="D1866" s="186"/>
      <c r="E1866" s="187"/>
      <c r="F1866" s="186"/>
      <c r="G1866" s="190"/>
      <c r="H1866" s="194"/>
      <c r="I1866" s="196"/>
      <c r="J1866" s="192"/>
      <c r="K1866" s="204"/>
    </row>
    <row r="1867" spans="1:11">
      <c r="A1867" s="186"/>
      <c r="B1867" s="184"/>
      <c r="C1867" s="185"/>
      <c r="D1867" s="186"/>
      <c r="E1867" s="187"/>
      <c r="F1867" s="188"/>
      <c r="G1867" s="181"/>
      <c r="H1867" s="194"/>
      <c r="I1867" s="196"/>
      <c r="J1867" s="192"/>
      <c r="K1867" s="204"/>
    </row>
    <row r="1868" spans="1:11">
      <c r="A1868" s="183"/>
      <c r="B1868" s="184"/>
      <c r="C1868" s="185"/>
      <c r="D1868" s="186"/>
      <c r="E1868" s="187"/>
      <c r="F1868" s="186"/>
      <c r="G1868" s="190"/>
      <c r="H1868" s="194"/>
      <c r="I1868" s="196"/>
      <c r="J1868" s="192"/>
      <c r="K1868" s="204"/>
    </row>
    <row r="1869" spans="1:11">
      <c r="A1869" s="186"/>
      <c r="B1869" s="184"/>
      <c r="C1869" s="185"/>
      <c r="D1869" s="186"/>
      <c r="E1869" s="187"/>
      <c r="F1869" s="188"/>
      <c r="G1869" s="181"/>
      <c r="H1869" s="194"/>
      <c r="I1869" s="196"/>
      <c r="J1869" s="192"/>
      <c r="K1869" s="204"/>
    </row>
    <row r="1870" spans="1:11">
      <c r="A1870" s="183"/>
      <c r="B1870" s="184"/>
      <c r="C1870" s="185"/>
      <c r="D1870" s="186"/>
      <c r="E1870" s="187"/>
      <c r="F1870" s="186"/>
      <c r="G1870" s="190"/>
      <c r="H1870" s="194"/>
      <c r="I1870" s="196"/>
      <c r="J1870" s="192"/>
      <c r="K1870" s="204"/>
    </row>
    <row r="1871" spans="1:11">
      <c r="A1871" s="186"/>
      <c r="B1871" s="184"/>
      <c r="C1871" s="185"/>
      <c r="D1871" s="186"/>
      <c r="E1871" s="187"/>
      <c r="F1871" s="188"/>
      <c r="G1871" s="181"/>
      <c r="H1871" s="194"/>
      <c r="I1871" s="196"/>
      <c r="J1871" s="192"/>
      <c r="K1871" s="204"/>
    </row>
    <row r="1872" spans="1:11">
      <c r="A1872" s="183"/>
      <c r="B1872" s="184"/>
      <c r="C1872" s="185"/>
      <c r="D1872" s="186"/>
      <c r="E1872" s="187"/>
      <c r="F1872" s="186"/>
      <c r="G1872" s="190"/>
      <c r="H1872" s="194"/>
      <c r="I1872" s="196"/>
      <c r="J1872" s="192"/>
      <c r="K1872" s="204"/>
    </row>
    <row r="1873" spans="1:11">
      <c r="A1873" s="186"/>
      <c r="B1873" s="184"/>
      <c r="C1873" s="185"/>
      <c r="D1873" s="186"/>
      <c r="E1873" s="187"/>
      <c r="F1873" s="188"/>
      <c r="G1873" s="181"/>
      <c r="H1873" s="194"/>
      <c r="I1873" s="196"/>
      <c r="J1873" s="192"/>
      <c r="K1873" s="204"/>
    </row>
    <row r="1874" spans="1:11">
      <c r="A1874" s="182"/>
      <c r="B1874" s="184"/>
      <c r="C1874" s="203"/>
      <c r="D1874" s="186"/>
      <c r="E1874" s="187"/>
      <c r="F1874" s="186"/>
      <c r="G1874" s="186"/>
      <c r="H1874" s="186"/>
      <c r="I1874" s="191"/>
      <c r="J1874" s="192"/>
      <c r="K1874" s="204"/>
    </row>
    <row r="1875" spans="1:11" ht="16" customHeight="1">
      <c r="A1875" s="183"/>
      <c r="B1875" s="184"/>
      <c r="C1875" s="203"/>
      <c r="D1875" s="186"/>
      <c r="E1875" s="187"/>
      <c r="F1875" s="186"/>
      <c r="G1875" s="186"/>
      <c r="H1875" s="186"/>
      <c r="I1875" s="191"/>
      <c r="J1875" s="192"/>
      <c r="K1875" s="204"/>
    </row>
    <row r="1876" spans="1:11">
      <c r="A1876" s="181"/>
      <c r="B1876" s="184"/>
      <c r="C1876" s="203"/>
      <c r="D1876" s="186"/>
      <c r="E1876" s="187"/>
      <c r="F1876" s="188"/>
      <c r="G1876" s="186"/>
      <c r="H1876" s="186"/>
      <c r="I1876" s="191"/>
      <c r="J1876" s="192"/>
      <c r="K1876" s="204"/>
    </row>
    <row r="1877" spans="1:11">
      <c r="A1877" s="183"/>
      <c r="B1877" s="184"/>
      <c r="C1877" s="203"/>
      <c r="D1877" s="186"/>
      <c r="E1877" s="198"/>
      <c r="F1877" s="186"/>
      <c r="G1877" s="186"/>
      <c r="H1877" s="194"/>
      <c r="I1877" s="196"/>
      <c r="J1877" s="192"/>
      <c r="K1877" s="204"/>
    </row>
    <row r="1878" spans="1:11">
      <c r="A1878" s="186"/>
      <c r="B1878" s="184"/>
      <c r="C1878" s="203"/>
      <c r="D1878" s="186"/>
      <c r="E1878" s="198"/>
      <c r="F1878" s="186"/>
      <c r="G1878" s="186"/>
      <c r="H1878" s="194"/>
      <c r="I1878" s="196"/>
      <c r="J1878" s="192"/>
      <c r="K1878" s="204"/>
    </row>
    <row r="1879" spans="1:11">
      <c r="A1879" s="183"/>
      <c r="B1879" s="184"/>
      <c r="C1879" s="185"/>
      <c r="D1879" s="186"/>
      <c r="E1879" s="187"/>
      <c r="F1879" s="186"/>
      <c r="G1879" s="190"/>
      <c r="H1879" s="194"/>
      <c r="I1879" s="196"/>
      <c r="J1879" s="192"/>
      <c r="K1879" s="204"/>
    </row>
    <row r="1880" spans="1:11">
      <c r="A1880" s="186"/>
      <c r="B1880" s="184"/>
      <c r="C1880" s="185"/>
      <c r="D1880" s="186"/>
      <c r="E1880" s="187"/>
      <c r="F1880" s="188"/>
      <c r="G1880" s="181"/>
      <c r="H1880" s="194"/>
      <c r="I1880" s="196"/>
      <c r="J1880" s="192"/>
      <c r="K1880" s="204"/>
    </row>
    <row r="1881" spans="1:11">
      <c r="A1881" s="182"/>
      <c r="B1881" s="184"/>
      <c r="C1881" s="203"/>
      <c r="D1881" s="186"/>
      <c r="E1881" s="198"/>
      <c r="F1881" s="186"/>
      <c r="G1881" s="186"/>
      <c r="H1881" s="186"/>
      <c r="I1881" s="191"/>
      <c r="J1881" s="192"/>
      <c r="K1881" s="204"/>
    </row>
    <row r="1882" spans="1:11">
      <c r="A1882" s="183"/>
      <c r="B1882" s="184"/>
      <c r="C1882" s="203"/>
      <c r="D1882" s="186"/>
      <c r="E1882" s="198"/>
      <c r="F1882" s="186"/>
      <c r="G1882" s="186"/>
      <c r="H1882" s="186"/>
      <c r="I1882" s="191"/>
      <c r="J1882" s="192"/>
      <c r="K1882" s="204"/>
    </row>
    <row r="1883" spans="1:11">
      <c r="A1883" s="186"/>
      <c r="B1883" s="184"/>
      <c r="C1883" s="203"/>
      <c r="D1883" s="186"/>
      <c r="E1883" s="198"/>
      <c r="F1883" s="186"/>
      <c r="G1883" s="186"/>
      <c r="H1883" s="186"/>
      <c r="I1883" s="191"/>
      <c r="J1883" s="192"/>
      <c r="K1883" s="204"/>
    </row>
    <row r="1884" spans="1:11">
      <c r="A1884" s="182"/>
      <c r="B1884" s="184"/>
      <c r="C1884" s="203"/>
      <c r="D1884" s="186"/>
      <c r="E1884" s="198"/>
      <c r="F1884" s="186"/>
      <c r="G1884" s="186"/>
      <c r="H1884" s="186"/>
      <c r="I1884" s="191"/>
      <c r="J1884" s="192"/>
      <c r="K1884" s="204"/>
    </row>
    <row r="1885" spans="1:11">
      <c r="A1885" s="183"/>
      <c r="B1885" s="184"/>
      <c r="C1885" s="203"/>
      <c r="D1885" s="186"/>
      <c r="E1885" s="198"/>
      <c r="F1885" s="186"/>
      <c r="G1885" s="186"/>
      <c r="H1885" s="186"/>
      <c r="I1885" s="191"/>
      <c r="J1885" s="192"/>
      <c r="K1885" s="204"/>
    </row>
    <row r="1886" spans="1:11">
      <c r="A1886" s="186"/>
      <c r="B1886" s="184"/>
      <c r="C1886" s="203"/>
      <c r="D1886" s="186"/>
      <c r="E1886" s="198"/>
      <c r="F1886" s="186"/>
      <c r="G1886" s="186"/>
      <c r="H1886" s="186"/>
      <c r="I1886" s="191"/>
      <c r="J1886" s="192"/>
      <c r="K1886" s="204"/>
    </row>
    <row r="1887" spans="1:11" ht="24" customHeight="1">
      <c r="A1887" s="183"/>
      <c r="B1887" s="184"/>
      <c r="C1887" s="203"/>
      <c r="D1887" s="186"/>
      <c r="E1887" s="198"/>
      <c r="F1887" s="186"/>
      <c r="G1887" s="186"/>
      <c r="H1887" s="186"/>
      <c r="I1887" s="196"/>
      <c r="J1887" s="192"/>
      <c r="K1887" s="204"/>
    </row>
    <row r="1888" spans="1:11">
      <c r="A1888" s="186"/>
      <c r="B1888" s="184"/>
      <c r="C1888" s="203"/>
      <c r="D1888" s="186"/>
      <c r="E1888" s="198"/>
      <c r="F1888" s="186"/>
      <c r="G1888" s="186"/>
      <c r="H1888" s="181"/>
      <c r="I1888" s="196"/>
      <c r="J1888" s="192"/>
      <c r="K1888" s="204"/>
    </row>
    <row r="1889" spans="1:11">
      <c r="A1889" s="182"/>
      <c r="B1889" s="184"/>
      <c r="C1889" s="203"/>
      <c r="D1889" s="186"/>
      <c r="E1889" s="198"/>
      <c r="F1889" s="186"/>
      <c r="G1889" s="186"/>
      <c r="H1889" s="186"/>
      <c r="I1889" s="191"/>
      <c r="J1889" s="192"/>
      <c r="K1889" s="204"/>
    </row>
    <row r="1890" spans="1:11">
      <c r="A1890" s="183"/>
      <c r="B1890" s="184"/>
      <c r="C1890" s="203"/>
      <c r="D1890" s="186"/>
      <c r="E1890" s="198"/>
      <c r="F1890" s="186"/>
      <c r="G1890" s="186"/>
      <c r="H1890" s="186"/>
      <c r="I1890" s="191"/>
      <c r="J1890" s="192"/>
      <c r="K1890" s="204"/>
    </row>
    <row r="1891" spans="1:11">
      <c r="A1891" s="186"/>
      <c r="B1891" s="184"/>
      <c r="C1891" s="203"/>
      <c r="D1891" s="186"/>
      <c r="E1891" s="198"/>
      <c r="F1891" s="186"/>
      <c r="G1891" s="186"/>
      <c r="H1891" s="186"/>
      <c r="I1891" s="191"/>
      <c r="J1891" s="192"/>
      <c r="K1891" s="204"/>
    </row>
    <row r="1892" spans="1:11">
      <c r="A1892" s="183"/>
      <c r="B1892" s="184"/>
      <c r="C1892" s="185"/>
      <c r="D1892" s="186"/>
      <c r="E1892" s="187"/>
      <c r="F1892" s="186"/>
      <c r="G1892" s="190"/>
      <c r="H1892" s="194"/>
      <c r="I1892" s="196"/>
      <c r="J1892" s="192"/>
      <c r="K1892" s="204"/>
    </row>
    <row r="1893" spans="1:11">
      <c r="A1893" s="186"/>
      <c r="B1893" s="184"/>
      <c r="C1893" s="185"/>
      <c r="D1893" s="186"/>
      <c r="E1893" s="187"/>
      <c r="F1893" s="188"/>
      <c r="G1893" s="181"/>
      <c r="H1893" s="194"/>
      <c r="I1893" s="196"/>
      <c r="J1893" s="192"/>
      <c r="K1893" s="204"/>
    </row>
    <row r="1894" spans="1:11">
      <c r="A1894" s="183"/>
      <c r="B1894" s="184"/>
      <c r="C1894" s="203"/>
      <c r="D1894" s="186"/>
      <c r="E1894" s="198"/>
      <c r="F1894" s="186"/>
      <c r="G1894" s="186"/>
      <c r="H1894" s="194"/>
      <c r="I1894" s="196"/>
      <c r="J1894" s="192"/>
      <c r="K1894" s="204"/>
    </row>
    <row r="1895" spans="1:11">
      <c r="A1895" s="186"/>
      <c r="B1895" s="184"/>
      <c r="C1895" s="203"/>
      <c r="D1895" s="186"/>
      <c r="E1895" s="198"/>
      <c r="F1895" s="186"/>
      <c r="G1895" s="186"/>
      <c r="H1895" s="194"/>
      <c r="I1895" s="196"/>
      <c r="J1895" s="192"/>
      <c r="K1895" s="204"/>
    </row>
    <row r="1896" spans="1:11">
      <c r="A1896" s="183"/>
      <c r="B1896" s="184"/>
      <c r="C1896" s="203"/>
      <c r="D1896" s="186"/>
      <c r="E1896" s="187"/>
      <c r="F1896" s="186"/>
      <c r="G1896" s="190"/>
      <c r="H1896" s="186"/>
      <c r="I1896" s="196"/>
      <c r="J1896" s="192"/>
      <c r="K1896" s="204"/>
    </row>
    <row r="1897" spans="1:11">
      <c r="A1897" s="186"/>
      <c r="B1897" s="184"/>
      <c r="C1897" s="203"/>
      <c r="D1897" s="186"/>
      <c r="E1897" s="187"/>
      <c r="F1897" s="188"/>
      <c r="G1897" s="181"/>
      <c r="H1897" s="181"/>
      <c r="I1897" s="196"/>
      <c r="J1897" s="192"/>
      <c r="K1897" s="204"/>
    </row>
    <row r="1898" spans="1:11">
      <c r="A1898" s="183"/>
      <c r="B1898" s="184"/>
      <c r="C1898" s="189"/>
      <c r="D1898" s="200"/>
      <c r="E1898" s="198"/>
      <c r="F1898" s="186"/>
      <c r="G1898" s="186"/>
      <c r="H1898" s="186"/>
      <c r="I1898" s="196"/>
      <c r="J1898" s="192"/>
      <c r="K1898" s="204"/>
    </row>
    <row r="1899" spans="1:11" ht="14" customHeight="1">
      <c r="A1899" s="186"/>
      <c r="B1899" s="184"/>
      <c r="C1899" s="189"/>
      <c r="D1899" s="200"/>
      <c r="E1899" s="198"/>
      <c r="F1899" s="186"/>
      <c r="G1899" s="186"/>
      <c r="H1899" s="181"/>
      <c r="I1899" s="196"/>
      <c r="J1899" s="192"/>
      <c r="K1899" s="204"/>
    </row>
    <row r="1900" spans="1:11">
      <c r="A1900" s="183"/>
      <c r="B1900" s="184"/>
      <c r="C1900" s="185"/>
      <c r="D1900" s="186"/>
      <c r="E1900" s="187"/>
      <c r="F1900" s="186"/>
      <c r="G1900" s="190"/>
      <c r="H1900" s="194"/>
      <c r="I1900" s="196"/>
      <c r="J1900" s="192"/>
      <c r="K1900" s="204"/>
    </row>
    <row r="1901" spans="1:11">
      <c r="A1901" s="186"/>
      <c r="B1901" s="184"/>
      <c r="C1901" s="185"/>
      <c r="D1901" s="186"/>
      <c r="E1901" s="187"/>
      <c r="F1901" s="188"/>
      <c r="G1901" s="181"/>
      <c r="H1901" s="194"/>
      <c r="I1901" s="196"/>
      <c r="J1901" s="192"/>
      <c r="K1901" s="204"/>
    </row>
    <row r="1902" spans="1:11" ht="14" customHeight="1">
      <c r="A1902" s="183"/>
      <c r="B1902" s="184"/>
      <c r="C1902" s="185"/>
      <c r="D1902" s="186"/>
      <c r="E1902" s="187"/>
      <c r="F1902" s="186"/>
      <c r="G1902" s="190"/>
      <c r="H1902" s="194"/>
      <c r="I1902" s="196"/>
      <c r="J1902" s="192"/>
      <c r="K1902" s="204"/>
    </row>
    <row r="1903" spans="1:11">
      <c r="A1903" s="186"/>
      <c r="B1903" s="184"/>
      <c r="C1903" s="185"/>
      <c r="D1903" s="186"/>
      <c r="E1903" s="187"/>
      <c r="F1903" s="188"/>
      <c r="G1903" s="181"/>
      <c r="H1903" s="194"/>
      <c r="I1903" s="196"/>
      <c r="J1903" s="192"/>
      <c r="K1903" s="204"/>
    </row>
    <row r="1904" spans="1:11">
      <c r="A1904" s="183"/>
      <c r="B1904" s="184"/>
      <c r="C1904" s="189"/>
      <c r="D1904" s="200"/>
      <c r="E1904" s="198"/>
      <c r="F1904" s="186"/>
      <c r="G1904" s="186"/>
      <c r="H1904" s="194"/>
      <c r="I1904" s="196"/>
      <c r="J1904" s="192"/>
      <c r="K1904" s="204"/>
    </row>
    <row r="1905" spans="1:11" ht="14" customHeight="1">
      <c r="A1905" s="199"/>
      <c r="B1905" s="184"/>
      <c r="C1905" s="189"/>
      <c r="D1905" s="200"/>
      <c r="E1905" s="198"/>
      <c r="F1905" s="186"/>
      <c r="G1905" s="186"/>
      <c r="H1905" s="194"/>
      <c r="I1905" s="196"/>
      <c r="J1905" s="192"/>
      <c r="K1905" s="204"/>
    </row>
    <row r="1906" spans="1:11">
      <c r="A1906" s="183"/>
      <c r="B1906" s="184"/>
      <c r="C1906" s="185"/>
      <c r="D1906" s="186"/>
      <c r="E1906" s="187"/>
      <c r="F1906" s="186"/>
      <c r="G1906" s="190"/>
      <c r="H1906" s="194"/>
      <c r="I1906" s="196"/>
      <c r="J1906" s="192"/>
      <c r="K1906" s="204"/>
    </row>
    <row r="1907" spans="1:11">
      <c r="A1907" s="186"/>
      <c r="B1907" s="184"/>
      <c r="C1907" s="185"/>
      <c r="D1907" s="186"/>
      <c r="E1907" s="187"/>
      <c r="F1907" s="188"/>
      <c r="G1907" s="181"/>
      <c r="H1907" s="194"/>
      <c r="I1907" s="196"/>
      <c r="J1907" s="192"/>
      <c r="K1907" s="204"/>
    </row>
    <row r="1908" spans="1:11">
      <c r="A1908" s="183"/>
      <c r="B1908" s="184"/>
      <c r="C1908" s="185"/>
      <c r="D1908" s="186"/>
      <c r="E1908" s="187"/>
      <c r="F1908" s="186"/>
      <c r="G1908" s="190"/>
      <c r="H1908" s="194"/>
      <c r="I1908" s="196"/>
      <c r="J1908" s="192"/>
      <c r="K1908" s="204"/>
    </row>
    <row r="1909" spans="1:11">
      <c r="A1909" s="186"/>
      <c r="B1909" s="184"/>
      <c r="C1909" s="185"/>
      <c r="D1909" s="186"/>
      <c r="E1909" s="187"/>
      <c r="F1909" s="188"/>
      <c r="G1909" s="181"/>
      <c r="H1909" s="194"/>
      <c r="I1909" s="196"/>
      <c r="J1909" s="192"/>
      <c r="K1909" s="204"/>
    </row>
    <row r="1910" spans="1:11">
      <c r="A1910" s="183"/>
      <c r="B1910" s="184"/>
      <c r="C1910" s="185"/>
      <c r="D1910" s="186"/>
      <c r="E1910" s="187"/>
      <c r="F1910" s="186"/>
      <c r="G1910" s="190"/>
      <c r="H1910" s="194"/>
      <c r="I1910" s="196"/>
      <c r="J1910" s="192"/>
      <c r="K1910" s="204"/>
    </row>
    <row r="1911" spans="1:11" ht="16" customHeight="1">
      <c r="A1911" s="186"/>
      <c r="B1911" s="184"/>
      <c r="C1911" s="185"/>
      <c r="D1911" s="186"/>
      <c r="E1911" s="187"/>
      <c r="F1911" s="188"/>
      <c r="G1911" s="181"/>
      <c r="H1911" s="194"/>
      <c r="I1911" s="196"/>
      <c r="J1911" s="192"/>
      <c r="K1911" s="204"/>
    </row>
    <row r="1912" spans="1:11">
      <c r="A1912" s="183"/>
      <c r="B1912" s="184"/>
      <c r="C1912" s="185"/>
      <c r="D1912" s="186"/>
      <c r="E1912" s="187"/>
      <c r="F1912" s="186"/>
      <c r="G1912" s="190"/>
      <c r="H1912" s="194"/>
      <c r="I1912" s="196"/>
      <c r="J1912" s="192"/>
      <c r="K1912" s="204"/>
    </row>
    <row r="1913" spans="1:11">
      <c r="A1913" s="186"/>
      <c r="B1913" s="184"/>
      <c r="C1913" s="185"/>
      <c r="D1913" s="186"/>
      <c r="E1913" s="187"/>
      <c r="F1913" s="188"/>
      <c r="G1913" s="181"/>
      <c r="H1913" s="194"/>
      <c r="I1913" s="196"/>
      <c r="J1913" s="192"/>
      <c r="K1913" s="204"/>
    </row>
    <row r="1914" spans="1:11" ht="16" customHeight="1">
      <c r="A1914" s="183"/>
      <c r="B1914" s="184"/>
      <c r="C1914" s="197"/>
      <c r="D1914" s="186"/>
      <c r="E1914" s="198"/>
      <c r="F1914" s="186"/>
      <c r="G1914" s="186"/>
      <c r="H1914" s="194"/>
      <c r="I1914" s="196"/>
      <c r="J1914" s="192"/>
      <c r="K1914" s="204"/>
    </row>
    <row r="1915" spans="1:11">
      <c r="A1915" s="186"/>
      <c r="B1915" s="184"/>
      <c r="C1915" s="197"/>
      <c r="D1915" s="186"/>
      <c r="E1915" s="198"/>
      <c r="F1915" s="186"/>
      <c r="G1915" s="186"/>
      <c r="H1915" s="194"/>
      <c r="I1915" s="196"/>
      <c r="J1915" s="192"/>
      <c r="K1915" s="204"/>
    </row>
    <row r="1916" spans="1:11">
      <c r="A1916" s="183"/>
      <c r="B1916" s="184"/>
      <c r="C1916" s="203"/>
      <c r="D1916" s="186"/>
      <c r="E1916" s="198"/>
      <c r="F1916" s="186"/>
      <c r="G1916" s="186"/>
      <c r="H1916" s="186"/>
      <c r="I1916" s="196"/>
      <c r="J1916" s="192"/>
      <c r="K1916" s="204"/>
    </row>
    <row r="1917" spans="1:11" ht="24" customHeight="1">
      <c r="A1917" s="186"/>
      <c r="B1917" s="184"/>
      <c r="C1917" s="203"/>
      <c r="D1917" s="186"/>
      <c r="E1917" s="198"/>
      <c r="F1917" s="186"/>
      <c r="G1917" s="186"/>
      <c r="H1917" s="181"/>
      <c r="I1917" s="196"/>
      <c r="J1917" s="192"/>
      <c r="K1917" s="204"/>
    </row>
    <row r="1918" spans="1:11">
      <c r="A1918" s="183"/>
      <c r="B1918" s="184"/>
      <c r="C1918" s="185"/>
      <c r="D1918" s="186"/>
      <c r="E1918" s="187"/>
      <c r="F1918" s="186"/>
      <c r="G1918" s="190"/>
      <c r="H1918" s="194"/>
      <c r="I1918" s="196"/>
      <c r="J1918" s="192"/>
      <c r="K1918" s="204"/>
    </row>
    <row r="1919" spans="1:11">
      <c r="A1919" s="186"/>
      <c r="B1919" s="184"/>
      <c r="C1919" s="185"/>
      <c r="D1919" s="186"/>
      <c r="E1919" s="187"/>
      <c r="F1919" s="188"/>
      <c r="G1919" s="181"/>
      <c r="H1919" s="194"/>
      <c r="I1919" s="196"/>
      <c r="J1919" s="192"/>
      <c r="K1919" s="204"/>
    </row>
    <row r="1920" spans="1:11" ht="24" customHeight="1">
      <c r="A1920" s="183"/>
      <c r="B1920" s="184"/>
      <c r="C1920" s="185"/>
      <c r="D1920" s="186"/>
      <c r="E1920" s="187"/>
      <c r="F1920" s="186"/>
      <c r="G1920" s="190"/>
      <c r="H1920" s="194"/>
      <c r="I1920" s="196"/>
      <c r="J1920" s="192"/>
      <c r="K1920" s="204"/>
    </row>
    <row r="1921" spans="1:11">
      <c r="A1921" s="186"/>
      <c r="B1921" s="184"/>
      <c r="C1921" s="185"/>
      <c r="D1921" s="186"/>
      <c r="E1921" s="187"/>
      <c r="F1921" s="188"/>
      <c r="G1921" s="181"/>
      <c r="H1921" s="194"/>
      <c r="I1921" s="196"/>
      <c r="J1921" s="192"/>
      <c r="K1921" s="204"/>
    </row>
    <row r="1922" spans="1:11">
      <c r="A1922" s="183"/>
      <c r="B1922" s="184"/>
      <c r="C1922" s="185"/>
      <c r="D1922" s="186"/>
      <c r="E1922" s="187"/>
      <c r="F1922" s="186"/>
      <c r="G1922" s="190"/>
      <c r="H1922" s="194"/>
      <c r="I1922" s="196"/>
      <c r="J1922" s="192"/>
      <c r="K1922" s="204"/>
    </row>
    <row r="1923" spans="1:11" ht="16" customHeight="1">
      <c r="A1923" s="186"/>
      <c r="B1923" s="184"/>
      <c r="C1923" s="185"/>
      <c r="D1923" s="186"/>
      <c r="E1923" s="187"/>
      <c r="F1923" s="188"/>
      <c r="G1923" s="181"/>
      <c r="H1923" s="194"/>
      <c r="I1923" s="196"/>
      <c r="J1923" s="192"/>
      <c r="K1923" s="204"/>
    </row>
    <row r="1924" spans="1:11">
      <c r="A1924" s="183"/>
      <c r="B1924" s="184"/>
      <c r="C1924" s="185"/>
      <c r="D1924" s="186"/>
      <c r="E1924" s="187"/>
      <c r="F1924" s="186"/>
      <c r="G1924" s="190"/>
      <c r="H1924" s="194"/>
      <c r="I1924" s="196"/>
      <c r="J1924" s="192"/>
      <c r="K1924" s="204"/>
    </row>
    <row r="1925" spans="1:11">
      <c r="A1925" s="186"/>
      <c r="B1925" s="184"/>
      <c r="C1925" s="185"/>
      <c r="D1925" s="186"/>
      <c r="E1925" s="187"/>
      <c r="F1925" s="188"/>
      <c r="G1925" s="181"/>
      <c r="H1925" s="194"/>
      <c r="I1925" s="196"/>
      <c r="J1925" s="192"/>
      <c r="K1925" s="204"/>
    </row>
    <row r="1926" spans="1:11" ht="16" customHeight="1">
      <c r="A1926" s="183"/>
      <c r="B1926" s="184"/>
      <c r="C1926" s="203"/>
      <c r="D1926" s="186"/>
      <c r="E1926" s="198"/>
      <c r="F1926" s="186"/>
      <c r="G1926" s="186"/>
      <c r="H1926" s="194"/>
      <c r="I1926" s="196"/>
      <c r="J1926" s="192"/>
      <c r="K1926" s="204"/>
    </row>
    <row r="1927" spans="1:11">
      <c r="A1927" s="186"/>
      <c r="B1927" s="184"/>
      <c r="C1927" s="203"/>
      <c r="D1927" s="186"/>
      <c r="E1927" s="198"/>
      <c r="F1927" s="186"/>
      <c r="G1927" s="186"/>
      <c r="H1927" s="194"/>
      <c r="I1927" s="196"/>
      <c r="J1927" s="192"/>
      <c r="K1927" s="204"/>
    </row>
    <row r="1928" spans="1:11">
      <c r="A1928" s="183"/>
      <c r="B1928" s="184"/>
      <c r="C1928" s="185"/>
      <c r="D1928" s="186"/>
      <c r="E1928" s="187"/>
      <c r="F1928" s="186"/>
      <c r="G1928" s="190"/>
      <c r="H1928" s="194"/>
      <c r="I1928" s="196"/>
      <c r="J1928" s="192"/>
      <c r="K1928" s="204"/>
    </row>
    <row r="1929" spans="1:11" ht="24" customHeight="1">
      <c r="A1929" s="186"/>
      <c r="B1929" s="184"/>
      <c r="C1929" s="185"/>
      <c r="D1929" s="186"/>
      <c r="E1929" s="187"/>
      <c r="F1929" s="188"/>
      <c r="G1929" s="181"/>
      <c r="H1929" s="194"/>
      <c r="I1929" s="196"/>
      <c r="J1929" s="192"/>
      <c r="K1929" s="204"/>
    </row>
    <row r="1930" spans="1:11">
      <c r="A1930" s="183"/>
      <c r="B1930" s="184"/>
      <c r="C1930" s="185"/>
      <c r="D1930" s="186"/>
      <c r="E1930" s="187"/>
      <c r="F1930" s="186"/>
      <c r="G1930" s="190"/>
      <c r="H1930" s="194"/>
      <c r="I1930" s="196"/>
      <c r="J1930" s="192"/>
      <c r="K1930" s="204"/>
    </row>
    <row r="1931" spans="1:11">
      <c r="A1931" s="186"/>
      <c r="B1931" s="184"/>
      <c r="C1931" s="185"/>
      <c r="D1931" s="186"/>
      <c r="E1931" s="187"/>
      <c r="F1931" s="188"/>
      <c r="G1931" s="181"/>
      <c r="H1931" s="194"/>
      <c r="I1931" s="196"/>
      <c r="J1931" s="192"/>
      <c r="K1931" s="204"/>
    </row>
    <row r="1932" spans="1:11" ht="24" customHeight="1">
      <c r="A1932" s="182"/>
      <c r="B1932" s="184"/>
      <c r="C1932" s="185"/>
      <c r="D1932" s="186"/>
      <c r="E1932" s="187"/>
      <c r="F1932" s="186"/>
      <c r="G1932" s="189"/>
      <c r="H1932" s="186"/>
      <c r="I1932" s="191"/>
      <c r="J1932" s="192"/>
      <c r="K1932" s="204"/>
    </row>
    <row r="1933" spans="1:11">
      <c r="A1933" s="183"/>
      <c r="B1933" s="184"/>
      <c r="C1933" s="185"/>
      <c r="D1933" s="186"/>
      <c r="E1933" s="187"/>
      <c r="F1933" s="186"/>
      <c r="G1933" s="190"/>
      <c r="H1933" s="186"/>
      <c r="I1933" s="191"/>
      <c r="J1933" s="192"/>
      <c r="K1933" s="204"/>
    </row>
    <row r="1934" spans="1:11">
      <c r="A1934" s="181"/>
      <c r="B1934" s="184"/>
      <c r="C1934" s="185"/>
      <c r="D1934" s="186"/>
      <c r="E1934" s="187"/>
      <c r="F1934" s="188"/>
      <c r="G1934" s="181"/>
      <c r="H1934" s="186"/>
      <c r="I1934" s="191"/>
      <c r="J1934" s="192"/>
      <c r="K1934" s="204"/>
    </row>
    <row r="1935" spans="1:11">
      <c r="A1935" s="183"/>
      <c r="B1935" s="184"/>
      <c r="C1935" s="185"/>
      <c r="D1935" s="186"/>
      <c r="E1935" s="187"/>
      <c r="F1935" s="186"/>
      <c r="G1935" s="190"/>
      <c r="H1935" s="194"/>
      <c r="I1935" s="196"/>
      <c r="J1935" s="192"/>
      <c r="K1935" s="204"/>
    </row>
    <row r="1936" spans="1:11">
      <c r="A1936" s="186"/>
      <c r="B1936" s="184"/>
      <c r="C1936" s="185"/>
      <c r="D1936" s="186"/>
      <c r="E1936" s="187"/>
      <c r="F1936" s="188"/>
      <c r="G1936" s="181"/>
      <c r="H1936" s="194"/>
      <c r="I1936" s="196"/>
      <c r="J1936" s="192"/>
      <c r="K1936" s="204"/>
    </row>
    <row r="1937" spans="1:11">
      <c r="A1937" s="183"/>
      <c r="B1937" s="184"/>
      <c r="C1937" s="185"/>
      <c r="D1937" s="186"/>
      <c r="E1937" s="187"/>
      <c r="F1937" s="186"/>
      <c r="G1937" s="190"/>
      <c r="H1937" s="194"/>
      <c r="I1937" s="196"/>
      <c r="J1937" s="192"/>
      <c r="K1937" s="204"/>
    </row>
    <row r="1938" spans="1:11" ht="21" customHeight="1">
      <c r="A1938" s="186"/>
      <c r="B1938" s="184"/>
      <c r="C1938" s="185"/>
      <c r="D1938" s="186"/>
      <c r="E1938" s="187"/>
      <c r="F1938" s="188"/>
      <c r="G1938" s="181"/>
      <c r="H1938" s="194"/>
      <c r="I1938" s="196"/>
      <c r="J1938" s="192"/>
      <c r="K1938" s="204"/>
    </row>
    <row r="1939" spans="1:11">
      <c r="A1939" s="183"/>
      <c r="B1939" s="184"/>
      <c r="C1939" s="185"/>
      <c r="D1939" s="186"/>
      <c r="E1939" s="187"/>
      <c r="F1939" s="186"/>
      <c r="G1939" s="190"/>
      <c r="H1939" s="194"/>
      <c r="I1939" s="196"/>
      <c r="J1939" s="192"/>
      <c r="K1939" s="204"/>
    </row>
    <row r="1940" spans="1:11">
      <c r="A1940" s="186"/>
      <c r="B1940" s="184"/>
      <c r="C1940" s="185"/>
      <c r="D1940" s="186"/>
      <c r="E1940" s="187"/>
      <c r="F1940" s="188"/>
      <c r="G1940" s="181"/>
      <c r="H1940" s="194"/>
      <c r="I1940" s="196"/>
      <c r="J1940" s="192"/>
      <c r="K1940" s="204"/>
    </row>
    <row r="1941" spans="1:11">
      <c r="A1941" s="183"/>
      <c r="B1941" s="184"/>
      <c r="C1941" s="189"/>
      <c r="D1941" s="200"/>
      <c r="E1941" s="198"/>
      <c r="F1941" s="186"/>
      <c r="G1941" s="186"/>
      <c r="H1941" s="194"/>
      <c r="I1941" s="196"/>
      <c r="J1941" s="192"/>
      <c r="K1941" s="204"/>
    </row>
    <row r="1942" spans="1:11">
      <c r="A1942" s="199"/>
      <c r="B1942" s="184"/>
      <c r="C1942" s="189"/>
      <c r="D1942" s="200"/>
      <c r="E1942" s="198"/>
      <c r="F1942" s="186"/>
      <c r="G1942" s="186"/>
      <c r="H1942" s="194"/>
      <c r="I1942" s="196"/>
      <c r="J1942" s="192"/>
      <c r="K1942" s="204"/>
    </row>
    <row r="1943" spans="1:11">
      <c r="A1943" s="183"/>
      <c r="B1943" s="184"/>
      <c r="C1943" s="185"/>
      <c r="D1943" s="186"/>
      <c r="E1943" s="187"/>
      <c r="F1943" s="186"/>
      <c r="G1943" s="190"/>
      <c r="H1943" s="194"/>
      <c r="I1943" s="196"/>
      <c r="J1943" s="192"/>
      <c r="K1943" s="204"/>
    </row>
    <row r="1944" spans="1:11">
      <c r="A1944" s="186"/>
      <c r="B1944" s="184"/>
      <c r="C1944" s="185"/>
      <c r="D1944" s="186"/>
      <c r="E1944" s="187"/>
      <c r="F1944" s="188"/>
      <c r="G1944" s="181"/>
      <c r="H1944" s="194"/>
      <c r="I1944" s="196"/>
      <c r="J1944" s="192"/>
      <c r="K1944" s="204"/>
    </row>
    <row r="1945" spans="1:11">
      <c r="A1945" s="183"/>
      <c r="B1945" s="184"/>
      <c r="C1945" s="185"/>
      <c r="D1945" s="186"/>
      <c r="E1945" s="187"/>
      <c r="F1945" s="186"/>
      <c r="G1945" s="186"/>
      <c r="H1945" s="194"/>
      <c r="I1945" s="196"/>
      <c r="J1945" s="192"/>
      <c r="K1945" s="204"/>
    </row>
    <row r="1946" spans="1:11">
      <c r="A1946" s="186"/>
      <c r="B1946" s="184"/>
      <c r="C1946" s="185"/>
      <c r="D1946" s="186"/>
      <c r="E1946" s="187"/>
      <c r="F1946" s="188"/>
      <c r="G1946" s="186"/>
      <c r="H1946" s="194"/>
      <c r="I1946" s="196"/>
      <c r="J1946" s="192"/>
      <c r="K1946" s="204"/>
    </row>
    <row r="1947" spans="1:11" ht="24" customHeight="1">
      <c r="A1947" s="183"/>
      <c r="B1947" s="184"/>
      <c r="C1947" s="185"/>
      <c r="D1947" s="186"/>
      <c r="E1947" s="187"/>
      <c r="F1947" s="186"/>
      <c r="G1947" s="190"/>
      <c r="H1947" s="194"/>
      <c r="I1947" s="196"/>
      <c r="J1947" s="192"/>
      <c r="K1947" s="204"/>
    </row>
    <row r="1948" spans="1:11">
      <c r="A1948" s="186"/>
      <c r="B1948" s="184"/>
      <c r="C1948" s="185"/>
      <c r="D1948" s="186"/>
      <c r="E1948" s="187"/>
      <c r="F1948" s="188"/>
      <c r="G1948" s="181"/>
      <c r="H1948" s="194"/>
      <c r="I1948" s="196"/>
      <c r="J1948" s="192"/>
      <c r="K1948" s="204"/>
    </row>
    <row r="1949" spans="1:11">
      <c r="A1949" s="183"/>
      <c r="B1949" s="184"/>
      <c r="C1949" s="185"/>
      <c r="D1949" s="186"/>
      <c r="E1949" s="187"/>
      <c r="F1949" s="186"/>
      <c r="G1949" s="190"/>
      <c r="H1949" s="194"/>
      <c r="I1949" s="196"/>
      <c r="J1949" s="192"/>
      <c r="K1949" s="204"/>
    </row>
    <row r="1950" spans="1:11">
      <c r="A1950" s="186"/>
      <c r="B1950" s="184"/>
      <c r="C1950" s="185"/>
      <c r="D1950" s="186"/>
      <c r="E1950" s="187"/>
      <c r="F1950" s="188"/>
      <c r="G1950" s="181"/>
      <c r="H1950" s="194"/>
      <c r="I1950" s="196"/>
      <c r="J1950" s="192"/>
      <c r="K1950" s="204"/>
    </row>
    <row r="1951" spans="1:11">
      <c r="A1951" s="183"/>
      <c r="B1951" s="184"/>
      <c r="C1951" s="203"/>
      <c r="D1951" s="186"/>
      <c r="E1951" s="198"/>
      <c r="F1951" s="186"/>
      <c r="G1951" s="186"/>
      <c r="H1951" s="194"/>
      <c r="I1951" s="196"/>
      <c r="J1951" s="192"/>
      <c r="K1951" s="204"/>
    </row>
    <row r="1952" spans="1:11">
      <c r="A1952" s="186"/>
      <c r="B1952" s="184"/>
      <c r="C1952" s="203"/>
      <c r="D1952" s="186"/>
      <c r="E1952" s="198"/>
      <c r="F1952" s="186"/>
      <c r="G1952" s="186"/>
      <c r="H1952" s="194"/>
      <c r="I1952" s="196"/>
      <c r="J1952" s="192"/>
      <c r="K1952" s="204"/>
    </row>
    <row r="1953" spans="1:11" ht="21" customHeight="1">
      <c r="A1953" s="183"/>
      <c r="B1953" s="184"/>
      <c r="C1953" s="185"/>
      <c r="D1953" s="186"/>
      <c r="E1953" s="187"/>
      <c r="F1953" s="186"/>
      <c r="G1953" s="190"/>
      <c r="H1953" s="194"/>
      <c r="I1953" s="196"/>
      <c r="J1953" s="192"/>
      <c r="K1953" s="204"/>
    </row>
    <row r="1954" spans="1:11">
      <c r="A1954" s="186"/>
      <c r="B1954" s="184"/>
      <c r="C1954" s="185"/>
      <c r="D1954" s="186"/>
      <c r="E1954" s="187"/>
      <c r="F1954" s="188"/>
      <c r="G1954" s="181"/>
      <c r="H1954" s="194"/>
      <c r="I1954" s="196"/>
      <c r="J1954" s="192"/>
      <c r="K1954" s="204"/>
    </row>
    <row r="1955" spans="1:11">
      <c r="A1955" s="183"/>
      <c r="B1955" s="184"/>
      <c r="C1955" s="189"/>
      <c r="D1955" s="200"/>
      <c r="E1955" s="198"/>
      <c r="F1955" s="186"/>
      <c r="G1955" s="186"/>
      <c r="H1955" s="194"/>
      <c r="I1955" s="196"/>
      <c r="J1955" s="192"/>
      <c r="K1955" s="204"/>
    </row>
    <row r="1956" spans="1:11" ht="21" customHeight="1">
      <c r="A1956" s="199"/>
      <c r="B1956" s="184"/>
      <c r="C1956" s="189"/>
      <c r="D1956" s="200"/>
      <c r="E1956" s="198"/>
      <c r="F1956" s="186"/>
      <c r="G1956" s="186"/>
      <c r="H1956" s="194"/>
      <c r="I1956" s="196"/>
      <c r="J1956" s="192"/>
      <c r="K1956" s="204"/>
    </row>
    <row r="1957" spans="1:11">
      <c r="A1957" s="183"/>
      <c r="B1957" s="184"/>
      <c r="C1957" s="185"/>
      <c r="D1957" s="186"/>
      <c r="E1957" s="187"/>
      <c r="F1957" s="186"/>
      <c r="G1957" s="190"/>
      <c r="H1957" s="194"/>
      <c r="I1957" s="196"/>
      <c r="J1957" s="192"/>
      <c r="K1957" s="204"/>
    </row>
    <row r="1958" spans="1:11">
      <c r="A1958" s="186"/>
      <c r="B1958" s="184"/>
      <c r="C1958" s="185"/>
      <c r="D1958" s="186"/>
      <c r="E1958" s="187"/>
      <c r="F1958" s="188"/>
      <c r="G1958" s="181"/>
      <c r="H1958" s="194"/>
      <c r="I1958" s="196"/>
      <c r="J1958" s="192"/>
      <c r="K1958" s="204"/>
    </row>
    <row r="1959" spans="1:11" ht="21" customHeight="1">
      <c r="A1959" s="183"/>
      <c r="B1959" s="184"/>
      <c r="C1959" s="185"/>
      <c r="D1959" s="186"/>
      <c r="E1959" s="187"/>
      <c r="F1959" s="186"/>
      <c r="G1959" s="190"/>
      <c r="H1959" s="194"/>
      <c r="I1959" s="196"/>
      <c r="J1959" s="192"/>
      <c r="K1959" s="204"/>
    </row>
    <row r="1960" spans="1:11">
      <c r="A1960" s="186"/>
      <c r="B1960" s="184"/>
      <c r="C1960" s="185"/>
      <c r="D1960" s="186"/>
      <c r="E1960" s="187"/>
      <c r="F1960" s="188"/>
      <c r="G1960" s="181"/>
      <c r="H1960" s="194"/>
      <c r="I1960" s="196"/>
      <c r="J1960" s="192"/>
      <c r="K1960" s="204"/>
    </row>
    <row r="1961" spans="1:11">
      <c r="A1961" s="183"/>
      <c r="B1961" s="184"/>
      <c r="C1961" s="185"/>
      <c r="D1961" s="186"/>
      <c r="E1961" s="187"/>
      <c r="F1961" s="186"/>
      <c r="G1961" s="190"/>
      <c r="H1961" s="194"/>
      <c r="I1961" s="196"/>
      <c r="J1961" s="192"/>
      <c r="K1961" s="204"/>
    </row>
    <row r="1962" spans="1:11" ht="24" customHeight="1">
      <c r="A1962" s="186"/>
      <c r="B1962" s="184"/>
      <c r="C1962" s="185"/>
      <c r="D1962" s="186"/>
      <c r="E1962" s="187"/>
      <c r="F1962" s="188"/>
      <c r="G1962" s="181"/>
      <c r="H1962" s="194"/>
      <c r="I1962" s="196"/>
      <c r="J1962" s="192"/>
      <c r="K1962" s="204"/>
    </row>
    <row r="1963" spans="1:11">
      <c r="A1963" s="183"/>
      <c r="B1963" s="184"/>
      <c r="C1963" s="185"/>
      <c r="D1963" s="186"/>
      <c r="E1963" s="187"/>
      <c r="F1963" s="186"/>
      <c r="G1963" s="190"/>
      <c r="H1963" s="194"/>
      <c r="I1963" s="196"/>
      <c r="J1963" s="192"/>
      <c r="K1963" s="204"/>
    </row>
    <row r="1964" spans="1:11">
      <c r="A1964" s="186"/>
      <c r="B1964" s="184"/>
      <c r="C1964" s="185"/>
      <c r="D1964" s="186"/>
      <c r="E1964" s="187"/>
      <c r="F1964" s="188"/>
      <c r="G1964" s="181"/>
      <c r="H1964" s="194"/>
      <c r="I1964" s="196"/>
      <c r="J1964" s="192"/>
      <c r="K1964" s="204"/>
    </row>
    <row r="1965" spans="1:11" ht="16" customHeight="1">
      <c r="A1965" s="183"/>
      <c r="B1965" s="184"/>
      <c r="C1965" s="189"/>
      <c r="D1965" s="200"/>
      <c r="E1965" s="198"/>
      <c r="F1965" s="186"/>
      <c r="G1965" s="186"/>
      <c r="H1965" s="194"/>
      <c r="I1965" s="196"/>
      <c r="J1965" s="192"/>
      <c r="K1965" s="204"/>
    </row>
    <row r="1966" spans="1:11">
      <c r="A1966" s="199"/>
      <c r="B1966" s="184"/>
      <c r="C1966" s="189"/>
      <c r="D1966" s="200"/>
      <c r="E1966" s="198"/>
      <c r="F1966" s="186"/>
      <c r="G1966" s="186"/>
      <c r="H1966" s="194"/>
      <c r="I1966" s="196"/>
      <c r="J1966" s="192"/>
      <c r="K1966" s="204"/>
    </row>
    <row r="1967" spans="1:11">
      <c r="A1967" s="183"/>
      <c r="B1967" s="184"/>
      <c r="C1967" s="185"/>
      <c r="D1967" s="186"/>
      <c r="E1967" s="187"/>
      <c r="F1967" s="186"/>
      <c r="G1967" s="190"/>
      <c r="H1967" s="194"/>
      <c r="I1967" s="196"/>
      <c r="J1967" s="192"/>
      <c r="K1967" s="204"/>
    </row>
    <row r="1968" spans="1:11" ht="16" customHeight="1">
      <c r="A1968" s="186"/>
      <c r="B1968" s="184"/>
      <c r="C1968" s="185"/>
      <c r="D1968" s="186"/>
      <c r="E1968" s="187"/>
      <c r="F1968" s="188"/>
      <c r="G1968" s="181"/>
      <c r="H1968" s="194"/>
      <c r="I1968" s="196"/>
      <c r="J1968" s="192"/>
      <c r="K1968" s="204"/>
    </row>
    <row r="1969" spans="1:11">
      <c r="A1969" s="183"/>
      <c r="B1969" s="184"/>
      <c r="C1969" s="185"/>
      <c r="D1969" s="186"/>
      <c r="E1969" s="187"/>
      <c r="F1969" s="186"/>
      <c r="G1969" s="190"/>
      <c r="H1969" s="194"/>
      <c r="I1969" s="196"/>
      <c r="J1969" s="192"/>
      <c r="K1969" s="204"/>
    </row>
    <row r="1970" spans="1:11">
      <c r="A1970" s="186"/>
      <c r="B1970" s="184"/>
      <c r="C1970" s="185"/>
      <c r="D1970" s="186"/>
      <c r="E1970" s="187"/>
      <c r="F1970" s="188"/>
      <c r="G1970" s="181"/>
      <c r="H1970" s="194"/>
      <c r="I1970" s="196"/>
      <c r="J1970" s="192"/>
      <c r="K1970" s="204"/>
    </row>
    <row r="1971" spans="1:11">
      <c r="A1971" s="183"/>
      <c r="B1971" s="184"/>
      <c r="C1971" s="185"/>
      <c r="D1971" s="186"/>
      <c r="E1971" s="187"/>
      <c r="F1971" s="186"/>
      <c r="G1971" s="190"/>
      <c r="H1971" s="194"/>
      <c r="I1971" s="196"/>
      <c r="J1971" s="192"/>
      <c r="K1971" s="204"/>
    </row>
    <row r="1972" spans="1:11">
      <c r="A1972" s="186"/>
      <c r="B1972" s="184"/>
      <c r="C1972" s="185"/>
      <c r="D1972" s="186"/>
      <c r="E1972" s="187"/>
      <c r="F1972" s="188"/>
      <c r="G1972" s="181"/>
      <c r="H1972" s="194"/>
      <c r="I1972" s="196"/>
      <c r="J1972" s="192"/>
      <c r="K1972" s="204"/>
    </row>
    <row r="1973" spans="1:11">
      <c r="A1973" s="183"/>
      <c r="B1973" s="184"/>
      <c r="C1973" s="189"/>
      <c r="D1973" s="186"/>
      <c r="E1973" s="187"/>
      <c r="F1973" s="186"/>
      <c r="G1973" s="186"/>
      <c r="H1973" s="194"/>
      <c r="I1973" s="196"/>
      <c r="J1973" s="192"/>
      <c r="K1973" s="204"/>
    </row>
    <row r="1974" spans="1:11">
      <c r="A1974" s="186"/>
      <c r="B1974" s="184"/>
      <c r="C1974" s="189"/>
      <c r="D1974" s="186"/>
      <c r="E1974" s="187"/>
      <c r="F1974" s="188"/>
      <c r="G1974" s="186"/>
      <c r="H1974" s="194"/>
      <c r="I1974" s="196"/>
      <c r="J1974" s="192"/>
      <c r="K1974" s="204"/>
    </row>
    <row r="1975" spans="1:11">
      <c r="A1975" s="183"/>
      <c r="B1975" s="184"/>
      <c r="C1975" s="185"/>
      <c r="D1975" s="186"/>
      <c r="E1975" s="187"/>
      <c r="F1975" s="186"/>
      <c r="G1975" s="190"/>
      <c r="H1975" s="194"/>
      <c r="I1975" s="196"/>
      <c r="J1975" s="192"/>
      <c r="K1975" s="204"/>
    </row>
    <row r="1976" spans="1:11">
      <c r="A1976" s="186"/>
      <c r="B1976" s="184"/>
      <c r="C1976" s="185"/>
      <c r="D1976" s="186"/>
      <c r="E1976" s="187"/>
      <c r="F1976" s="188"/>
      <c r="G1976" s="181"/>
      <c r="H1976" s="194"/>
      <c r="I1976" s="196"/>
      <c r="J1976" s="192"/>
      <c r="K1976" s="204"/>
    </row>
    <row r="1977" spans="1:11" ht="21" customHeight="1">
      <c r="A1977" s="183"/>
      <c r="B1977" s="184"/>
      <c r="C1977" s="185"/>
      <c r="D1977" s="186"/>
      <c r="E1977" s="187"/>
      <c r="F1977" s="186"/>
      <c r="G1977" s="190"/>
      <c r="H1977" s="194"/>
      <c r="I1977" s="196"/>
      <c r="J1977" s="192"/>
      <c r="K1977" s="204"/>
    </row>
    <row r="1978" spans="1:11">
      <c r="A1978" s="186"/>
      <c r="B1978" s="184"/>
      <c r="C1978" s="185"/>
      <c r="D1978" s="186"/>
      <c r="E1978" s="187"/>
      <c r="F1978" s="188"/>
      <c r="G1978" s="181"/>
      <c r="H1978" s="194"/>
      <c r="I1978" s="196"/>
      <c r="J1978" s="192"/>
      <c r="K1978" s="204"/>
    </row>
    <row r="1979" spans="1:11">
      <c r="A1979" s="183"/>
      <c r="B1979" s="184"/>
      <c r="C1979" s="189"/>
      <c r="D1979" s="200"/>
      <c r="E1979" s="198"/>
      <c r="F1979" s="186"/>
      <c r="G1979" s="186"/>
      <c r="H1979" s="194"/>
      <c r="I1979" s="196"/>
      <c r="J1979" s="192"/>
      <c r="K1979" s="204"/>
    </row>
    <row r="1980" spans="1:11" ht="16" customHeight="1">
      <c r="A1980" s="199"/>
      <c r="B1980" s="184"/>
      <c r="C1980" s="189"/>
      <c r="D1980" s="200"/>
      <c r="E1980" s="198"/>
      <c r="F1980" s="186"/>
      <c r="G1980" s="186"/>
      <c r="H1980" s="194"/>
      <c r="I1980" s="196"/>
      <c r="J1980" s="192"/>
      <c r="K1980" s="204"/>
    </row>
    <row r="1981" spans="1:11">
      <c r="A1981" s="183"/>
      <c r="B1981" s="184"/>
      <c r="C1981" s="185"/>
      <c r="D1981" s="186"/>
      <c r="E1981" s="187"/>
      <c r="F1981" s="186"/>
      <c r="G1981" s="190"/>
      <c r="H1981" s="194"/>
      <c r="I1981" s="196"/>
      <c r="J1981" s="192"/>
      <c r="K1981" s="204"/>
    </row>
    <row r="1982" spans="1:11">
      <c r="A1982" s="186"/>
      <c r="B1982" s="184"/>
      <c r="C1982" s="185"/>
      <c r="D1982" s="186"/>
      <c r="E1982" s="187"/>
      <c r="F1982" s="188"/>
      <c r="G1982" s="181"/>
      <c r="H1982" s="194"/>
      <c r="I1982" s="196"/>
      <c r="J1982" s="192"/>
      <c r="K1982" s="204"/>
    </row>
    <row r="1983" spans="1:11" ht="16" customHeight="1">
      <c r="A1983" s="183"/>
      <c r="B1983" s="184"/>
      <c r="C1983" s="185"/>
      <c r="D1983" s="186"/>
      <c r="E1983" s="187"/>
      <c r="F1983" s="186"/>
      <c r="G1983" s="190"/>
      <c r="H1983" s="194"/>
      <c r="I1983" s="196"/>
      <c r="J1983" s="192"/>
      <c r="K1983" s="204"/>
    </row>
    <row r="1984" spans="1:11">
      <c r="A1984" s="186"/>
      <c r="B1984" s="184"/>
      <c r="C1984" s="185"/>
      <c r="D1984" s="186"/>
      <c r="E1984" s="187"/>
      <c r="F1984" s="188"/>
      <c r="G1984" s="181"/>
      <c r="H1984" s="194"/>
      <c r="I1984" s="196"/>
      <c r="J1984" s="192"/>
      <c r="K1984" s="204"/>
    </row>
    <row r="1985" spans="1:11">
      <c r="A1985" s="183"/>
      <c r="B1985" s="184"/>
      <c r="C1985" s="185"/>
      <c r="D1985" s="186"/>
      <c r="E1985" s="187"/>
      <c r="F1985" s="186"/>
      <c r="G1985" s="190"/>
      <c r="H1985" s="194"/>
      <c r="I1985" s="196"/>
      <c r="J1985" s="192"/>
      <c r="K1985" s="204"/>
    </row>
    <row r="1986" spans="1:11" ht="31.5" customHeight="1">
      <c r="A1986" s="186"/>
      <c r="B1986" s="184"/>
      <c r="C1986" s="185"/>
      <c r="D1986" s="186"/>
      <c r="E1986" s="187"/>
      <c r="F1986" s="188"/>
      <c r="G1986" s="181"/>
      <c r="H1986" s="194"/>
      <c r="I1986" s="196"/>
      <c r="J1986" s="192"/>
      <c r="K1986" s="204"/>
    </row>
    <row r="1987" spans="1:11">
      <c r="A1987" s="183"/>
      <c r="B1987" s="184"/>
      <c r="C1987" s="200"/>
      <c r="D1987" s="186"/>
      <c r="E1987" s="187"/>
      <c r="F1987" s="186"/>
      <c r="G1987" s="186"/>
      <c r="H1987" s="194"/>
      <c r="I1987" s="196"/>
      <c r="J1987" s="192"/>
      <c r="K1987" s="204"/>
    </row>
    <row r="1988" spans="1:11">
      <c r="A1988" s="186"/>
      <c r="B1988" s="184"/>
      <c r="C1988" s="200"/>
      <c r="D1988" s="186"/>
      <c r="E1988" s="187"/>
      <c r="F1988" s="188"/>
      <c r="G1988" s="186"/>
      <c r="H1988" s="194"/>
      <c r="I1988" s="196"/>
      <c r="J1988" s="192"/>
      <c r="K1988" s="204"/>
    </row>
    <row r="1989" spans="1:11" ht="16" customHeight="1">
      <c r="A1989" s="183"/>
      <c r="B1989" s="184"/>
      <c r="C1989" s="203"/>
      <c r="D1989" s="200"/>
      <c r="E1989" s="198"/>
      <c r="F1989" s="186"/>
      <c r="G1989" s="186"/>
      <c r="H1989" s="194"/>
      <c r="I1989" s="196"/>
      <c r="J1989" s="192"/>
      <c r="K1989" s="204"/>
    </row>
    <row r="1990" spans="1:11">
      <c r="A1990" s="186"/>
      <c r="B1990" s="184"/>
      <c r="C1990" s="203"/>
      <c r="D1990" s="200"/>
      <c r="E1990" s="198"/>
      <c r="F1990" s="186"/>
      <c r="G1990" s="186"/>
      <c r="H1990" s="194"/>
      <c r="I1990" s="196"/>
      <c r="J1990" s="192"/>
      <c r="K1990" s="204"/>
    </row>
    <row r="1991" spans="1:11">
      <c r="A1991" s="183"/>
      <c r="B1991" s="184"/>
      <c r="C1991" s="185"/>
      <c r="D1991" s="186"/>
      <c r="E1991" s="187"/>
      <c r="F1991" s="186"/>
      <c r="G1991" s="190"/>
      <c r="H1991" s="194"/>
      <c r="I1991" s="196"/>
      <c r="J1991" s="192"/>
      <c r="K1991" s="204"/>
    </row>
    <row r="1992" spans="1:11" ht="16" customHeight="1">
      <c r="A1992" s="186"/>
      <c r="B1992" s="184"/>
      <c r="C1992" s="185"/>
      <c r="D1992" s="186"/>
      <c r="E1992" s="187"/>
      <c r="F1992" s="188"/>
      <c r="G1992" s="181"/>
      <c r="H1992" s="194"/>
      <c r="I1992" s="196"/>
      <c r="J1992" s="192"/>
      <c r="K1992" s="204"/>
    </row>
    <row r="1993" spans="1:11">
      <c r="A1993" s="183"/>
      <c r="B1993" s="184"/>
      <c r="C1993" s="189"/>
      <c r="D1993" s="186"/>
      <c r="E1993" s="198"/>
      <c r="F1993" s="186"/>
      <c r="G1993" s="186"/>
      <c r="H1993" s="194"/>
      <c r="I1993" s="196"/>
      <c r="J1993" s="192"/>
      <c r="K1993" s="204"/>
    </row>
    <row r="1994" spans="1:11">
      <c r="A1994" s="199"/>
      <c r="B1994" s="184"/>
      <c r="C1994" s="189"/>
      <c r="D1994" s="186"/>
      <c r="E1994" s="198"/>
      <c r="F1994" s="186"/>
      <c r="G1994" s="186"/>
      <c r="H1994" s="194"/>
      <c r="I1994" s="196"/>
      <c r="J1994" s="192"/>
      <c r="K1994" s="204"/>
    </row>
    <row r="1995" spans="1:11" ht="21" customHeight="1">
      <c r="A1995" s="183"/>
      <c r="B1995" s="184"/>
      <c r="C1995" s="189"/>
      <c r="D1995" s="186"/>
      <c r="E1995" s="198"/>
      <c r="F1995" s="186"/>
      <c r="G1995" s="186"/>
      <c r="H1995" s="186"/>
      <c r="I1995" s="196"/>
      <c r="J1995" s="192"/>
      <c r="K1995" s="204"/>
    </row>
    <row r="1996" spans="1:11">
      <c r="A1996" s="183"/>
      <c r="B1996" s="184"/>
      <c r="C1996" s="203"/>
      <c r="D1996" s="186"/>
      <c r="E1996" s="187"/>
      <c r="F1996" s="186"/>
      <c r="G1996" s="190"/>
      <c r="H1996" s="194"/>
      <c r="I1996" s="196"/>
      <c r="J1996" s="192"/>
      <c r="K1996" s="204"/>
    </row>
    <row r="1997" spans="1:11">
      <c r="A1997" s="186"/>
      <c r="B1997" s="184"/>
      <c r="C1997" s="203"/>
      <c r="D1997" s="186"/>
      <c r="E1997" s="187"/>
      <c r="F1997" s="188"/>
      <c r="G1997" s="181"/>
      <c r="H1997" s="194"/>
      <c r="I1997" s="196"/>
      <c r="J1997" s="192"/>
      <c r="K1997" s="204"/>
    </row>
    <row r="1998" spans="1:11" ht="24" customHeight="1">
      <c r="A1998" s="183"/>
      <c r="B1998" s="184"/>
      <c r="C1998" s="189"/>
      <c r="D1998" s="200"/>
      <c r="E1998" s="198"/>
      <c r="F1998" s="186"/>
      <c r="G1998" s="186"/>
      <c r="H1998" s="186"/>
      <c r="I1998" s="196"/>
      <c r="J1998" s="192"/>
      <c r="K1998" s="204"/>
    </row>
    <row r="1999" spans="1:11">
      <c r="A1999" s="186"/>
      <c r="B1999" s="184"/>
      <c r="C1999" s="189"/>
      <c r="D1999" s="200"/>
      <c r="E1999" s="198"/>
      <c r="F1999" s="186"/>
      <c r="G1999" s="186"/>
      <c r="H1999" s="181"/>
      <c r="I1999" s="196"/>
      <c r="J1999" s="192"/>
      <c r="K1999" s="204"/>
    </row>
    <row r="2000" spans="1:11">
      <c r="A2000" s="183"/>
      <c r="B2000" s="184"/>
      <c r="C2000" s="203"/>
      <c r="D2000" s="186"/>
      <c r="E2000" s="187"/>
      <c r="F2000" s="186"/>
      <c r="G2000" s="186"/>
      <c r="H2000" s="194"/>
      <c r="I2000" s="196"/>
      <c r="J2000" s="192"/>
      <c r="K2000" s="204"/>
    </row>
    <row r="2001" spans="1:11" ht="16" customHeight="1">
      <c r="A2001" s="181"/>
      <c r="B2001" s="184"/>
      <c r="C2001" s="203"/>
      <c r="D2001" s="186"/>
      <c r="E2001" s="187"/>
      <c r="F2001" s="188"/>
      <c r="G2001" s="186"/>
      <c r="H2001" s="194"/>
      <c r="I2001" s="196"/>
      <c r="J2001" s="192"/>
      <c r="K2001" s="204"/>
    </row>
    <row r="2002" spans="1:11">
      <c r="A2002" s="182"/>
      <c r="B2002" s="184"/>
      <c r="C2002" s="202"/>
      <c r="D2002" s="186"/>
      <c r="E2002" s="198"/>
      <c r="F2002" s="186"/>
      <c r="G2002" s="186"/>
      <c r="H2002" s="194"/>
      <c r="I2002" s="195"/>
      <c r="J2002" s="192"/>
      <c r="K2002" s="204"/>
    </row>
    <row r="2003" spans="1:11">
      <c r="A2003" s="183"/>
      <c r="B2003" s="184"/>
      <c r="C2003" s="202"/>
      <c r="D2003" s="186"/>
      <c r="E2003" s="198"/>
      <c r="F2003" s="186"/>
      <c r="G2003" s="186"/>
      <c r="H2003" s="186"/>
      <c r="I2003" s="196"/>
      <c r="J2003" s="192"/>
      <c r="K2003" s="204"/>
    </row>
    <row r="2004" spans="1:11">
      <c r="A2004" s="186"/>
      <c r="B2004" s="184"/>
      <c r="C2004" s="202"/>
      <c r="D2004" s="186"/>
      <c r="E2004" s="198"/>
      <c r="F2004" s="186"/>
      <c r="G2004" s="186"/>
      <c r="H2004" s="181"/>
      <c r="I2004" s="196"/>
      <c r="J2004" s="192"/>
      <c r="K2004" s="204"/>
    </row>
    <row r="2005" spans="1:11">
      <c r="A2005" s="183"/>
      <c r="B2005" s="184"/>
      <c r="C2005" s="189"/>
      <c r="D2005" s="200"/>
      <c r="E2005" s="198"/>
      <c r="F2005" s="186"/>
      <c r="G2005" s="186"/>
      <c r="H2005" s="186"/>
      <c r="I2005" s="196"/>
      <c r="J2005" s="192"/>
      <c r="K2005" s="204"/>
    </row>
    <row r="2006" spans="1:11">
      <c r="A2006" s="186"/>
      <c r="B2006" s="184"/>
      <c r="C2006" s="189"/>
      <c r="D2006" s="200"/>
      <c r="E2006" s="198"/>
      <c r="F2006" s="186"/>
      <c r="G2006" s="186"/>
      <c r="H2006" s="181"/>
      <c r="I2006" s="196"/>
      <c r="J2006" s="192"/>
      <c r="K2006" s="204"/>
    </row>
    <row r="2007" spans="1:11" ht="16" customHeight="1">
      <c r="A2007" s="183"/>
      <c r="B2007" s="184"/>
      <c r="C2007" s="203"/>
      <c r="D2007" s="186"/>
      <c r="E2007" s="198"/>
      <c r="F2007" s="186"/>
      <c r="G2007" s="186"/>
      <c r="H2007" s="194"/>
      <c r="I2007" s="196"/>
      <c r="J2007" s="192"/>
      <c r="K2007" s="204"/>
    </row>
    <row r="2008" spans="1:11">
      <c r="A2008" s="186"/>
      <c r="B2008" s="184"/>
      <c r="C2008" s="203"/>
      <c r="D2008" s="186"/>
      <c r="E2008" s="198"/>
      <c r="F2008" s="186"/>
      <c r="G2008" s="186"/>
      <c r="H2008" s="194"/>
      <c r="I2008" s="196"/>
      <c r="J2008" s="192"/>
      <c r="K2008" s="204"/>
    </row>
    <row r="2009" spans="1:11">
      <c r="A2009" s="183"/>
      <c r="B2009" s="184"/>
      <c r="C2009" s="203"/>
      <c r="D2009" s="186"/>
      <c r="E2009" s="187"/>
      <c r="F2009" s="186"/>
      <c r="G2009" s="186"/>
      <c r="H2009" s="194"/>
      <c r="I2009" s="196"/>
      <c r="J2009" s="192"/>
      <c r="K2009" s="204"/>
    </row>
    <row r="2010" spans="1:11" ht="21" customHeight="1">
      <c r="A2010" s="186"/>
      <c r="B2010" s="184"/>
      <c r="C2010" s="203"/>
      <c r="D2010" s="186"/>
      <c r="E2010" s="187"/>
      <c r="F2010" s="188"/>
      <c r="G2010" s="186"/>
      <c r="H2010" s="194"/>
      <c r="I2010" s="196"/>
      <c r="J2010" s="192"/>
      <c r="K2010" s="204"/>
    </row>
    <row r="2011" spans="1:11">
      <c r="A2011" s="183"/>
      <c r="B2011" s="184"/>
      <c r="C2011" s="185"/>
      <c r="D2011" s="186"/>
      <c r="E2011" s="198"/>
      <c r="F2011" s="186"/>
      <c r="G2011" s="186"/>
      <c r="H2011" s="186"/>
      <c r="I2011" s="196"/>
      <c r="J2011" s="192"/>
      <c r="K2011" s="204"/>
    </row>
    <row r="2012" spans="1:11">
      <c r="A2012" s="186"/>
      <c r="B2012" s="184"/>
      <c r="C2012" s="185"/>
      <c r="D2012" s="186"/>
      <c r="E2012" s="198"/>
      <c r="F2012" s="186"/>
      <c r="G2012" s="186"/>
      <c r="H2012" s="181"/>
      <c r="I2012" s="196"/>
      <c r="J2012" s="192"/>
      <c r="K2012" s="204"/>
    </row>
    <row r="2013" spans="1:11" ht="24" customHeight="1">
      <c r="A2013" s="183"/>
      <c r="B2013" s="184"/>
      <c r="C2013" s="203"/>
      <c r="D2013" s="186"/>
      <c r="E2013" s="198"/>
      <c r="F2013" s="186"/>
      <c r="G2013" s="186"/>
      <c r="H2013" s="186"/>
      <c r="I2013" s="196"/>
      <c r="J2013" s="192"/>
      <c r="K2013" s="204"/>
    </row>
    <row r="2014" spans="1:11">
      <c r="A2014" s="186"/>
      <c r="B2014" s="184"/>
      <c r="C2014" s="203"/>
      <c r="D2014" s="186"/>
      <c r="E2014" s="198"/>
      <c r="F2014" s="186"/>
      <c r="G2014" s="186"/>
      <c r="H2014" s="181"/>
      <c r="I2014" s="196"/>
      <c r="J2014" s="192"/>
      <c r="K2014" s="204"/>
    </row>
    <row r="2015" spans="1:11">
      <c r="A2015" s="182"/>
      <c r="B2015" s="184"/>
      <c r="C2015" s="203"/>
      <c r="D2015" s="186"/>
      <c r="E2015" s="198"/>
      <c r="F2015" s="186"/>
      <c r="G2015" s="186"/>
      <c r="H2015" s="194"/>
      <c r="I2015" s="195"/>
      <c r="J2015" s="193"/>
      <c r="K2015" s="204"/>
    </row>
    <row r="2016" spans="1:11">
      <c r="A2016" s="183"/>
      <c r="B2016" s="184"/>
      <c r="C2016" s="203"/>
      <c r="D2016" s="186"/>
      <c r="E2016" s="198"/>
      <c r="F2016" s="186"/>
      <c r="G2016" s="186"/>
      <c r="H2016" s="186"/>
      <c r="I2016" s="196"/>
      <c r="J2016" s="193"/>
      <c r="K2016" s="204"/>
    </row>
    <row r="2017" spans="1:11">
      <c r="A2017" s="186"/>
      <c r="B2017" s="184"/>
      <c r="C2017" s="203"/>
      <c r="D2017" s="186"/>
      <c r="E2017" s="198"/>
      <c r="F2017" s="186"/>
      <c r="G2017" s="186"/>
      <c r="H2017" s="181"/>
      <c r="I2017" s="196"/>
      <c r="J2017" s="193"/>
      <c r="K2017" s="204"/>
    </row>
    <row r="2018" spans="1:11">
      <c r="A2018" s="183"/>
      <c r="B2018" s="184"/>
      <c r="C2018" s="203"/>
      <c r="D2018" s="186"/>
      <c r="E2018" s="198"/>
      <c r="F2018" s="186"/>
      <c r="G2018" s="186"/>
      <c r="H2018" s="194"/>
      <c r="I2018" s="196"/>
      <c r="J2018" s="192"/>
      <c r="K2018" s="204"/>
    </row>
    <row r="2019" spans="1:11">
      <c r="A2019" s="186"/>
      <c r="B2019" s="184"/>
      <c r="C2019" s="203"/>
      <c r="D2019" s="186"/>
      <c r="E2019" s="198"/>
      <c r="F2019" s="186"/>
      <c r="G2019" s="186"/>
      <c r="H2019" s="194"/>
      <c r="I2019" s="196"/>
      <c r="J2019" s="192"/>
      <c r="K2019" s="204"/>
    </row>
    <row r="2020" spans="1:11">
      <c r="A2020" s="183"/>
      <c r="B2020" s="184"/>
      <c r="C2020" s="203"/>
      <c r="D2020" s="186"/>
      <c r="E2020" s="198"/>
      <c r="F2020" s="186"/>
      <c r="G2020" s="186"/>
      <c r="H2020" s="194"/>
      <c r="I2020" s="196"/>
      <c r="J2020" s="192"/>
      <c r="K2020" s="204"/>
    </row>
    <row r="2021" spans="1:11">
      <c r="A2021" s="186"/>
      <c r="B2021" s="184"/>
      <c r="C2021" s="203"/>
      <c r="D2021" s="186"/>
      <c r="E2021" s="198"/>
      <c r="F2021" s="186"/>
      <c r="G2021" s="186"/>
      <c r="H2021" s="194"/>
      <c r="I2021" s="196"/>
      <c r="J2021" s="192"/>
      <c r="K2021" s="204"/>
    </row>
    <row r="2022" spans="1:11" ht="16" customHeight="1">
      <c r="A2022" s="183"/>
      <c r="B2022" s="184"/>
      <c r="C2022" s="185"/>
      <c r="D2022" s="186"/>
      <c r="E2022" s="187"/>
      <c r="F2022" s="186"/>
      <c r="G2022" s="190"/>
      <c r="H2022" s="194"/>
      <c r="I2022" s="196"/>
      <c r="J2022" s="192"/>
      <c r="K2022" s="204"/>
    </row>
    <row r="2023" spans="1:11">
      <c r="A2023" s="186"/>
      <c r="B2023" s="184"/>
      <c r="C2023" s="185"/>
      <c r="D2023" s="186"/>
      <c r="E2023" s="187"/>
      <c r="F2023" s="188"/>
      <c r="G2023" s="181"/>
      <c r="H2023" s="194"/>
      <c r="I2023" s="196"/>
      <c r="J2023" s="192"/>
      <c r="K2023" s="204"/>
    </row>
    <row r="2024" spans="1:11">
      <c r="A2024" s="183"/>
      <c r="B2024" s="184"/>
      <c r="C2024" s="203"/>
      <c r="D2024" s="186"/>
      <c r="E2024" s="198"/>
      <c r="F2024" s="186"/>
      <c r="G2024" s="186"/>
      <c r="H2024" s="186"/>
      <c r="I2024" s="196"/>
      <c r="J2024" s="192"/>
      <c r="K2024" s="204"/>
    </row>
    <row r="2025" spans="1:11" ht="16" customHeight="1">
      <c r="A2025" s="186"/>
      <c r="B2025" s="184"/>
      <c r="C2025" s="203"/>
      <c r="D2025" s="186"/>
      <c r="E2025" s="198"/>
      <c r="F2025" s="186"/>
      <c r="G2025" s="186"/>
      <c r="H2025" s="181"/>
      <c r="I2025" s="196"/>
      <c r="J2025" s="192"/>
      <c r="K2025" s="204"/>
    </row>
    <row r="2026" spans="1:11">
      <c r="A2026" s="183"/>
      <c r="B2026" s="184"/>
      <c r="C2026" s="203"/>
      <c r="D2026" s="186"/>
      <c r="E2026" s="187"/>
      <c r="F2026" s="186"/>
      <c r="G2026" s="190"/>
      <c r="H2026" s="186"/>
      <c r="I2026" s="196"/>
      <c r="J2026" s="192"/>
      <c r="K2026" s="204"/>
    </row>
    <row r="2027" spans="1:11">
      <c r="A2027" s="186"/>
      <c r="B2027" s="184"/>
      <c r="C2027" s="203"/>
      <c r="D2027" s="186"/>
      <c r="E2027" s="187"/>
      <c r="F2027" s="188"/>
      <c r="G2027" s="181"/>
      <c r="H2027" s="181"/>
      <c r="I2027" s="196"/>
      <c r="J2027" s="192"/>
      <c r="K2027" s="204"/>
    </row>
    <row r="2028" spans="1:11" ht="21" customHeight="1">
      <c r="A2028" s="183"/>
      <c r="B2028" s="184"/>
      <c r="C2028" s="185"/>
      <c r="D2028" s="186"/>
      <c r="E2028" s="187"/>
      <c r="F2028" s="186"/>
      <c r="G2028" s="190"/>
      <c r="H2028" s="194"/>
      <c r="I2028" s="196"/>
      <c r="J2028" s="192"/>
      <c r="K2028" s="204"/>
    </row>
    <row r="2029" spans="1:11">
      <c r="A2029" s="186"/>
      <c r="B2029" s="184"/>
      <c r="C2029" s="185"/>
      <c r="D2029" s="186"/>
      <c r="E2029" s="187"/>
      <c r="F2029" s="188"/>
      <c r="G2029" s="181"/>
      <c r="H2029" s="194"/>
      <c r="I2029" s="196"/>
      <c r="J2029" s="192"/>
      <c r="K2029" s="204"/>
    </row>
    <row r="2030" spans="1:11">
      <c r="A2030" s="183"/>
      <c r="B2030" s="184"/>
      <c r="C2030" s="185"/>
      <c r="D2030" s="186"/>
      <c r="E2030" s="187"/>
      <c r="F2030" s="186"/>
      <c r="G2030" s="190"/>
      <c r="H2030" s="194"/>
      <c r="I2030" s="196"/>
      <c r="J2030" s="192"/>
      <c r="K2030" s="204"/>
    </row>
    <row r="2031" spans="1:11">
      <c r="A2031" s="186"/>
      <c r="B2031" s="184"/>
      <c r="C2031" s="185"/>
      <c r="D2031" s="186"/>
      <c r="E2031" s="187"/>
      <c r="F2031" s="188"/>
      <c r="G2031" s="181"/>
      <c r="H2031" s="194"/>
      <c r="I2031" s="196"/>
      <c r="J2031" s="192"/>
      <c r="K2031" s="204"/>
    </row>
    <row r="2032" spans="1:11">
      <c r="A2032" s="183"/>
      <c r="B2032" s="184"/>
      <c r="C2032" s="203"/>
      <c r="D2032" s="186"/>
      <c r="E2032" s="187"/>
      <c r="F2032" s="186"/>
      <c r="G2032" s="190"/>
      <c r="H2032" s="194"/>
      <c r="I2032" s="196"/>
      <c r="J2032" s="192"/>
      <c r="K2032" s="204"/>
    </row>
    <row r="2033" spans="1:11">
      <c r="A2033" s="186"/>
      <c r="B2033" s="184"/>
      <c r="C2033" s="203"/>
      <c r="D2033" s="186"/>
      <c r="E2033" s="187"/>
      <c r="F2033" s="188"/>
      <c r="G2033" s="181"/>
      <c r="H2033" s="194"/>
      <c r="I2033" s="196"/>
      <c r="J2033" s="192"/>
      <c r="K2033" s="204"/>
    </row>
    <row r="2034" spans="1:11">
      <c r="A2034" s="183"/>
      <c r="B2034" s="184"/>
      <c r="C2034" s="189"/>
      <c r="D2034" s="200"/>
      <c r="E2034" s="198"/>
      <c r="F2034" s="186"/>
      <c r="G2034" s="186"/>
      <c r="H2034" s="186"/>
      <c r="I2034" s="196"/>
      <c r="J2034" s="192"/>
      <c r="K2034" s="204"/>
    </row>
    <row r="2035" spans="1:11">
      <c r="A2035" s="186"/>
      <c r="B2035" s="184"/>
      <c r="C2035" s="189"/>
      <c r="D2035" s="200"/>
      <c r="E2035" s="198"/>
      <c r="F2035" s="186"/>
      <c r="G2035" s="186"/>
      <c r="H2035" s="181"/>
      <c r="I2035" s="196"/>
      <c r="J2035" s="192"/>
      <c r="K2035" s="204"/>
    </row>
    <row r="2036" spans="1:11">
      <c r="A2036" s="183"/>
      <c r="B2036" s="184"/>
      <c r="C2036" s="189"/>
      <c r="D2036" s="186"/>
      <c r="E2036" s="198"/>
      <c r="F2036" s="186"/>
      <c r="G2036" s="186"/>
      <c r="H2036" s="194"/>
      <c r="I2036" s="196"/>
      <c r="J2036" s="192"/>
      <c r="K2036" s="204"/>
    </row>
    <row r="2037" spans="1:11" ht="21" customHeight="1">
      <c r="A2037" s="199"/>
      <c r="B2037" s="184"/>
      <c r="C2037" s="189"/>
      <c r="D2037" s="186"/>
      <c r="E2037" s="198"/>
      <c r="F2037" s="186"/>
      <c r="G2037" s="186"/>
      <c r="H2037" s="194"/>
      <c r="I2037" s="196"/>
      <c r="J2037" s="192"/>
      <c r="K2037" s="204"/>
    </row>
    <row r="2038" spans="1:11">
      <c r="A2038" s="183"/>
      <c r="B2038" s="184"/>
      <c r="C2038" s="189"/>
      <c r="D2038" s="200"/>
      <c r="E2038" s="198"/>
      <c r="F2038" s="186"/>
      <c r="G2038" s="186"/>
      <c r="H2038" s="194"/>
      <c r="I2038" s="196"/>
      <c r="J2038" s="192"/>
      <c r="K2038" s="204"/>
    </row>
    <row r="2039" spans="1:11">
      <c r="A2039" s="186"/>
      <c r="B2039" s="184"/>
      <c r="C2039" s="189"/>
      <c r="D2039" s="200"/>
      <c r="E2039" s="198"/>
      <c r="F2039" s="186"/>
      <c r="G2039" s="186"/>
      <c r="H2039" s="194"/>
      <c r="I2039" s="196"/>
      <c r="J2039" s="192"/>
      <c r="K2039" s="204"/>
    </row>
    <row r="2040" spans="1:11">
      <c r="A2040" s="183"/>
      <c r="B2040" s="184"/>
      <c r="C2040" s="189"/>
      <c r="D2040" s="200"/>
      <c r="E2040" s="198"/>
      <c r="F2040" s="186"/>
      <c r="G2040" s="186"/>
      <c r="H2040" s="186"/>
      <c r="I2040" s="196"/>
      <c r="J2040" s="192"/>
      <c r="K2040" s="204"/>
    </row>
    <row r="2041" spans="1:11">
      <c r="A2041" s="186"/>
      <c r="B2041" s="184"/>
      <c r="C2041" s="189"/>
      <c r="D2041" s="200"/>
      <c r="E2041" s="198"/>
      <c r="F2041" s="186"/>
      <c r="G2041" s="186"/>
      <c r="H2041" s="181"/>
      <c r="I2041" s="196"/>
      <c r="J2041" s="192"/>
      <c r="K2041" s="204"/>
    </row>
    <row r="2042" spans="1:11">
      <c r="A2042" s="183"/>
      <c r="B2042" s="184"/>
      <c r="C2042" s="189"/>
      <c r="D2042" s="200"/>
      <c r="E2042" s="198"/>
      <c r="F2042" s="186"/>
      <c r="G2042" s="186"/>
      <c r="H2042" s="186"/>
      <c r="I2042" s="196"/>
      <c r="J2042" s="192"/>
      <c r="K2042" s="204"/>
    </row>
    <row r="2043" spans="1:11" ht="16" customHeight="1">
      <c r="A2043" s="186"/>
      <c r="B2043" s="184"/>
      <c r="C2043" s="189"/>
      <c r="D2043" s="200"/>
      <c r="E2043" s="198"/>
      <c r="F2043" s="186"/>
      <c r="G2043" s="186"/>
      <c r="H2043" s="181"/>
      <c r="I2043" s="196"/>
      <c r="J2043" s="192"/>
      <c r="K2043" s="204"/>
    </row>
    <row r="2044" spans="1:11">
      <c r="A2044" s="183"/>
      <c r="B2044" s="184"/>
      <c r="C2044" s="185"/>
      <c r="D2044" s="186"/>
      <c r="E2044" s="187"/>
      <c r="F2044" s="186"/>
      <c r="G2044" s="190"/>
      <c r="H2044" s="194"/>
      <c r="I2044" s="196"/>
      <c r="J2044" s="192"/>
      <c r="K2044" s="204"/>
    </row>
    <row r="2045" spans="1:11">
      <c r="A2045" s="186"/>
      <c r="B2045" s="184"/>
      <c r="C2045" s="185"/>
      <c r="D2045" s="186"/>
      <c r="E2045" s="187"/>
      <c r="F2045" s="188"/>
      <c r="G2045" s="181"/>
      <c r="H2045" s="194"/>
      <c r="I2045" s="196"/>
      <c r="J2045" s="192"/>
      <c r="K2045" s="204"/>
    </row>
    <row r="2046" spans="1:11" ht="16" customHeight="1">
      <c r="A2046" s="183"/>
      <c r="B2046" s="184"/>
      <c r="C2046" s="185"/>
      <c r="D2046" s="186"/>
      <c r="E2046" s="187"/>
      <c r="F2046" s="186"/>
      <c r="G2046" s="190"/>
      <c r="H2046" s="194"/>
      <c r="I2046" s="196"/>
      <c r="J2046" s="192"/>
      <c r="K2046" s="204"/>
    </row>
    <row r="2047" spans="1:11">
      <c r="A2047" s="186"/>
      <c r="B2047" s="184"/>
      <c r="C2047" s="185"/>
      <c r="D2047" s="186"/>
      <c r="E2047" s="187"/>
      <c r="F2047" s="188"/>
      <c r="G2047" s="181"/>
      <c r="H2047" s="194"/>
      <c r="I2047" s="196"/>
      <c r="J2047" s="192"/>
      <c r="K2047" s="204"/>
    </row>
    <row r="2048" spans="1:11">
      <c r="A2048" s="183"/>
      <c r="B2048" s="184"/>
      <c r="C2048" s="202"/>
      <c r="D2048" s="186"/>
      <c r="E2048" s="187"/>
      <c r="F2048" s="186"/>
      <c r="G2048" s="190"/>
      <c r="H2048" s="194"/>
      <c r="I2048" s="196"/>
      <c r="J2048" s="192"/>
      <c r="K2048" s="204"/>
    </row>
    <row r="2049" spans="1:11" ht="16" customHeight="1">
      <c r="A2049" s="186"/>
      <c r="B2049" s="184"/>
      <c r="C2049" s="202"/>
      <c r="D2049" s="186"/>
      <c r="E2049" s="187"/>
      <c r="F2049" s="188"/>
      <c r="G2049" s="181"/>
      <c r="H2049" s="194"/>
      <c r="I2049" s="196"/>
      <c r="J2049" s="192"/>
      <c r="K2049" s="204"/>
    </row>
    <row r="2050" spans="1:11">
      <c r="A2050" s="182"/>
      <c r="B2050" s="184"/>
      <c r="C2050" s="185"/>
      <c r="D2050" s="186"/>
      <c r="E2050" s="187"/>
      <c r="F2050" s="186"/>
      <c r="G2050" s="189"/>
      <c r="H2050" s="186"/>
      <c r="I2050" s="191"/>
      <c r="J2050" s="192"/>
      <c r="K2050" s="204"/>
    </row>
    <row r="2051" spans="1:11">
      <c r="A2051" s="183"/>
      <c r="B2051" s="184"/>
      <c r="C2051" s="185"/>
      <c r="D2051" s="186"/>
      <c r="E2051" s="187"/>
      <c r="F2051" s="186"/>
      <c r="G2051" s="190"/>
      <c r="H2051" s="186"/>
      <c r="I2051" s="191"/>
      <c r="J2051" s="192"/>
      <c r="K2051" s="204"/>
    </row>
    <row r="2052" spans="1:11" ht="14" customHeight="1">
      <c r="A2052" s="186"/>
      <c r="B2052" s="184"/>
      <c r="C2052" s="185"/>
      <c r="D2052" s="186"/>
      <c r="E2052" s="187"/>
      <c r="F2052" s="188"/>
      <c r="G2052" s="181"/>
      <c r="H2052" s="186"/>
      <c r="I2052" s="191"/>
      <c r="J2052" s="192"/>
      <c r="K2052" s="204"/>
    </row>
    <row r="2053" spans="1:11">
      <c r="A2053" s="183"/>
      <c r="B2053" s="184"/>
      <c r="C2053" s="185"/>
      <c r="D2053" s="186"/>
      <c r="E2053" s="187"/>
      <c r="F2053" s="186"/>
      <c r="G2053" s="190"/>
      <c r="H2053" s="194"/>
      <c r="I2053" s="196"/>
      <c r="J2053" s="192"/>
      <c r="K2053" s="204"/>
    </row>
    <row r="2054" spans="1:11">
      <c r="A2054" s="181"/>
      <c r="B2054" s="184"/>
      <c r="C2054" s="185"/>
      <c r="D2054" s="186"/>
      <c r="E2054" s="187"/>
      <c r="F2054" s="188"/>
      <c r="G2054" s="181"/>
      <c r="H2054" s="194"/>
      <c r="I2054" s="196"/>
      <c r="J2054" s="192"/>
      <c r="K2054" s="204"/>
    </row>
    <row r="2055" spans="1:11">
      <c r="A2055" s="183"/>
      <c r="B2055" s="184"/>
      <c r="C2055" s="185"/>
      <c r="D2055" s="186"/>
      <c r="E2055" s="187"/>
      <c r="F2055" s="186"/>
      <c r="G2055" s="190"/>
      <c r="H2055" s="194"/>
      <c r="I2055" s="196"/>
      <c r="J2055" s="192"/>
      <c r="K2055" s="204"/>
    </row>
    <row r="2056" spans="1:11">
      <c r="A2056" s="186"/>
      <c r="B2056" s="184"/>
      <c r="C2056" s="185"/>
      <c r="D2056" s="186"/>
      <c r="E2056" s="187"/>
      <c r="F2056" s="188"/>
      <c r="G2056" s="181"/>
      <c r="H2056" s="194"/>
      <c r="I2056" s="196"/>
      <c r="J2056" s="192"/>
      <c r="K2056" s="204"/>
    </row>
    <row r="2057" spans="1:11" ht="24" customHeight="1">
      <c r="A2057" s="183"/>
      <c r="B2057" s="184"/>
      <c r="C2057" s="185"/>
      <c r="D2057" s="186"/>
      <c r="E2057" s="187"/>
      <c r="F2057" s="186"/>
      <c r="G2057" s="190"/>
      <c r="H2057" s="194"/>
      <c r="I2057" s="196"/>
      <c r="J2057" s="192"/>
      <c r="K2057" s="204"/>
    </row>
    <row r="2058" spans="1:11">
      <c r="A2058" s="186"/>
      <c r="B2058" s="184"/>
      <c r="C2058" s="185"/>
      <c r="D2058" s="186"/>
      <c r="E2058" s="187"/>
      <c r="F2058" s="188"/>
      <c r="G2058" s="181"/>
      <c r="H2058" s="194"/>
      <c r="I2058" s="196"/>
      <c r="J2058" s="192"/>
      <c r="K2058" s="204"/>
    </row>
    <row r="2059" spans="1:11">
      <c r="A2059" s="183"/>
      <c r="B2059" s="184"/>
      <c r="C2059" s="185"/>
      <c r="D2059" s="186"/>
      <c r="E2059" s="187"/>
      <c r="F2059" s="186"/>
      <c r="G2059" s="190"/>
      <c r="H2059" s="194"/>
      <c r="I2059" s="196"/>
      <c r="J2059" s="192"/>
      <c r="K2059" s="204"/>
    </row>
    <row r="2060" spans="1:11">
      <c r="A2060" s="186"/>
      <c r="B2060" s="184"/>
      <c r="C2060" s="185"/>
      <c r="D2060" s="186"/>
      <c r="E2060" s="187"/>
      <c r="F2060" s="188"/>
      <c r="G2060" s="181"/>
      <c r="H2060" s="194"/>
      <c r="I2060" s="196"/>
      <c r="J2060" s="192"/>
      <c r="K2060" s="204"/>
    </row>
    <row r="2061" spans="1:11">
      <c r="A2061" s="183"/>
      <c r="B2061" s="184"/>
      <c r="C2061" s="185"/>
      <c r="D2061" s="186"/>
      <c r="E2061" s="187"/>
      <c r="F2061" s="186"/>
      <c r="G2061" s="190"/>
      <c r="H2061" s="194"/>
      <c r="I2061" s="196"/>
      <c r="J2061" s="192"/>
      <c r="K2061" s="204"/>
    </row>
    <row r="2062" spans="1:11">
      <c r="A2062" s="186"/>
      <c r="B2062" s="184"/>
      <c r="C2062" s="185"/>
      <c r="D2062" s="186"/>
      <c r="E2062" s="187"/>
      <c r="F2062" s="188"/>
      <c r="G2062" s="181"/>
      <c r="H2062" s="194"/>
      <c r="I2062" s="196"/>
      <c r="J2062" s="192"/>
      <c r="K2062" s="204"/>
    </row>
    <row r="2063" spans="1:11">
      <c r="A2063" s="183"/>
      <c r="B2063" s="184"/>
      <c r="C2063" s="203"/>
      <c r="D2063" s="186"/>
      <c r="E2063" s="198"/>
      <c r="F2063" s="186"/>
      <c r="G2063" s="186"/>
      <c r="H2063" s="194"/>
      <c r="I2063" s="196"/>
      <c r="J2063" s="192"/>
      <c r="K2063" s="204"/>
    </row>
    <row r="2064" spans="1:11">
      <c r="A2064" s="186"/>
      <c r="B2064" s="184"/>
      <c r="C2064" s="203"/>
      <c r="D2064" s="186"/>
      <c r="E2064" s="198"/>
      <c r="F2064" s="186"/>
      <c r="G2064" s="186"/>
      <c r="H2064" s="194"/>
      <c r="I2064" s="196"/>
      <c r="J2064" s="192"/>
      <c r="K2064" s="204"/>
    </row>
    <row r="2065" spans="1:11">
      <c r="A2065" s="183"/>
      <c r="B2065" s="184"/>
      <c r="C2065" s="185"/>
      <c r="D2065" s="186"/>
      <c r="E2065" s="187"/>
      <c r="F2065" s="186"/>
      <c r="G2065" s="190"/>
      <c r="H2065" s="194"/>
      <c r="I2065" s="196"/>
      <c r="J2065" s="192"/>
      <c r="K2065" s="204"/>
    </row>
    <row r="2066" spans="1:11" ht="16" customHeight="1">
      <c r="A2066" s="186"/>
      <c r="B2066" s="184"/>
      <c r="C2066" s="185"/>
      <c r="D2066" s="186"/>
      <c r="E2066" s="187"/>
      <c r="F2066" s="188"/>
      <c r="G2066" s="181"/>
      <c r="H2066" s="194"/>
      <c r="I2066" s="196"/>
      <c r="J2066" s="192"/>
      <c r="K2066" s="204"/>
    </row>
    <row r="2067" spans="1:11">
      <c r="A2067" s="183"/>
      <c r="B2067" s="184"/>
      <c r="C2067" s="189"/>
      <c r="D2067" s="200"/>
      <c r="E2067" s="198"/>
      <c r="F2067" s="186"/>
      <c r="G2067" s="186"/>
      <c r="H2067" s="194"/>
      <c r="I2067" s="196"/>
      <c r="J2067" s="192"/>
      <c r="K2067" s="204"/>
    </row>
    <row r="2068" spans="1:11">
      <c r="A2068" s="199"/>
      <c r="B2068" s="184"/>
      <c r="C2068" s="189"/>
      <c r="D2068" s="200"/>
      <c r="E2068" s="198"/>
      <c r="F2068" s="186"/>
      <c r="G2068" s="186"/>
      <c r="H2068" s="194"/>
      <c r="I2068" s="196"/>
      <c r="J2068" s="192"/>
      <c r="K2068" s="204"/>
    </row>
    <row r="2069" spans="1:11" ht="16" customHeight="1">
      <c r="A2069" s="183"/>
      <c r="B2069" s="184"/>
      <c r="C2069" s="200"/>
      <c r="D2069" s="186"/>
      <c r="E2069" s="187"/>
      <c r="F2069" s="186"/>
      <c r="G2069" s="190"/>
      <c r="H2069" s="194"/>
      <c r="I2069" s="196"/>
      <c r="J2069" s="192"/>
      <c r="K2069" s="204"/>
    </row>
    <row r="2070" spans="1:11">
      <c r="A2070" s="186"/>
      <c r="B2070" s="184"/>
      <c r="C2070" s="200"/>
      <c r="D2070" s="186"/>
      <c r="E2070" s="187"/>
      <c r="F2070" s="188"/>
      <c r="G2070" s="181"/>
      <c r="H2070" s="194"/>
      <c r="I2070" s="196"/>
      <c r="J2070" s="192"/>
      <c r="K2070" s="204"/>
    </row>
    <row r="2071" spans="1:11">
      <c r="A2071" s="183"/>
      <c r="B2071" s="184"/>
      <c r="C2071" s="200"/>
      <c r="D2071" s="186"/>
      <c r="E2071" s="187"/>
      <c r="F2071" s="186"/>
      <c r="G2071" s="190"/>
      <c r="H2071" s="194"/>
      <c r="I2071" s="196"/>
      <c r="J2071" s="192"/>
      <c r="K2071" s="204"/>
    </row>
    <row r="2072" spans="1:11">
      <c r="A2072" s="186"/>
      <c r="B2072" s="184"/>
      <c r="C2072" s="200"/>
      <c r="D2072" s="186"/>
      <c r="E2072" s="187"/>
      <c r="F2072" s="188"/>
      <c r="G2072" s="181"/>
      <c r="H2072" s="194"/>
      <c r="I2072" s="196"/>
      <c r="J2072" s="192"/>
      <c r="K2072" s="204"/>
    </row>
    <row r="2073" spans="1:11">
      <c r="A2073" s="183"/>
      <c r="B2073" s="184"/>
      <c r="C2073" s="197"/>
      <c r="D2073" s="186"/>
      <c r="E2073" s="198"/>
      <c r="F2073" s="186"/>
      <c r="G2073" s="186"/>
      <c r="H2073" s="194"/>
      <c r="I2073" s="196"/>
      <c r="J2073" s="192"/>
      <c r="K2073" s="204"/>
    </row>
    <row r="2074" spans="1:11">
      <c r="A2074" s="186"/>
      <c r="B2074" s="184"/>
      <c r="C2074" s="197"/>
      <c r="D2074" s="186"/>
      <c r="E2074" s="198"/>
      <c r="F2074" s="186"/>
      <c r="G2074" s="186"/>
      <c r="H2074" s="194"/>
      <c r="I2074" s="196"/>
      <c r="J2074" s="192"/>
      <c r="K2074" s="204"/>
    </row>
    <row r="2075" spans="1:11">
      <c r="A2075" s="183"/>
      <c r="B2075" s="184"/>
      <c r="C2075" s="185"/>
      <c r="D2075" s="186"/>
      <c r="E2075" s="187"/>
      <c r="F2075" s="186"/>
      <c r="G2075" s="190"/>
      <c r="H2075" s="194"/>
      <c r="I2075" s="196"/>
      <c r="J2075" s="192"/>
      <c r="K2075" s="204"/>
    </row>
    <row r="2076" spans="1:11">
      <c r="A2076" s="181"/>
      <c r="B2076" s="184"/>
      <c r="C2076" s="185"/>
      <c r="D2076" s="186"/>
      <c r="E2076" s="187"/>
      <c r="F2076" s="188"/>
      <c r="G2076" s="181"/>
      <c r="H2076" s="194"/>
      <c r="I2076" s="196"/>
      <c r="J2076" s="192"/>
      <c r="K2076" s="204"/>
    </row>
    <row r="2077" spans="1:11">
      <c r="A2077" s="183"/>
      <c r="B2077" s="184"/>
      <c r="C2077" s="185"/>
      <c r="D2077" s="186"/>
      <c r="E2077" s="187"/>
      <c r="F2077" s="186"/>
      <c r="G2077" s="190"/>
      <c r="H2077" s="194"/>
      <c r="I2077" s="196"/>
      <c r="J2077" s="192"/>
      <c r="K2077" s="204"/>
    </row>
    <row r="2078" spans="1:11">
      <c r="A2078" s="186"/>
      <c r="B2078" s="184"/>
      <c r="C2078" s="185"/>
      <c r="D2078" s="186"/>
      <c r="E2078" s="187"/>
      <c r="F2078" s="188"/>
      <c r="G2078" s="181"/>
      <c r="H2078" s="194"/>
      <c r="I2078" s="196"/>
      <c r="J2078" s="192"/>
      <c r="K2078" s="204"/>
    </row>
    <row r="2079" spans="1:11">
      <c r="A2079" s="183"/>
      <c r="B2079" s="184"/>
      <c r="C2079" s="200"/>
      <c r="D2079" s="186"/>
      <c r="E2079" s="187"/>
      <c r="F2079" s="186"/>
      <c r="G2079" s="186"/>
      <c r="H2079" s="194"/>
      <c r="I2079" s="196"/>
      <c r="J2079" s="192"/>
      <c r="K2079" s="204"/>
    </row>
    <row r="2080" spans="1:11">
      <c r="A2080" s="186"/>
      <c r="B2080" s="184"/>
      <c r="C2080" s="200"/>
      <c r="D2080" s="186"/>
      <c r="E2080" s="187"/>
      <c r="F2080" s="188"/>
      <c r="G2080" s="186"/>
      <c r="H2080" s="194"/>
      <c r="I2080" s="196"/>
      <c r="J2080" s="192"/>
      <c r="K2080" s="204"/>
    </row>
    <row r="2081" spans="1:11">
      <c r="A2081" s="183"/>
      <c r="B2081" s="184"/>
      <c r="C2081" s="185"/>
      <c r="D2081" s="186"/>
      <c r="E2081" s="187"/>
      <c r="F2081" s="186"/>
      <c r="G2081" s="190"/>
      <c r="H2081" s="194"/>
      <c r="I2081" s="196"/>
      <c r="J2081" s="192"/>
      <c r="K2081" s="204"/>
    </row>
    <row r="2082" spans="1:11">
      <c r="A2082" s="181"/>
      <c r="B2082" s="184"/>
      <c r="C2082" s="185"/>
      <c r="D2082" s="186"/>
      <c r="E2082" s="187"/>
      <c r="F2082" s="188"/>
      <c r="G2082" s="181"/>
      <c r="H2082" s="194"/>
      <c r="I2082" s="196"/>
      <c r="J2082" s="192"/>
      <c r="K2082" s="204"/>
    </row>
    <row r="2083" spans="1:11">
      <c r="A2083" s="182"/>
      <c r="B2083" s="184"/>
      <c r="C2083" s="202"/>
      <c r="D2083" s="186"/>
      <c r="E2083" s="187"/>
      <c r="F2083" s="186"/>
      <c r="G2083" s="186"/>
      <c r="H2083" s="186"/>
      <c r="I2083" s="191"/>
      <c r="J2083" s="193"/>
      <c r="K2083" s="204"/>
    </row>
    <row r="2084" spans="1:11" ht="14" customHeight="1">
      <c r="A2084" s="183"/>
      <c r="B2084" s="184"/>
      <c r="C2084" s="202"/>
      <c r="D2084" s="186"/>
      <c r="E2084" s="187"/>
      <c r="F2084" s="186"/>
      <c r="G2084" s="186"/>
      <c r="H2084" s="186"/>
      <c r="I2084" s="191"/>
      <c r="J2084" s="193"/>
      <c r="K2084" s="204"/>
    </row>
    <row r="2085" spans="1:11">
      <c r="A2085" s="181"/>
      <c r="B2085" s="184"/>
      <c r="C2085" s="202"/>
      <c r="D2085" s="186"/>
      <c r="E2085" s="187"/>
      <c r="F2085" s="188"/>
      <c r="G2085" s="186"/>
      <c r="H2085" s="186"/>
      <c r="I2085" s="191"/>
      <c r="J2085" s="193"/>
      <c r="K2085" s="204"/>
    </row>
    <row r="2086" spans="1:11">
      <c r="A2086" s="183"/>
      <c r="B2086" s="184"/>
      <c r="C2086" s="185"/>
      <c r="D2086" s="186"/>
      <c r="E2086" s="187"/>
      <c r="F2086" s="186"/>
      <c r="G2086" s="190"/>
      <c r="H2086" s="194"/>
      <c r="I2086" s="196"/>
      <c r="J2086" s="192"/>
      <c r="K2086" s="204"/>
    </row>
    <row r="2087" spans="1:11">
      <c r="A2087" s="186"/>
      <c r="B2087" s="184"/>
      <c r="C2087" s="185"/>
      <c r="D2087" s="186"/>
      <c r="E2087" s="187"/>
      <c r="F2087" s="188"/>
      <c r="G2087" s="181"/>
      <c r="H2087" s="194"/>
      <c r="I2087" s="196"/>
      <c r="J2087" s="192"/>
      <c r="K2087" s="204"/>
    </row>
    <row r="2088" spans="1:11">
      <c r="A2088" s="183"/>
      <c r="B2088" s="184"/>
      <c r="C2088" s="203"/>
      <c r="D2088" s="186"/>
      <c r="E2088" s="198"/>
      <c r="F2088" s="186"/>
      <c r="G2088" s="186"/>
      <c r="H2088" s="186"/>
      <c r="I2088" s="196"/>
      <c r="J2088" s="192"/>
      <c r="K2088" s="204"/>
    </row>
    <row r="2089" spans="1:11">
      <c r="A2089" s="186"/>
      <c r="B2089" s="184"/>
      <c r="C2089" s="203"/>
      <c r="D2089" s="186"/>
      <c r="E2089" s="198"/>
      <c r="F2089" s="186"/>
      <c r="G2089" s="186"/>
      <c r="H2089" s="181"/>
      <c r="I2089" s="196"/>
      <c r="J2089" s="192"/>
      <c r="K2089" s="204"/>
    </row>
    <row r="2090" spans="1:11" ht="16" customHeight="1">
      <c r="A2090" s="183"/>
      <c r="B2090" s="184"/>
      <c r="C2090" s="189"/>
      <c r="D2090" s="200"/>
      <c r="E2090" s="187"/>
      <c r="F2090" s="186"/>
      <c r="G2090" s="186"/>
      <c r="H2090" s="194"/>
      <c r="I2090" s="196"/>
      <c r="J2090" s="192"/>
      <c r="K2090" s="204"/>
    </row>
    <row r="2091" spans="1:11">
      <c r="A2091" s="199"/>
      <c r="B2091" s="184"/>
      <c r="C2091" s="189"/>
      <c r="D2091" s="200"/>
      <c r="E2091" s="187"/>
      <c r="F2091" s="188"/>
      <c r="G2091" s="186"/>
      <c r="H2091" s="194"/>
      <c r="I2091" s="196"/>
      <c r="J2091" s="192"/>
      <c r="K2091" s="204"/>
    </row>
    <row r="2092" spans="1:11">
      <c r="A2092" s="183"/>
      <c r="B2092" s="184"/>
      <c r="C2092" s="185"/>
      <c r="D2092" s="186"/>
      <c r="E2092" s="187"/>
      <c r="F2092" s="186"/>
      <c r="G2092" s="190"/>
      <c r="H2092" s="194"/>
      <c r="I2092" s="196"/>
      <c r="J2092" s="192"/>
      <c r="K2092" s="204"/>
    </row>
    <row r="2093" spans="1:11" ht="21" customHeight="1">
      <c r="A2093" s="186"/>
      <c r="B2093" s="184"/>
      <c r="C2093" s="185"/>
      <c r="D2093" s="186"/>
      <c r="E2093" s="187"/>
      <c r="F2093" s="188"/>
      <c r="G2093" s="181"/>
      <c r="H2093" s="194"/>
      <c r="I2093" s="196"/>
      <c r="J2093" s="192"/>
      <c r="K2093" s="204"/>
    </row>
    <row r="2094" spans="1:11">
      <c r="A2094" s="183"/>
      <c r="B2094" s="184"/>
      <c r="C2094" s="185"/>
      <c r="D2094" s="186"/>
      <c r="E2094" s="187"/>
      <c r="F2094" s="186"/>
      <c r="G2094" s="190"/>
      <c r="H2094" s="194"/>
      <c r="I2094" s="196"/>
      <c r="J2094" s="192"/>
      <c r="K2094" s="204"/>
    </row>
    <row r="2095" spans="1:11">
      <c r="A2095" s="186"/>
      <c r="B2095" s="184"/>
      <c r="C2095" s="185"/>
      <c r="D2095" s="186"/>
      <c r="E2095" s="187"/>
      <c r="F2095" s="188"/>
      <c r="G2095" s="181"/>
      <c r="H2095" s="194"/>
      <c r="I2095" s="196"/>
      <c r="J2095" s="192"/>
      <c r="K2095" s="204"/>
    </row>
    <row r="2096" spans="1:11" ht="31.5" customHeight="1">
      <c r="A2096" s="183"/>
      <c r="B2096" s="184"/>
      <c r="C2096" s="200"/>
      <c r="D2096" s="186"/>
      <c r="E2096" s="187"/>
      <c r="F2096" s="186"/>
      <c r="G2096" s="186"/>
      <c r="H2096" s="194"/>
      <c r="I2096" s="196"/>
      <c r="J2096" s="192"/>
      <c r="K2096" s="204"/>
    </row>
    <row r="2097" spans="1:11">
      <c r="A2097" s="186"/>
      <c r="B2097" s="184"/>
      <c r="C2097" s="200"/>
      <c r="D2097" s="186"/>
      <c r="E2097" s="187"/>
      <c r="F2097" s="188"/>
      <c r="G2097" s="186"/>
      <c r="H2097" s="194"/>
      <c r="I2097" s="196"/>
      <c r="J2097" s="192"/>
      <c r="K2097" s="204"/>
    </row>
    <row r="2098" spans="1:11">
      <c r="A2098" s="183"/>
      <c r="B2098" s="184"/>
      <c r="C2098" s="185"/>
      <c r="D2098" s="186"/>
      <c r="E2098" s="187"/>
      <c r="F2098" s="186"/>
      <c r="G2098" s="190"/>
      <c r="H2098" s="194"/>
      <c r="I2098" s="196"/>
      <c r="J2098" s="192"/>
      <c r="K2098" s="204"/>
    </row>
    <row r="2099" spans="1:11" ht="16" customHeight="1">
      <c r="A2099" s="186"/>
      <c r="B2099" s="184"/>
      <c r="C2099" s="185"/>
      <c r="D2099" s="186"/>
      <c r="E2099" s="187"/>
      <c r="F2099" s="188"/>
      <c r="G2099" s="181"/>
      <c r="H2099" s="194"/>
      <c r="I2099" s="196"/>
      <c r="J2099" s="192"/>
      <c r="K2099" s="204"/>
    </row>
    <row r="2100" spans="1:11">
      <c r="A2100" s="183"/>
      <c r="B2100" s="184"/>
      <c r="C2100" s="185"/>
      <c r="D2100" s="186"/>
      <c r="E2100" s="187"/>
      <c r="F2100" s="186"/>
      <c r="G2100" s="190"/>
      <c r="H2100" s="194"/>
      <c r="I2100" s="196"/>
      <c r="J2100" s="192"/>
      <c r="K2100" s="204"/>
    </row>
    <row r="2101" spans="1:11">
      <c r="A2101" s="186"/>
      <c r="B2101" s="184"/>
      <c r="C2101" s="185"/>
      <c r="D2101" s="186"/>
      <c r="E2101" s="187"/>
      <c r="F2101" s="188"/>
      <c r="G2101" s="181"/>
      <c r="H2101" s="194"/>
      <c r="I2101" s="196"/>
      <c r="J2101" s="192"/>
      <c r="K2101" s="204"/>
    </row>
    <row r="2102" spans="1:11" ht="24" customHeight="1">
      <c r="A2102" s="183"/>
      <c r="B2102" s="184"/>
      <c r="C2102" s="185"/>
      <c r="D2102" s="186"/>
      <c r="E2102" s="187"/>
      <c r="F2102" s="186"/>
      <c r="G2102" s="190"/>
      <c r="H2102" s="194"/>
      <c r="I2102" s="196"/>
      <c r="J2102" s="192"/>
      <c r="K2102" s="204"/>
    </row>
    <row r="2103" spans="1:11">
      <c r="A2103" s="186"/>
      <c r="B2103" s="184"/>
      <c r="C2103" s="185"/>
      <c r="D2103" s="186"/>
      <c r="E2103" s="187"/>
      <c r="F2103" s="188"/>
      <c r="G2103" s="181"/>
      <c r="H2103" s="194"/>
      <c r="I2103" s="196"/>
      <c r="J2103" s="192"/>
      <c r="K2103" s="204"/>
    </row>
    <row r="2104" spans="1:11">
      <c r="A2104" s="183"/>
      <c r="B2104" s="184"/>
      <c r="C2104" s="185"/>
      <c r="D2104" s="186"/>
      <c r="E2104" s="187"/>
      <c r="F2104" s="186"/>
      <c r="G2104" s="190"/>
      <c r="H2104" s="194"/>
      <c r="I2104" s="196"/>
      <c r="J2104" s="192"/>
      <c r="K2104" s="204"/>
    </row>
    <row r="2105" spans="1:11" ht="16" customHeight="1">
      <c r="A2105" s="186"/>
      <c r="B2105" s="184"/>
      <c r="C2105" s="185"/>
      <c r="D2105" s="186"/>
      <c r="E2105" s="187"/>
      <c r="F2105" s="188"/>
      <c r="G2105" s="181"/>
      <c r="H2105" s="194"/>
      <c r="I2105" s="196"/>
      <c r="J2105" s="192"/>
      <c r="K2105" s="204"/>
    </row>
    <row r="2106" spans="1:11">
      <c r="A2106" s="183"/>
      <c r="B2106" s="184"/>
      <c r="C2106" s="185"/>
      <c r="D2106" s="186"/>
      <c r="E2106" s="187"/>
      <c r="F2106" s="186"/>
      <c r="G2106" s="190"/>
      <c r="H2106" s="194"/>
      <c r="I2106" s="196"/>
      <c r="J2106" s="192"/>
      <c r="K2106" s="204"/>
    </row>
    <row r="2107" spans="1:11">
      <c r="A2107" s="186"/>
      <c r="B2107" s="184"/>
      <c r="C2107" s="185"/>
      <c r="D2107" s="186"/>
      <c r="E2107" s="187"/>
      <c r="F2107" s="188"/>
      <c r="G2107" s="181"/>
      <c r="H2107" s="194"/>
      <c r="I2107" s="196"/>
      <c r="J2107" s="192"/>
      <c r="K2107" s="204"/>
    </row>
    <row r="2108" spans="1:11">
      <c r="A2108" s="183"/>
      <c r="B2108" s="184"/>
      <c r="C2108" s="185"/>
      <c r="D2108" s="186"/>
      <c r="E2108" s="187"/>
      <c r="F2108" s="186"/>
      <c r="G2108" s="190"/>
      <c r="H2108" s="194"/>
      <c r="I2108" s="196"/>
      <c r="J2108" s="192"/>
      <c r="K2108" s="204"/>
    </row>
    <row r="2109" spans="1:11">
      <c r="A2109" s="186"/>
      <c r="B2109" s="184"/>
      <c r="C2109" s="185"/>
      <c r="D2109" s="186"/>
      <c r="E2109" s="187"/>
      <c r="F2109" s="188"/>
      <c r="G2109" s="181"/>
      <c r="H2109" s="194"/>
      <c r="I2109" s="196"/>
      <c r="J2109" s="192"/>
      <c r="K2109" s="204"/>
    </row>
    <row r="2110" spans="1:11">
      <c r="A2110" s="183"/>
      <c r="B2110" s="184"/>
      <c r="C2110" s="185"/>
      <c r="D2110" s="186"/>
      <c r="E2110" s="187"/>
      <c r="F2110" s="186"/>
      <c r="G2110" s="190"/>
      <c r="H2110" s="194"/>
      <c r="I2110" s="196"/>
      <c r="J2110" s="192"/>
      <c r="K2110" s="204"/>
    </row>
    <row r="2111" spans="1:11" ht="21" customHeight="1">
      <c r="A2111" s="186"/>
      <c r="B2111" s="184"/>
      <c r="C2111" s="185"/>
      <c r="D2111" s="186"/>
      <c r="E2111" s="187"/>
      <c r="F2111" s="188"/>
      <c r="G2111" s="181"/>
      <c r="H2111" s="194"/>
      <c r="I2111" s="196"/>
      <c r="J2111" s="192"/>
      <c r="K2111" s="204"/>
    </row>
    <row r="2112" spans="1:11">
      <c r="A2112" s="183"/>
      <c r="B2112" s="184"/>
      <c r="C2112" s="185"/>
      <c r="D2112" s="186"/>
      <c r="E2112" s="187"/>
      <c r="F2112" s="186"/>
      <c r="G2112" s="190"/>
      <c r="H2112" s="194"/>
      <c r="I2112" s="196"/>
      <c r="J2112" s="192"/>
      <c r="K2112" s="204"/>
    </row>
    <row r="2113" spans="1:11">
      <c r="A2113" s="186"/>
      <c r="B2113" s="184"/>
      <c r="C2113" s="185"/>
      <c r="D2113" s="186"/>
      <c r="E2113" s="187"/>
      <c r="F2113" s="188"/>
      <c r="G2113" s="181"/>
      <c r="H2113" s="194"/>
      <c r="I2113" s="196"/>
      <c r="J2113" s="192"/>
      <c r="K2113" s="204"/>
    </row>
    <row r="2114" spans="1:11" ht="31.5" customHeight="1">
      <c r="A2114" s="183"/>
      <c r="B2114" s="184"/>
      <c r="C2114" s="185"/>
      <c r="D2114" s="186"/>
      <c r="E2114" s="187"/>
      <c r="F2114" s="186"/>
      <c r="G2114" s="190"/>
      <c r="H2114" s="194"/>
      <c r="I2114" s="196"/>
      <c r="J2114" s="192"/>
      <c r="K2114" s="204"/>
    </row>
    <row r="2115" spans="1:11">
      <c r="A2115" s="186"/>
      <c r="B2115" s="184"/>
      <c r="C2115" s="185"/>
      <c r="D2115" s="186"/>
      <c r="E2115" s="187"/>
      <c r="F2115" s="188"/>
      <c r="G2115" s="181"/>
      <c r="H2115" s="194"/>
      <c r="I2115" s="196"/>
      <c r="J2115" s="192"/>
      <c r="K2115" s="204"/>
    </row>
    <row r="2116" spans="1:11">
      <c r="A2116" s="182"/>
      <c r="B2116" s="184"/>
      <c r="C2116" s="185"/>
      <c r="D2116" s="186"/>
      <c r="E2116" s="187"/>
      <c r="F2116" s="186"/>
      <c r="G2116" s="189"/>
      <c r="H2116" s="186"/>
      <c r="I2116" s="191"/>
      <c r="J2116" s="192"/>
      <c r="K2116" s="204"/>
    </row>
    <row r="2117" spans="1:11" ht="16" customHeight="1">
      <c r="A2117" s="183"/>
      <c r="B2117" s="184"/>
      <c r="C2117" s="185"/>
      <c r="D2117" s="186"/>
      <c r="E2117" s="187"/>
      <c r="F2117" s="186"/>
      <c r="G2117" s="190"/>
      <c r="H2117" s="186"/>
      <c r="I2117" s="191"/>
      <c r="J2117" s="192"/>
      <c r="K2117" s="204"/>
    </row>
    <row r="2118" spans="1:11">
      <c r="A2118" s="181"/>
      <c r="B2118" s="184"/>
      <c r="C2118" s="185"/>
      <c r="D2118" s="186"/>
      <c r="E2118" s="187"/>
      <c r="F2118" s="188"/>
      <c r="G2118" s="181"/>
      <c r="H2118" s="186"/>
      <c r="I2118" s="191"/>
      <c r="J2118" s="192"/>
      <c r="K2118" s="204"/>
    </row>
    <row r="2119" spans="1:11">
      <c r="A2119" s="183"/>
      <c r="B2119" s="184"/>
      <c r="C2119" s="185"/>
      <c r="D2119" s="186"/>
      <c r="E2119" s="187"/>
      <c r="F2119" s="186"/>
      <c r="G2119" s="186"/>
      <c r="H2119" s="194"/>
      <c r="I2119" s="196"/>
      <c r="J2119" s="192"/>
      <c r="K2119" s="204"/>
    </row>
    <row r="2120" spans="1:11" ht="31.5" customHeight="1">
      <c r="A2120" s="186"/>
      <c r="B2120" s="184"/>
      <c r="C2120" s="185"/>
      <c r="D2120" s="186"/>
      <c r="E2120" s="187"/>
      <c r="F2120" s="188"/>
      <c r="G2120" s="186"/>
      <c r="H2120" s="194"/>
      <c r="I2120" s="196"/>
      <c r="J2120" s="192"/>
      <c r="K2120" s="204"/>
    </row>
    <row r="2121" spans="1:11">
      <c r="A2121" s="183"/>
      <c r="B2121" s="184"/>
      <c r="C2121" s="189"/>
      <c r="D2121" s="200"/>
      <c r="E2121" s="198"/>
      <c r="F2121" s="186"/>
      <c r="G2121" s="186"/>
      <c r="H2121" s="186"/>
      <c r="I2121" s="196"/>
      <c r="J2121" s="192"/>
      <c r="K2121" s="204"/>
    </row>
    <row r="2122" spans="1:11">
      <c r="A2122" s="186"/>
      <c r="B2122" s="184"/>
      <c r="C2122" s="189"/>
      <c r="D2122" s="200"/>
      <c r="E2122" s="198"/>
      <c r="F2122" s="186"/>
      <c r="G2122" s="186"/>
      <c r="H2122" s="181"/>
      <c r="I2122" s="196"/>
      <c r="J2122" s="192"/>
      <c r="K2122" s="204"/>
    </row>
    <row r="2123" spans="1:11">
      <c r="A2123" s="183"/>
      <c r="B2123" s="184"/>
      <c r="C2123" s="185"/>
      <c r="D2123" s="186"/>
      <c r="E2123" s="187"/>
      <c r="F2123" s="186"/>
      <c r="G2123" s="190"/>
      <c r="H2123" s="194"/>
      <c r="I2123" s="196"/>
      <c r="J2123" s="192"/>
      <c r="K2123" s="204"/>
    </row>
    <row r="2124" spans="1:11">
      <c r="A2124" s="186"/>
      <c r="B2124" s="184"/>
      <c r="C2124" s="185"/>
      <c r="D2124" s="186"/>
      <c r="E2124" s="187"/>
      <c r="F2124" s="188"/>
      <c r="G2124" s="181"/>
      <c r="H2124" s="194"/>
      <c r="I2124" s="196"/>
      <c r="J2124" s="192"/>
      <c r="K2124" s="204"/>
    </row>
    <row r="2125" spans="1:11">
      <c r="A2125" s="183"/>
      <c r="B2125" s="184"/>
      <c r="C2125" s="185"/>
      <c r="D2125" s="186"/>
      <c r="E2125" s="187"/>
      <c r="F2125" s="186"/>
      <c r="G2125" s="190"/>
      <c r="H2125" s="194"/>
      <c r="I2125" s="196"/>
      <c r="J2125" s="192"/>
      <c r="K2125" s="204"/>
    </row>
    <row r="2126" spans="1:11">
      <c r="A2126" s="186"/>
      <c r="B2126" s="184"/>
      <c r="C2126" s="185"/>
      <c r="D2126" s="186"/>
      <c r="E2126" s="187"/>
      <c r="F2126" s="188"/>
      <c r="G2126" s="181"/>
      <c r="H2126" s="194"/>
      <c r="I2126" s="196"/>
      <c r="J2126" s="192"/>
      <c r="K2126" s="204"/>
    </row>
    <row r="2127" spans="1:11">
      <c r="A2127" s="183"/>
      <c r="B2127" s="184"/>
      <c r="C2127" s="185"/>
      <c r="D2127" s="186"/>
      <c r="E2127" s="187"/>
      <c r="F2127" s="186"/>
      <c r="G2127" s="190"/>
      <c r="H2127" s="194"/>
      <c r="I2127" s="196"/>
      <c r="J2127" s="192"/>
      <c r="K2127" s="204"/>
    </row>
    <row r="2128" spans="1:11">
      <c r="A2128" s="186"/>
      <c r="B2128" s="184"/>
      <c r="C2128" s="185"/>
      <c r="D2128" s="186"/>
      <c r="E2128" s="187"/>
      <c r="F2128" s="188"/>
      <c r="G2128" s="181"/>
      <c r="H2128" s="194"/>
      <c r="I2128" s="196"/>
      <c r="J2128" s="192"/>
      <c r="K2128" s="204"/>
    </row>
    <row r="2129" spans="1:11" ht="21" customHeight="1">
      <c r="A2129" s="183"/>
      <c r="B2129" s="184"/>
      <c r="C2129" s="185"/>
      <c r="D2129" s="186"/>
      <c r="E2129" s="198"/>
      <c r="F2129" s="186"/>
      <c r="G2129" s="186"/>
      <c r="H2129" s="194"/>
      <c r="I2129" s="196"/>
      <c r="J2129" s="192"/>
      <c r="K2129" s="204"/>
    </row>
    <row r="2130" spans="1:11">
      <c r="A2130" s="199"/>
      <c r="B2130" s="184"/>
      <c r="C2130" s="185"/>
      <c r="D2130" s="186"/>
      <c r="E2130" s="198"/>
      <c r="F2130" s="186"/>
      <c r="G2130" s="186"/>
      <c r="H2130" s="194"/>
      <c r="I2130" s="196"/>
      <c r="J2130" s="192"/>
      <c r="K2130" s="204"/>
    </row>
    <row r="2131" spans="1:11">
      <c r="A2131" s="183"/>
      <c r="B2131" s="184"/>
      <c r="C2131" s="203"/>
      <c r="D2131" s="186"/>
      <c r="E2131" s="198"/>
      <c r="F2131" s="186"/>
      <c r="G2131" s="186"/>
      <c r="H2131" s="194"/>
      <c r="I2131" s="196"/>
      <c r="J2131" s="192"/>
      <c r="K2131" s="204"/>
    </row>
    <row r="2132" spans="1:11">
      <c r="A2132" s="186"/>
      <c r="B2132" s="184"/>
      <c r="C2132" s="203"/>
      <c r="D2132" s="186"/>
      <c r="E2132" s="198"/>
      <c r="F2132" s="186"/>
      <c r="G2132" s="186"/>
      <c r="H2132" s="194"/>
      <c r="I2132" s="196"/>
      <c r="J2132" s="192"/>
      <c r="K2132" s="204"/>
    </row>
    <row r="2133" spans="1:11">
      <c r="A2133" s="183"/>
      <c r="B2133" s="184"/>
      <c r="C2133" s="203"/>
      <c r="D2133" s="186"/>
      <c r="E2133" s="187"/>
      <c r="F2133" s="186"/>
      <c r="G2133" s="186"/>
      <c r="H2133" s="194"/>
      <c r="I2133" s="196"/>
      <c r="J2133" s="192"/>
      <c r="K2133" s="204"/>
    </row>
    <row r="2134" spans="1:11">
      <c r="A2134" s="181"/>
      <c r="B2134" s="184"/>
      <c r="C2134" s="203"/>
      <c r="D2134" s="186"/>
      <c r="E2134" s="187"/>
      <c r="F2134" s="188"/>
      <c r="G2134" s="186"/>
      <c r="H2134" s="194"/>
      <c r="I2134" s="196"/>
      <c r="J2134" s="192"/>
      <c r="K2134" s="204"/>
    </row>
    <row r="2135" spans="1:11">
      <c r="A2135" s="183"/>
      <c r="B2135" s="184"/>
      <c r="C2135" s="203"/>
      <c r="D2135" s="186"/>
      <c r="E2135" s="198"/>
      <c r="F2135" s="186"/>
      <c r="G2135" s="186"/>
      <c r="H2135" s="194"/>
      <c r="I2135" s="196"/>
      <c r="J2135" s="192"/>
      <c r="K2135" s="204"/>
    </row>
    <row r="2136" spans="1:11">
      <c r="A2136" s="186"/>
      <c r="B2136" s="184"/>
      <c r="C2136" s="203"/>
      <c r="D2136" s="186"/>
      <c r="E2136" s="198"/>
      <c r="F2136" s="186"/>
      <c r="G2136" s="186"/>
      <c r="H2136" s="194"/>
      <c r="I2136" s="196"/>
      <c r="J2136" s="192"/>
      <c r="K2136" s="204"/>
    </row>
    <row r="2137" spans="1:11">
      <c r="A2137" s="182"/>
      <c r="B2137" s="184"/>
      <c r="C2137" s="203"/>
      <c r="D2137" s="186"/>
      <c r="E2137" s="187"/>
      <c r="F2137" s="186"/>
      <c r="G2137" s="186"/>
      <c r="H2137" s="186"/>
      <c r="I2137" s="191"/>
      <c r="J2137" s="192"/>
      <c r="K2137" s="204"/>
    </row>
    <row r="2138" spans="1:11" ht="16" customHeight="1">
      <c r="A2138" s="183"/>
      <c r="B2138" s="184"/>
      <c r="C2138" s="203"/>
      <c r="D2138" s="186"/>
      <c r="E2138" s="187"/>
      <c r="F2138" s="186"/>
      <c r="G2138" s="186"/>
      <c r="H2138" s="186"/>
      <c r="I2138" s="191"/>
      <c r="J2138" s="192"/>
      <c r="K2138" s="204"/>
    </row>
    <row r="2139" spans="1:11">
      <c r="A2139" s="181"/>
      <c r="B2139" s="184"/>
      <c r="C2139" s="203"/>
      <c r="D2139" s="186"/>
      <c r="E2139" s="187"/>
      <c r="F2139" s="188"/>
      <c r="G2139" s="186"/>
      <c r="H2139" s="186"/>
      <c r="I2139" s="191"/>
      <c r="J2139" s="192"/>
      <c r="K2139" s="204"/>
    </row>
    <row r="2140" spans="1:11">
      <c r="A2140" s="183"/>
      <c r="B2140" s="184"/>
      <c r="C2140" s="203"/>
      <c r="D2140" s="186"/>
      <c r="E2140" s="187"/>
      <c r="F2140" s="186"/>
      <c r="G2140" s="186"/>
      <c r="H2140" s="194"/>
      <c r="I2140" s="196"/>
      <c r="J2140" s="192"/>
      <c r="K2140" s="204"/>
    </row>
    <row r="2141" spans="1:11">
      <c r="A2141" s="181"/>
      <c r="B2141" s="184"/>
      <c r="C2141" s="203"/>
      <c r="D2141" s="186"/>
      <c r="E2141" s="187"/>
      <c r="F2141" s="188"/>
      <c r="G2141" s="186"/>
      <c r="H2141" s="194"/>
      <c r="I2141" s="196"/>
      <c r="J2141" s="192"/>
      <c r="K2141" s="204"/>
    </row>
    <row r="2142" spans="1:11">
      <c r="A2142" s="183"/>
      <c r="B2142" s="184"/>
      <c r="C2142" s="203"/>
      <c r="D2142" s="186"/>
      <c r="E2142" s="187"/>
      <c r="F2142" s="186"/>
      <c r="G2142" s="190"/>
      <c r="H2142" s="194"/>
      <c r="I2142" s="196"/>
      <c r="J2142" s="192"/>
      <c r="K2142" s="204"/>
    </row>
    <row r="2143" spans="1:11">
      <c r="A2143" s="186"/>
      <c r="B2143" s="184"/>
      <c r="C2143" s="203"/>
      <c r="D2143" s="186"/>
      <c r="E2143" s="187"/>
      <c r="F2143" s="188"/>
      <c r="G2143" s="181"/>
      <c r="H2143" s="194"/>
      <c r="I2143" s="196"/>
      <c r="J2143" s="192"/>
      <c r="K2143" s="204"/>
    </row>
    <row r="2144" spans="1:11" ht="16" customHeight="1">
      <c r="A2144" s="183"/>
      <c r="B2144" s="184"/>
      <c r="C2144" s="189"/>
      <c r="D2144" s="186"/>
      <c r="E2144" s="198"/>
      <c r="F2144" s="186"/>
      <c r="G2144" s="186"/>
      <c r="H2144" s="186"/>
      <c r="I2144" s="196"/>
      <c r="J2144" s="192"/>
      <c r="K2144" s="204"/>
    </row>
    <row r="2145" spans="1:11">
      <c r="A2145" s="182"/>
      <c r="B2145" s="184"/>
      <c r="C2145" s="203"/>
      <c r="D2145" s="186"/>
      <c r="E2145" s="198"/>
      <c r="F2145" s="186"/>
      <c r="G2145" s="186"/>
      <c r="H2145" s="186"/>
      <c r="I2145" s="191"/>
      <c r="J2145" s="192"/>
      <c r="K2145" s="204"/>
    </row>
    <row r="2146" spans="1:11">
      <c r="A2146" s="183"/>
      <c r="B2146" s="184"/>
      <c r="C2146" s="203"/>
      <c r="D2146" s="186"/>
      <c r="E2146" s="198"/>
      <c r="F2146" s="186"/>
      <c r="G2146" s="186"/>
      <c r="H2146" s="186"/>
      <c r="I2146" s="191"/>
      <c r="J2146" s="192"/>
      <c r="K2146" s="204"/>
    </row>
    <row r="2147" spans="1:11" ht="21" customHeight="1">
      <c r="A2147" s="186"/>
      <c r="B2147" s="184"/>
      <c r="C2147" s="203"/>
      <c r="D2147" s="186"/>
      <c r="E2147" s="198"/>
      <c r="F2147" s="186"/>
      <c r="G2147" s="186"/>
      <c r="H2147" s="186"/>
      <c r="I2147" s="191"/>
      <c r="J2147" s="192"/>
      <c r="K2147" s="204"/>
    </row>
    <row r="2148" spans="1:11">
      <c r="A2148" s="183"/>
      <c r="B2148" s="184"/>
      <c r="C2148" s="185"/>
      <c r="D2148" s="186"/>
      <c r="E2148" s="187"/>
      <c r="F2148" s="186"/>
      <c r="G2148" s="190"/>
      <c r="H2148" s="194"/>
      <c r="I2148" s="196"/>
      <c r="J2148" s="192"/>
      <c r="K2148" s="204"/>
    </row>
    <row r="2149" spans="1:11">
      <c r="A2149" s="186"/>
      <c r="B2149" s="184"/>
      <c r="C2149" s="185"/>
      <c r="D2149" s="186"/>
      <c r="E2149" s="187"/>
      <c r="F2149" s="188"/>
      <c r="G2149" s="181"/>
      <c r="H2149" s="194"/>
      <c r="I2149" s="196"/>
      <c r="J2149" s="192"/>
      <c r="K2149" s="204"/>
    </row>
    <row r="2150" spans="1:11">
      <c r="A2150" s="183"/>
      <c r="B2150" s="184"/>
      <c r="C2150" s="203"/>
      <c r="D2150" s="186"/>
      <c r="E2150" s="198"/>
      <c r="F2150" s="186"/>
      <c r="G2150" s="186"/>
      <c r="H2150" s="186"/>
      <c r="I2150" s="196"/>
      <c r="J2150" s="192"/>
      <c r="K2150" s="204"/>
    </row>
    <row r="2151" spans="1:11">
      <c r="A2151" s="186"/>
      <c r="B2151" s="184"/>
      <c r="C2151" s="203"/>
      <c r="D2151" s="186"/>
      <c r="E2151" s="198"/>
      <c r="F2151" s="186"/>
      <c r="G2151" s="186"/>
      <c r="H2151" s="181"/>
      <c r="I2151" s="196"/>
      <c r="J2151" s="192"/>
      <c r="K2151" s="204"/>
    </row>
    <row r="2152" spans="1:11">
      <c r="A2152" s="183"/>
      <c r="B2152" s="184"/>
      <c r="C2152" s="200"/>
      <c r="D2152" s="186"/>
      <c r="E2152" s="187"/>
      <c r="F2152" s="186"/>
      <c r="G2152" s="186"/>
      <c r="H2152" s="194"/>
      <c r="I2152" s="196"/>
      <c r="J2152" s="192"/>
      <c r="K2152" s="204"/>
    </row>
    <row r="2153" spans="1:11" ht="24" customHeight="1">
      <c r="A2153" s="186"/>
      <c r="B2153" s="184"/>
      <c r="C2153" s="200"/>
      <c r="D2153" s="186"/>
      <c r="E2153" s="187"/>
      <c r="F2153" s="188"/>
      <c r="G2153" s="186"/>
      <c r="H2153" s="194"/>
      <c r="I2153" s="196"/>
      <c r="J2153" s="192"/>
      <c r="K2153" s="204"/>
    </row>
    <row r="2154" spans="1:11">
      <c r="A2154" s="183"/>
      <c r="B2154" s="184"/>
      <c r="C2154" s="185"/>
      <c r="D2154" s="186"/>
      <c r="E2154" s="187"/>
      <c r="F2154" s="186"/>
      <c r="G2154" s="190"/>
      <c r="H2154" s="194"/>
      <c r="I2154" s="196"/>
      <c r="J2154" s="192"/>
      <c r="K2154" s="204"/>
    </row>
    <row r="2155" spans="1:11">
      <c r="A2155" s="186"/>
      <c r="B2155" s="184"/>
      <c r="C2155" s="185"/>
      <c r="D2155" s="186"/>
      <c r="E2155" s="187"/>
      <c r="F2155" s="188"/>
      <c r="G2155" s="181"/>
      <c r="H2155" s="194"/>
      <c r="I2155" s="196"/>
      <c r="J2155" s="192"/>
      <c r="K2155" s="204"/>
    </row>
    <row r="2156" spans="1:11" ht="24" customHeight="1">
      <c r="A2156" s="183"/>
      <c r="B2156" s="184"/>
      <c r="C2156" s="185"/>
      <c r="D2156" s="186"/>
      <c r="E2156" s="187"/>
      <c r="F2156" s="186"/>
      <c r="G2156" s="190"/>
      <c r="H2156" s="194"/>
      <c r="I2156" s="196"/>
      <c r="J2156" s="192"/>
      <c r="K2156" s="204"/>
    </row>
    <row r="2157" spans="1:11">
      <c r="A2157" s="186"/>
      <c r="B2157" s="184"/>
      <c r="C2157" s="185"/>
      <c r="D2157" s="186"/>
      <c r="E2157" s="187"/>
      <c r="F2157" s="188"/>
      <c r="G2157" s="181"/>
      <c r="H2157" s="194"/>
      <c r="I2157" s="196"/>
      <c r="J2157" s="192"/>
      <c r="K2157" s="204"/>
    </row>
    <row r="2158" spans="1:11">
      <c r="A2158" s="182"/>
      <c r="B2158" s="184"/>
      <c r="C2158" s="203"/>
      <c r="D2158" s="186"/>
      <c r="E2158" s="198"/>
      <c r="F2158" s="186"/>
      <c r="G2158" s="186"/>
      <c r="H2158" s="186"/>
      <c r="I2158" s="191"/>
      <c r="J2158" s="192"/>
      <c r="K2158" s="204"/>
    </row>
    <row r="2159" spans="1:11" ht="21" customHeight="1">
      <c r="A2159" s="183"/>
      <c r="B2159" s="184"/>
      <c r="C2159" s="203"/>
      <c r="D2159" s="186"/>
      <c r="E2159" s="198"/>
      <c r="F2159" s="186"/>
      <c r="G2159" s="186"/>
      <c r="H2159" s="186"/>
      <c r="I2159" s="191"/>
      <c r="J2159" s="192"/>
      <c r="K2159" s="204"/>
    </row>
    <row r="2160" spans="1:11">
      <c r="A2160" s="186"/>
      <c r="B2160" s="184"/>
      <c r="C2160" s="203"/>
      <c r="D2160" s="186"/>
      <c r="E2160" s="198"/>
      <c r="F2160" s="186"/>
      <c r="G2160" s="186"/>
      <c r="H2160" s="186"/>
      <c r="I2160" s="191"/>
      <c r="J2160" s="192"/>
      <c r="K2160" s="204"/>
    </row>
    <row r="2161" spans="1:11">
      <c r="A2161" s="183"/>
      <c r="B2161" s="184"/>
      <c r="C2161" s="203"/>
      <c r="D2161" s="186"/>
      <c r="E2161" s="198"/>
      <c r="F2161" s="186"/>
      <c r="G2161" s="186"/>
      <c r="H2161" s="194"/>
      <c r="I2161" s="196"/>
      <c r="J2161" s="192"/>
      <c r="K2161" s="204"/>
    </row>
    <row r="2162" spans="1:11">
      <c r="A2162" s="186"/>
      <c r="B2162" s="184"/>
      <c r="C2162" s="203"/>
      <c r="D2162" s="186"/>
      <c r="E2162" s="198"/>
      <c r="F2162" s="186"/>
      <c r="G2162" s="186"/>
      <c r="H2162" s="194"/>
      <c r="I2162" s="196"/>
      <c r="J2162" s="192"/>
      <c r="K2162" s="204"/>
    </row>
    <row r="2163" spans="1:11">
      <c r="A2163" s="183"/>
      <c r="B2163" s="184"/>
      <c r="C2163" s="203"/>
      <c r="D2163" s="186"/>
      <c r="E2163" s="198"/>
      <c r="F2163" s="186"/>
      <c r="G2163" s="186"/>
      <c r="H2163" s="194"/>
      <c r="I2163" s="196"/>
      <c r="J2163" s="192"/>
      <c r="K2163" s="204"/>
    </row>
    <row r="2164" spans="1:11">
      <c r="A2164" s="186"/>
      <c r="B2164" s="184"/>
      <c r="C2164" s="203"/>
      <c r="D2164" s="186"/>
      <c r="E2164" s="198"/>
      <c r="F2164" s="186"/>
      <c r="G2164" s="186"/>
      <c r="H2164" s="194"/>
      <c r="I2164" s="196"/>
      <c r="J2164" s="192"/>
      <c r="K2164" s="204"/>
    </row>
    <row r="2165" spans="1:11" ht="16" customHeight="1">
      <c r="A2165" s="183"/>
      <c r="B2165" s="184"/>
      <c r="C2165" s="185"/>
      <c r="D2165" s="186"/>
      <c r="E2165" s="198"/>
      <c r="F2165" s="186"/>
      <c r="G2165" s="186"/>
      <c r="H2165" s="186"/>
      <c r="I2165" s="196"/>
      <c r="J2165" s="192"/>
      <c r="K2165" s="204"/>
    </row>
    <row r="2166" spans="1:11">
      <c r="A2166" s="186"/>
      <c r="B2166" s="184"/>
      <c r="C2166" s="185"/>
      <c r="D2166" s="186"/>
      <c r="E2166" s="198"/>
      <c r="F2166" s="186"/>
      <c r="G2166" s="186"/>
      <c r="H2166" s="181"/>
      <c r="I2166" s="196"/>
      <c r="J2166" s="192"/>
      <c r="K2166" s="204"/>
    </row>
    <row r="2167" spans="1:11">
      <c r="A2167" s="183"/>
      <c r="B2167" s="184"/>
      <c r="C2167" s="189"/>
      <c r="D2167" s="186"/>
      <c r="E2167" s="198"/>
      <c r="F2167" s="186"/>
      <c r="G2167" s="186"/>
      <c r="H2167" s="194"/>
      <c r="I2167" s="196"/>
      <c r="J2167" s="192"/>
      <c r="K2167" s="204"/>
    </row>
    <row r="2168" spans="1:11">
      <c r="A2168" s="199"/>
      <c r="B2168" s="184"/>
      <c r="C2168" s="189"/>
      <c r="D2168" s="186"/>
      <c r="E2168" s="198"/>
      <c r="F2168" s="186"/>
      <c r="G2168" s="186"/>
      <c r="H2168" s="194"/>
      <c r="I2168" s="196"/>
      <c r="J2168" s="192"/>
      <c r="K2168" s="204"/>
    </row>
    <row r="2169" spans="1:11">
      <c r="A2169" s="183"/>
      <c r="B2169" s="184"/>
      <c r="C2169" s="203"/>
      <c r="D2169" s="186"/>
      <c r="E2169" s="187"/>
      <c r="F2169" s="186"/>
      <c r="G2169" s="190"/>
      <c r="H2169" s="186"/>
      <c r="I2169" s="196"/>
      <c r="J2169" s="192"/>
      <c r="K2169" s="204"/>
    </row>
    <row r="2170" spans="1:11">
      <c r="A2170" s="186"/>
      <c r="B2170" s="184"/>
      <c r="C2170" s="203"/>
      <c r="D2170" s="186"/>
      <c r="E2170" s="187"/>
      <c r="F2170" s="188"/>
      <c r="G2170" s="181"/>
      <c r="H2170" s="181"/>
      <c r="I2170" s="196"/>
      <c r="J2170" s="192"/>
      <c r="K2170" s="204"/>
    </row>
    <row r="2171" spans="1:11">
      <c r="A2171" s="183"/>
      <c r="B2171" s="184"/>
      <c r="C2171" s="185"/>
      <c r="D2171" s="186"/>
      <c r="E2171" s="187"/>
      <c r="F2171" s="186"/>
      <c r="G2171" s="190"/>
      <c r="H2171" s="194"/>
      <c r="I2171" s="196"/>
      <c r="J2171" s="192"/>
      <c r="K2171" s="204"/>
    </row>
    <row r="2172" spans="1:11">
      <c r="A2172" s="186"/>
      <c r="B2172" s="184"/>
      <c r="C2172" s="185"/>
      <c r="D2172" s="186"/>
      <c r="E2172" s="187"/>
      <c r="F2172" s="188"/>
      <c r="G2172" s="181"/>
      <c r="H2172" s="194"/>
      <c r="I2172" s="196"/>
      <c r="J2172" s="192"/>
      <c r="K2172" s="204"/>
    </row>
    <row r="2173" spans="1:11">
      <c r="A2173" s="183"/>
      <c r="B2173" s="184"/>
      <c r="C2173" s="185"/>
      <c r="D2173" s="186"/>
      <c r="E2173" s="187"/>
      <c r="F2173" s="186"/>
      <c r="G2173" s="190"/>
      <c r="H2173" s="194"/>
      <c r="I2173" s="196"/>
      <c r="J2173" s="192"/>
      <c r="K2173" s="204"/>
    </row>
    <row r="2174" spans="1:11">
      <c r="A2174" s="186"/>
      <c r="B2174" s="184"/>
      <c r="C2174" s="185"/>
      <c r="D2174" s="186"/>
      <c r="E2174" s="187"/>
      <c r="F2174" s="188"/>
      <c r="G2174" s="181"/>
      <c r="H2174" s="194"/>
      <c r="I2174" s="196"/>
      <c r="J2174" s="192"/>
      <c r="K2174" s="204"/>
    </row>
    <row r="2175" spans="1:11">
      <c r="A2175" s="183"/>
      <c r="B2175" s="184"/>
      <c r="C2175" s="189"/>
      <c r="D2175" s="200"/>
      <c r="E2175" s="198"/>
      <c r="F2175" s="186"/>
      <c r="G2175" s="186"/>
      <c r="H2175" s="194"/>
      <c r="I2175" s="196"/>
      <c r="J2175" s="192"/>
      <c r="K2175" s="204"/>
    </row>
    <row r="2176" spans="1:11">
      <c r="A2176" s="199"/>
      <c r="B2176" s="184"/>
      <c r="C2176" s="189"/>
      <c r="D2176" s="200"/>
      <c r="E2176" s="198"/>
      <c r="F2176" s="186"/>
      <c r="G2176" s="186"/>
      <c r="H2176" s="194"/>
      <c r="I2176" s="196"/>
      <c r="J2176" s="192"/>
      <c r="K2176" s="204"/>
    </row>
    <row r="2177" spans="1:11">
      <c r="A2177" s="183"/>
      <c r="B2177" s="184"/>
      <c r="C2177" s="185"/>
      <c r="D2177" s="186"/>
      <c r="E2177" s="187"/>
      <c r="F2177" s="186"/>
      <c r="G2177" s="190"/>
      <c r="H2177" s="194"/>
      <c r="I2177" s="196"/>
      <c r="J2177" s="192"/>
      <c r="K2177" s="204"/>
    </row>
    <row r="2178" spans="1:11">
      <c r="A2178" s="186"/>
      <c r="B2178" s="184"/>
      <c r="C2178" s="185"/>
      <c r="D2178" s="186"/>
      <c r="E2178" s="187"/>
      <c r="F2178" s="188"/>
      <c r="G2178" s="181"/>
      <c r="H2178" s="194"/>
      <c r="I2178" s="196"/>
      <c r="J2178" s="192"/>
      <c r="K2178" s="204"/>
    </row>
    <row r="2179" spans="1:11">
      <c r="A2179" s="183"/>
      <c r="B2179" s="184"/>
      <c r="C2179" s="185"/>
      <c r="D2179" s="186"/>
      <c r="E2179" s="187"/>
      <c r="F2179" s="186"/>
      <c r="G2179" s="190"/>
      <c r="H2179" s="194"/>
      <c r="I2179" s="196"/>
      <c r="J2179" s="192"/>
      <c r="K2179" s="204"/>
    </row>
    <row r="2180" spans="1:11" ht="24" customHeight="1">
      <c r="A2180" s="186"/>
      <c r="B2180" s="184"/>
      <c r="C2180" s="185"/>
      <c r="D2180" s="186"/>
      <c r="E2180" s="187"/>
      <c r="F2180" s="188"/>
      <c r="G2180" s="181"/>
      <c r="H2180" s="194"/>
      <c r="I2180" s="196"/>
      <c r="J2180" s="192"/>
      <c r="K2180" s="204"/>
    </row>
    <row r="2181" spans="1:11">
      <c r="A2181" s="183"/>
      <c r="B2181" s="184"/>
      <c r="C2181" s="185"/>
      <c r="D2181" s="186"/>
      <c r="E2181" s="187"/>
      <c r="F2181" s="186"/>
      <c r="G2181" s="190"/>
      <c r="H2181" s="194"/>
      <c r="I2181" s="196"/>
      <c r="J2181" s="192"/>
      <c r="K2181" s="204"/>
    </row>
    <row r="2182" spans="1:11">
      <c r="A2182" s="186"/>
      <c r="B2182" s="184"/>
      <c r="C2182" s="185"/>
      <c r="D2182" s="186"/>
      <c r="E2182" s="187"/>
      <c r="F2182" s="188"/>
      <c r="G2182" s="181"/>
      <c r="H2182" s="194"/>
      <c r="I2182" s="196"/>
      <c r="J2182" s="192"/>
      <c r="K2182" s="204"/>
    </row>
    <row r="2183" spans="1:11">
      <c r="A2183" s="183"/>
      <c r="B2183" s="184"/>
      <c r="C2183" s="185"/>
      <c r="D2183" s="186"/>
      <c r="E2183" s="187"/>
      <c r="F2183" s="186"/>
      <c r="G2183" s="190"/>
      <c r="H2183" s="194"/>
      <c r="I2183" s="196"/>
      <c r="J2183" s="192"/>
      <c r="K2183" s="204"/>
    </row>
    <row r="2184" spans="1:11">
      <c r="A2184" s="181"/>
      <c r="B2184" s="184"/>
      <c r="C2184" s="185"/>
      <c r="D2184" s="186"/>
      <c r="E2184" s="187"/>
      <c r="F2184" s="188"/>
      <c r="G2184" s="181"/>
      <c r="H2184" s="194"/>
      <c r="I2184" s="196"/>
      <c r="J2184" s="192"/>
      <c r="K2184" s="204"/>
    </row>
    <row r="2185" spans="1:11">
      <c r="A2185" s="183"/>
      <c r="B2185" s="184"/>
      <c r="C2185" s="185"/>
      <c r="D2185" s="186"/>
      <c r="E2185" s="187"/>
      <c r="F2185" s="186"/>
      <c r="G2185" s="190"/>
      <c r="H2185" s="194"/>
      <c r="I2185" s="196"/>
      <c r="J2185" s="192"/>
      <c r="K2185" s="204"/>
    </row>
    <row r="2186" spans="1:11">
      <c r="A2186" s="186"/>
      <c r="B2186" s="184"/>
      <c r="C2186" s="185"/>
      <c r="D2186" s="186"/>
      <c r="E2186" s="187"/>
      <c r="F2186" s="188"/>
      <c r="G2186" s="181"/>
      <c r="H2186" s="194"/>
      <c r="I2186" s="196"/>
      <c r="J2186" s="192"/>
      <c r="K2186" s="204"/>
    </row>
    <row r="2187" spans="1:11">
      <c r="A2187" s="183"/>
      <c r="B2187" s="184"/>
      <c r="C2187" s="185"/>
      <c r="D2187" s="186"/>
      <c r="E2187" s="187"/>
      <c r="F2187" s="186"/>
      <c r="G2187" s="190"/>
      <c r="H2187" s="194"/>
      <c r="I2187" s="196"/>
      <c r="J2187" s="192"/>
      <c r="K2187" s="204"/>
    </row>
    <row r="2188" spans="1:11">
      <c r="A2188" s="186"/>
      <c r="B2188" s="184"/>
      <c r="C2188" s="185"/>
      <c r="D2188" s="186"/>
      <c r="E2188" s="187"/>
      <c r="F2188" s="188"/>
      <c r="G2188" s="181"/>
      <c r="H2188" s="194"/>
      <c r="I2188" s="196"/>
      <c r="J2188" s="192"/>
      <c r="K2188" s="204"/>
    </row>
    <row r="2189" spans="1:11" ht="21" customHeight="1">
      <c r="A2189" s="183"/>
      <c r="B2189" s="184"/>
      <c r="C2189" s="185"/>
      <c r="D2189" s="186"/>
      <c r="E2189" s="187"/>
      <c r="F2189" s="186"/>
      <c r="G2189" s="190"/>
      <c r="H2189" s="194"/>
      <c r="I2189" s="196"/>
      <c r="J2189" s="192"/>
      <c r="K2189" s="204"/>
    </row>
    <row r="2190" spans="1:11">
      <c r="A2190" s="186"/>
      <c r="B2190" s="184"/>
      <c r="C2190" s="185"/>
      <c r="D2190" s="186"/>
      <c r="E2190" s="187"/>
      <c r="F2190" s="188"/>
      <c r="G2190" s="181"/>
      <c r="H2190" s="194"/>
      <c r="I2190" s="196"/>
      <c r="J2190" s="192"/>
      <c r="K2190" s="204"/>
    </row>
    <row r="2191" spans="1:11">
      <c r="A2191" s="183"/>
      <c r="B2191" s="184"/>
      <c r="C2191" s="185"/>
      <c r="D2191" s="186"/>
      <c r="E2191" s="187"/>
      <c r="F2191" s="186"/>
      <c r="G2191" s="190"/>
      <c r="H2191" s="194"/>
      <c r="I2191" s="196"/>
      <c r="J2191" s="192"/>
      <c r="K2191" s="204"/>
    </row>
    <row r="2192" spans="1:11">
      <c r="A2192" s="186"/>
      <c r="B2192" s="184"/>
      <c r="C2192" s="185"/>
      <c r="D2192" s="186"/>
      <c r="E2192" s="187"/>
      <c r="F2192" s="188"/>
      <c r="G2192" s="181"/>
      <c r="H2192" s="194"/>
      <c r="I2192" s="196"/>
      <c r="J2192" s="192"/>
      <c r="K2192" s="204"/>
    </row>
    <row r="2193" spans="1:11">
      <c r="A2193" s="183"/>
      <c r="B2193" s="184"/>
      <c r="C2193" s="203"/>
      <c r="D2193" s="186"/>
      <c r="E2193" s="198"/>
      <c r="F2193" s="186"/>
      <c r="G2193" s="186"/>
      <c r="H2193" s="194"/>
      <c r="I2193" s="196"/>
      <c r="J2193" s="192"/>
      <c r="K2193" s="204"/>
    </row>
    <row r="2194" spans="1:11">
      <c r="A2194" s="186"/>
      <c r="B2194" s="184"/>
      <c r="C2194" s="203"/>
      <c r="D2194" s="186"/>
      <c r="E2194" s="198"/>
      <c r="F2194" s="186"/>
      <c r="G2194" s="186"/>
      <c r="H2194" s="194"/>
      <c r="I2194" s="196"/>
      <c r="J2194" s="192"/>
      <c r="K2194" s="204"/>
    </row>
    <row r="2195" spans="1:11" ht="16" customHeight="1">
      <c r="A2195" s="183"/>
      <c r="B2195" s="184"/>
      <c r="C2195" s="202"/>
      <c r="D2195" s="186"/>
      <c r="E2195" s="198"/>
      <c r="F2195" s="186"/>
      <c r="G2195" s="186"/>
      <c r="H2195" s="186"/>
      <c r="I2195" s="196"/>
      <c r="J2195" s="192"/>
      <c r="K2195" s="204"/>
    </row>
    <row r="2196" spans="1:11">
      <c r="A2196" s="186"/>
      <c r="B2196" s="184"/>
      <c r="C2196" s="202"/>
      <c r="D2196" s="186"/>
      <c r="E2196" s="198"/>
      <c r="F2196" s="186"/>
      <c r="G2196" s="186"/>
      <c r="H2196" s="181"/>
      <c r="I2196" s="196"/>
      <c r="J2196" s="192"/>
      <c r="K2196" s="204"/>
    </row>
    <row r="2197" spans="1:11">
      <c r="A2197" s="183"/>
      <c r="B2197" s="184"/>
      <c r="C2197" s="185"/>
      <c r="D2197" s="186"/>
      <c r="E2197" s="187"/>
      <c r="F2197" s="186"/>
      <c r="G2197" s="190"/>
      <c r="H2197" s="194"/>
      <c r="I2197" s="196"/>
      <c r="J2197" s="192"/>
      <c r="K2197" s="204"/>
    </row>
    <row r="2198" spans="1:11">
      <c r="A2198" s="186"/>
      <c r="B2198" s="184"/>
      <c r="C2198" s="185"/>
      <c r="D2198" s="186"/>
      <c r="E2198" s="187"/>
      <c r="F2198" s="188"/>
      <c r="G2198" s="181"/>
      <c r="H2198" s="194"/>
      <c r="I2198" s="196"/>
      <c r="J2198" s="192"/>
      <c r="K2198" s="204"/>
    </row>
    <row r="2199" spans="1:11">
      <c r="A2199" s="183"/>
      <c r="B2199" s="184"/>
      <c r="C2199" s="203"/>
      <c r="D2199" s="186"/>
      <c r="E2199" s="187"/>
      <c r="F2199" s="186"/>
      <c r="G2199" s="190"/>
      <c r="H2199" s="186"/>
      <c r="I2199" s="196"/>
      <c r="J2199" s="192"/>
      <c r="K2199" s="204"/>
    </row>
    <row r="2200" spans="1:11">
      <c r="A2200" s="186"/>
      <c r="B2200" s="184"/>
      <c r="C2200" s="203"/>
      <c r="D2200" s="186"/>
      <c r="E2200" s="187"/>
      <c r="F2200" s="188"/>
      <c r="G2200" s="181"/>
      <c r="H2200" s="181"/>
      <c r="I2200" s="196"/>
      <c r="J2200" s="192"/>
      <c r="K2200" s="204"/>
    </row>
    <row r="2201" spans="1:11">
      <c r="A2201" s="183"/>
      <c r="B2201" s="184"/>
      <c r="C2201" s="189"/>
      <c r="D2201" s="186"/>
      <c r="E2201" s="187"/>
      <c r="F2201" s="186"/>
      <c r="G2201" s="186"/>
      <c r="H2201" s="194"/>
      <c r="I2201" s="196"/>
      <c r="J2201" s="192"/>
      <c r="K2201" s="204"/>
    </row>
    <row r="2202" spans="1:11">
      <c r="A2202" s="186"/>
      <c r="B2202" s="184"/>
      <c r="C2202" s="189"/>
      <c r="D2202" s="186"/>
      <c r="E2202" s="187"/>
      <c r="F2202" s="188"/>
      <c r="G2202" s="186"/>
      <c r="H2202" s="194"/>
      <c r="I2202" s="196"/>
      <c r="J2202" s="192"/>
      <c r="K2202" s="204"/>
    </row>
    <row r="2203" spans="1:11">
      <c r="A2203" s="183"/>
      <c r="B2203" s="184"/>
      <c r="C2203" s="185"/>
      <c r="D2203" s="186"/>
      <c r="E2203" s="187"/>
      <c r="F2203" s="186"/>
      <c r="G2203" s="190"/>
      <c r="H2203" s="194"/>
      <c r="I2203" s="196"/>
      <c r="J2203" s="192"/>
      <c r="K2203" s="204"/>
    </row>
    <row r="2204" spans="1:11" ht="16" customHeight="1">
      <c r="A2204" s="186"/>
      <c r="B2204" s="184"/>
      <c r="C2204" s="185"/>
      <c r="D2204" s="186"/>
      <c r="E2204" s="187"/>
      <c r="F2204" s="188"/>
      <c r="G2204" s="181"/>
      <c r="H2204" s="194"/>
      <c r="I2204" s="196"/>
      <c r="J2204" s="192"/>
      <c r="K2204" s="204"/>
    </row>
    <row r="2205" spans="1:11">
      <c r="A2205" s="183"/>
      <c r="B2205" s="184"/>
      <c r="C2205" s="203"/>
      <c r="D2205" s="186"/>
      <c r="E2205" s="198"/>
      <c r="F2205" s="186"/>
      <c r="G2205" s="186"/>
      <c r="H2205" s="194"/>
      <c r="I2205" s="196"/>
      <c r="J2205" s="192"/>
      <c r="K2205" s="204"/>
    </row>
    <row r="2206" spans="1:11">
      <c r="A2206" s="186"/>
      <c r="B2206" s="184"/>
      <c r="C2206" s="203"/>
      <c r="D2206" s="186"/>
      <c r="E2206" s="198"/>
      <c r="F2206" s="186"/>
      <c r="G2206" s="186"/>
      <c r="H2206" s="194"/>
      <c r="I2206" s="196"/>
      <c r="J2206" s="192"/>
      <c r="K2206" s="204"/>
    </row>
    <row r="2207" spans="1:11" ht="16" customHeight="1">
      <c r="A2207" s="183"/>
      <c r="B2207" s="184"/>
      <c r="C2207" s="189"/>
      <c r="D2207" s="186"/>
      <c r="E2207" s="187"/>
      <c r="F2207" s="186"/>
      <c r="G2207" s="186"/>
      <c r="H2207" s="194"/>
      <c r="I2207" s="196"/>
      <c r="J2207" s="192"/>
      <c r="K2207" s="204"/>
    </row>
    <row r="2208" spans="1:11">
      <c r="A2208" s="186"/>
      <c r="B2208" s="184"/>
      <c r="C2208" s="189"/>
      <c r="D2208" s="186"/>
      <c r="E2208" s="187"/>
      <c r="F2208" s="188"/>
      <c r="G2208" s="186"/>
      <c r="H2208" s="194"/>
      <c r="I2208" s="196"/>
      <c r="J2208" s="192"/>
      <c r="K2208" s="204"/>
    </row>
    <row r="2209" spans="1:11">
      <c r="A2209" s="183"/>
      <c r="B2209" s="184"/>
      <c r="C2209" s="185"/>
      <c r="D2209" s="186"/>
      <c r="E2209" s="187"/>
      <c r="F2209" s="186"/>
      <c r="G2209" s="190"/>
      <c r="H2209" s="194"/>
      <c r="I2209" s="196"/>
      <c r="J2209" s="192"/>
      <c r="K2209" s="204"/>
    </row>
    <row r="2210" spans="1:11" ht="21" customHeight="1">
      <c r="A2210" s="186"/>
      <c r="B2210" s="184"/>
      <c r="C2210" s="185"/>
      <c r="D2210" s="186"/>
      <c r="E2210" s="187"/>
      <c r="F2210" s="188"/>
      <c r="G2210" s="181"/>
      <c r="H2210" s="194"/>
      <c r="I2210" s="196"/>
      <c r="J2210" s="192"/>
      <c r="K2210" s="204"/>
    </row>
    <row r="2211" spans="1:11">
      <c r="A2211" s="183"/>
      <c r="B2211" s="184"/>
      <c r="C2211" s="185"/>
      <c r="D2211" s="186"/>
      <c r="E2211" s="187"/>
      <c r="F2211" s="186"/>
      <c r="G2211" s="190"/>
      <c r="H2211" s="194"/>
      <c r="I2211" s="196"/>
      <c r="J2211" s="192"/>
      <c r="K2211" s="204"/>
    </row>
    <row r="2212" spans="1:11">
      <c r="A2212" s="186"/>
      <c r="B2212" s="184"/>
      <c r="C2212" s="185"/>
      <c r="D2212" s="186"/>
      <c r="E2212" s="187"/>
      <c r="F2212" s="188"/>
      <c r="G2212" s="181"/>
      <c r="H2212" s="194"/>
      <c r="I2212" s="196"/>
      <c r="J2212" s="192"/>
      <c r="K2212" s="204"/>
    </row>
    <row r="2213" spans="1:11">
      <c r="A2213" s="182"/>
      <c r="B2213" s="184"/>
      <c r="C2213" s="185"/>
      <c r="D2213" s="186"/>
      <c r="E2213" s="187"/>
      <c r="F2213" s="186"/>
      <c r="G2213" s="189"/>
      <c r="H2213" s="186"/>
      <c r="I2213" s="191"/>
      <c r="J2213" s="192"/>
      <c r="K2213" s="204"/>
    </row>
    <row r="2214" spans="1:11">
      <c r="A2214" s="183"/>
      <c r="B2214" s="184"/>
      <c r="C2214" s="185"/>
      <c r="D2214" s="186"/>
      <c r="E2214" s="187"/>
      <c r="F2214" s="186"/>
      <c r="G2214" s="190"/>
      <c r="H2214" s="186"/>
      <c r="I2214" s="191"/>
      <c r="J2214" s="192"/>
      <c r="K2214" s="204"/>
    </row>
    <row r="2215" spans="1:11">
      <c r="A2215" s="181"/>
      <c r="B2215" s="184"/>
      <c r="C2215" s="185"/>
      <c r="D2215" s="186"/>
      <c r="E2215" s="187"/>
      <c r="F2215" s="188"/>
      <c r="G2215" s="181"/>
      <c r="H2215" s="186"/>
      <c r="I2215" s="191"/>
      <c r="J2215" s="192"/>
      <c r="K2215" s="204"/>
    </row>
    <row r="2216" spans="1:11">
      <c r="A2216" s="183"/>
      <c r="B2216" s="184"/>
      <c r="C2216" s="185"/>
      <c r="D2216" s="186"/>
      <c r="E2216" s="187"/>
      <c r="F2216" s="186"/>
      <c r="G2216" s="190"/>
      <c r="H2216" s="194"/>
      <c r="I2216" s="196"/>
      <c r="J2216" s="192"/>
      <c r="K2216" s="204"/>
    </row>
    <row r="2217" spans="1:11">
      <c r="A2217" s="186"/>
      <c r="B2217" s="184"/>
      <c r="C2217" s="185"/>
      <c r="D2217" s="186"/>
      <c r="E2217" s="187"/>
      <c r="F2217" s="188"/>
      <c r="G2217" s="181"/>
      <c r="H2217" s="194"/>
      <c r="I2217" s="196"/>
      <c r="J2217" s="192"/>
      <c r="K2217" s="204"/>
    </row>
    <row r="2218" spans="1:11">
      <c r="A2218" s="183"/>
      <c r="B2218" s="184"/>
      <c r="C2218" s="203"/>
      <c r="D2218" s="186"/>
      <c r="E2218" s="187"/>
      <c r="F2218" s="186"/>
      <c r="G2218" s="190"/>
      <c r="H2218" s="194"/>
      <c r="I2218" s="196"/>
      <c r="J2218" s="192"/>
      <c r="K2218" s="204"/>
    </row>
    <row r="2219" spans="1:11" ht="21" customHeight="1">
      <c r="A2219" s="186"/>
      <c r="B2219" s="184"/>
      <c r="C2219" s="203"/>
      <c r="D2219" s="186"/>
      <c r="E2219" s="187"/>
      <c r="F2219" s="188"/>
      <c r="G2219" s="181"/>
      <c r="H2219" s="194"/>
      <c r="I2219" s="196"/>
      <c r="J2219" s="192"/>
      <c r="K2219" s="204"/>
    </row>
    <row r="2220" spans="1:11">
      <c r="A2220" s="183"/>
      <c r="B2220" s="184"/>
      <c r="C2220" s="203"/>
      <c r="D2220" s="186"/>
      <c r="E2220" s="198"/>
      <c r="F2220" s="186"/>
      <c r="G2220" s="186"/>
      <c r="H2220" s="194"/>
      <c r="I2220" s="196"/>
      <c r="J2220" s="192"/>
      <c r="K2220" s="204"/>
    </row>
    <row r="2221" spans="1:11">
      <c r="A2221" s="186"/>
      <c r="B2221" s="184"/>
      <c r="C2221" s="203"/>
      <c r="D2221" s="186"/>
      <c r="E2221" s="198"/>
      <c r="F2221" s="186"/>
      <c r="G2221" s="186"/>
      <c r="H2221" s="194"/>
      <c r="I2221" s="196"/>
      <c r="J2221" s="192"/>
      <c r="K2221" s="204"/>
    </row>
    <row r="2222" spans="1:11">
      <c r="A2222" s="183"/>
      <c r="B2222" s="184"/>
      <c r="C2222" s="185"/>
      <c r="D2222" s="186"/>
      <c r="E2222" s="187"/>
      <c r="F2222" s="186"/>
      <c r="G2222" s="190"/>
      <c r="H2222" s="194"/>
      <c r="I2222" s="196"/>
      <c r="J2222" s="192"/>
      <c r="K2222" s="204"/>
    </row>
    <row r="2223" spans="1:11">
      <c r="A2223" s="186"/>
      <c r="B2223" s="184"/>
      <c r="C2223" s="185"/>
      <c r="D2223" s="186"/>
      <c r="E2223" s="187"/>
      <c r="F2223" s="188"/>
      <c r="G2223" s="181"/>
      <c r="H2223" s="194"/>
      <c r="I2223" s="196"/>
      <c r="J2223" s="192"/>
      <c r="K2223" s="204"/>
    </row>
    <row r="2224" spans="1:11">
      <c r="A2224" s="182"/>
      <c r="B2224" s="184"/>
      <c r="C2224" s="185"/>
      <c r="D2224" s="186"/>
      <c r="E2224" s="187"/>
      <c r="F2224" s="186"/>
      <c r="G2224" s="189"/>
      <c r="H2224" s="186"/>
      <c r="I2224" s="191"/>
      <c r="J2224" s="192"/>
      <c r="K2224" s="204"/>
    </row>
    <row r="2225" spans="1:11">
      <c r="A2225" s="183"/>
      <c r="B2225" s="184"/>
      <c r="C2225" s="185"/>
      <c r="D2225" s="186"/>
      <c r="E2225" s="187"/>
      <c r="F2225" s="186"/>
      <c r="G2225" s="190"/>
      <c r="H2225" s="186"/>
      <c r="I2225" s="191"/>
      <c r="J2225" s="192"/>
      <c r="K2225" s="204"/>
    </row>
    <row r="2226" spans="1:11">
      <c r="A2226" s="181"/>
      <c r="B2226" s="184"/>
      <c r="C2226" s="185"/>
      <c r="D2226" s="186"/>
      <c r="E2226" s="187"/>
      <c r="F2226" s="188"/>
      <c r="G2226" s="181"/>
      <c r="H2226" s="186"/>
      <c r="I2226" s="191"/>
      <c r="J2226" s="192"/>
      <c r="K2226" s="204"/>
    </row>
    <row r="2227" spans="1:11">
      <c r="A2227" s="182"/>
      <c r="B2227" s="184"/>
      <c r="C2227" s="185"/>
      <c r="D2227" s="186"/>
      <c r="E2227" s="187"/>
      <c r="F2227" s="186"/>
      <c r="G2227" s="189"/>
      <c r="H2227" s="186"/>
      <c r="I2227" s="191"/>
      <c r="J2227" s="192"/>
      <c r="K2227" s="204"/>
    </row>
    <row r="2228" spans="1:11">
      <c r="A2228" s="183"/>
      <c r="B2228" s="184"/>
      <c r="C2228" s="185"/>
      <c r="D2228" s="186"/>
      <c r="E2228" s="187"/>
      <c r="F2228" s="186"/>
      <c r="G2228" s="190"/>
      <c r="H2228" s="186"/>
      <c r="I2228" s="191"/>
      <c r="J2228" s="192"/>
      <c r="K2228" s="204"/>
    </row>
    <row r="2229" spans="1:11">
      <c r="A2229" s="181"/>
      <c r="B2229" s="184"/>
      <c r="C2229" s="185"/>
      <c r="D2229" s="186"/>
      <c r="E2229" s="187"/>
      <c r="F2229" s="188"/>
      <c r="G2229" s="181"/>
      <c r="H2229" s="186"/>
      <c r="I2229" s="191"/>
      <c r="J2229" s="192"/>
      <c r="K2229" s="204"/>
    </row>
    <row r="2230" spans="1:11">
      <c r="A2230" s="183"/>
      <c r="B2230" s="184"/>
      <c r="C2230" s="200"/>
      <c r="D2230" s="186"/>
      <c r="E2230" s="187"/>
      <c r="F2230" s="186"/>
      <c r="G2230" s="190"/>
      <c r="H2230" s="194"/>
      <c r="I2230" s="196"/>
      <c r="J2230" s="192"/>
      <c r="K2230" s="204"/>
    </row>
    <row r="2231" spans="1:11" ht="24" customHeight="1">
      <c r="A2231" s="186"/>
      <c r="B2231" s="184"/>
      <c r="C2231" s="200"/>
      <c r="D2231" s="186"/>
      <c r="E2231" s="187"/>
      <c r="F2231" s="188"/>
      <c r="G2231" s="181"/>
      <c r="H2231" s="194"/>
      <c r="I2231" s="196"/>
      <c r="J2231" s="192"/>
      <c r="K2231" s="204"/>
    </row>
    <row r="2232" spans="1:11">
      <c r="A2232" s="183"/>
      <c r="B2232" s="184"/>
      <c r="C2232" s="185"/>
      <c r="D2232" s="186"/>
      <c r="E2232" s="187"/>
      <c r="F2232" s="186"/>
      <c r="G2232" s="190"/>
      <c r="H2232" s="194"/>
      <c r="I2232" s="196"/>
      <c r="J2232" s="192"/>
      <c r="K2232" s="204"/>
    </row>
    <row r="2233" spans="1:11">
      <c r="A2233" s="186"/>
      <c r="B2233" s="184"/>
      <c r="C2233" s="185"/>
      <c r="D2233" s="186"/>
      <c r="E2233" s="187"/>
      <c r="F2233" s="188"/>
      <c r="G2233" s="181"/>
      <c r="H2233" s="194"/>
      <c r="I2233" s="196"/>
      <c r="J2233" s="192"/>
      <c r="K2233" s="204"/>
    </row>
    <row r="2234" spans="1:11" ht="21" customHeight="1">
      <c r="A2234" s="182"/>
      <c r="B2234" s="184"/>
      <c r="C2234" s="202"/>
      <c r="D2234" s="186"/>
      <c r="E2234" s="187"/>
      <c r="F2234" s="186"/>
      <c r="G2234" s="189"/>
      <c r="H2234" s="186"/>
      <c r="I2234" s="191"/>
      <c r="J2234" s="192"/>
      <c r="K2234" s="204"/>
    </row>
    <row r="2235" spans="1:11">
      <c r="A2235" s="183"/>
      <c r="B2235" s="184"/>
      <c r="C2235" s="202"/>
      <c r="D2235" s="186"/>
      <c r="E2235" s="187"/>
      <c r="F2235" s="186"/>
      <c r="G2235" s="190"/>
      <c r="H2235" s="186"/>
      <c r="I2235" s="191"/>
      <c r="J2235" s="192"/>
      <c r="K2235" s="204"/>
    </row>
    <row r="2236" spans="1:11">
      <c r="A2236" s="181"/>
      <c r="B2236" s="184"/>
      <c r="C2236" s="202"/>
      <c r="D2236" s="186"/>
      <c r="E2236" s="187"/>
      <c r="F2236" s="188"/>
      <c r="G2236" s="181"/>
      <c r="H2236" s="186"/>
      <c r="I2236" s="191"/>
      <c r="J2236" s="192"/>
      <c r="K2236" s="204"/>
    </row>
    <row r="2237" spans="1:11" ht="16" customHeight="1">
      <c r="A2237" s="183"/>
      <c r="B2237" s="184"/>
      <c r="C2237" s="203"/>
      <c r="D2237" s="186"/>
      <c r="E2237" s="198"/>
      <c r="F2237" s="186"/>
      <c r="G2237" s="186"/>
      <c r="H2237" s="194"/>
      <c r="I2237" s="196"/>
      <c r="J2237" s="192"/>
      <c r="K2237" s="204"/>
    </row>
    <row r="2238" spans="1:11">
      <c r="A2238" s="186"/>
      <c r="B2238" s="184"/>
      <c r="C2238" s="203"/>
      <c r="D2238" s="186"/>
      <c r="E2238" s="198"/>
      <c r="F2238" s="186"/>
      <c r="G2238" s="186"/>
      <c r="H2238" s="194"/>
      <c r="I2238" s="196"/>
      <c r="J2238" s="192"/>
      <c r="K2238" s="204"/>
    </row>
    <row r="2239" spans="1:11">
      <c r="A2239" s="183"/>
      <c r="B2239" s="184"/>
      <c r="C2239" s="197"/>
      <c r="D2239" s="186"/>
      <c r="E2239" s="198"/>
      <c r="F2239" s="186"/>
      <c r="G2239" s="186"/>
      <c r="H2239" s="194"/>
      <c r="I2239" s="196"/>
      <c r="J2239" s="192"/>
      <c r="K2239" s="204"/>
    </row>
    <row r="2240" spans="1:11" ht="24" customHeight="1">
      <c r="A2240" s="186"/>
      <c r="B2240" s="184"/>
      <c r="C2240" s="197"/>
      <c r="D2240" s="186"/>
      <c r="E2240" s="198"/>
      <c r="F2240" s="186"/>
      <c r="G2240" s="186"/>
      <c r="H2240" s="194"/>
      <c r="I2240" s="196"/>
      <c r="J2240" s="192"/>
      <c r="K2240" s="204"/>
    </row>
    <row r="2241" spans="1:11">
      <c r="A2241" s="183"/>
      <c r="B2241" s="184"/>
      <c r="C2241" s="185"/>
      <c r="D2241" s="186"/>
      <c r="E2241" s="187"/>
      <c r="F2241" s="186"/>
      <c r="G2241" s="190"/>
      <c r="H2241" s="194"/>
      <c r="I2241" s="196"/>
      <c r="J2241" s="192"/>
      <c r="K2241" s="204"/>
    </row>
    <row r="2242" spans="1:11">
      <c r="A2242" s="186"/>
      <c r="B2242" s="184"/>
      <c r="C2242" s="185"/>
      <c r="D2242" s="186"/>
      <c r="E2242" s="187"/>
      <c r="F2242" s="188"/>
      <c r="G2242" s="181"/>
      <c r="H2242" s="194"/>
      <c r="I2242" s="196"/>
      <c r="J2242" s="192"/>
      <c r="K2242" s="204"/>
    </row>
    <row r="2243" spans="1:11" ht="21" customHeight="1">
      <c r="A2243" s="183"/>
      <c r="B2243" s="184"/>
      <c r="C2243" s="200"/>
      <c r="D2243" s="186"/>
      <c r="E2243" s="187"/>
      <c r="F2243" s="186"/>
      <c r="G2243" s="186"/>
      <c r="H2243" s="194"/>
      <c r="I2243" s="196"/>
      <c r="J2243" s="192"/>
      <c r="K2243" s="204"/>
    </row>
    <row r="2244" spans="1:11">
      <c r="A2244" s="186"/>
      <c r="B2244" s="184"/>
      <c r="C2244" s="200"/>
      <c r="D2244" s="186"/>
      <c r="E2244" s="187"/>
      <c r="F2244" s="188"/>
      <c r="G2244" s="186"/>
      <c r="H2244" s="194"/>
      <c r="I2244" s="196"/>
      <c r="J2244" s="192"/>
      <c r="K2244" s="204"/>
    </row>
    <row r="2245" spans="1:11">
      <c r="A2245" s="183"/>
      <c r="B2245" s="184"/>
      <c r="C2245" s="200"/>
      <c r="D2245" s="186"/>
      <c r="E2245" s="187"/>
      <c r="F2245" s="186"/>
      <c r="G2245" s="190"/>
      <c r="H2245" s="194"/>
      <c r="I2245" s="196"/>
      <c r="J2245" s="192"/>
      <c r="K2245" s="204"/>
    </row>
    <row r="2246" spans="1:11">
      <c r="A2246" s="186"/>
      <c r="B2246" s="184"/>
      <c r="C2246" s="200"/>
      <c r="D2246" s="186"/>
      <c r="E2246" s="187"/>
      <c r="F2246" s="188"/>
      <c r="G2246" s="181"/>
      <c r="H2246" s="194"/>
      <c r="I2246" s="196"/>
      <c r="J2246" s="192"/>
      <c r="K2246" s="204"/>
    </row>
    <row r="2247" spans="1:11">
      <c r="A2247" s="183"/>
      <c r="B2247" s="184"/>
      <c r="C2247" s="189"/>
      <c r="D2247" s="200"/>
      <c r="E2247" s="198"/>
      <c r="F2247" s="186"/>
      <c r="G2247" s="186"/>
      <c r="H2247" s="194"/>
      <c r="I2247" s="196"/>
      <c r="J2247" s="192"/>
      <c r="K2247" s="204"/>
    </row>
    <row r="2248" spans="1:11">
      <c r="A2248" s="199"/>
      <c r="B2248" s="184"/>
      <c r="C2248" s="189"/>
      <c r="D2248" s="200"/>
      <c r="E2248" s="198"/>
      <c r="F2248" s="186"/>
      <c r="G2248" s="186"/>
      <c r="H2248" s="194"/>
      <c r="I2248" s="196"/>
      <c r="J2248" s="192"/>
      <c r="K2248" s="204"/>
    </row>
    <row r="2249" spans="1:11" ht="21" customHeight="1">
      <c r="A2249" s="183"/>
      <c r="B2249" s="184"/>
      <c r="C2249" s="203"/>
      <c r="D2249" s="186"/>
      <c r="E2249" s="198"/>
      <c r="F2249" s="186"/>
      <c r="G2249" s="186"/>
      <c r="H2249" s="194"/>
      <c r="I2249" s="196"/>
      <c r="J2249" s="192"/>
      <c r="K2249" s="204"/>
    </row>
    <row r="2250" spans="1:11">
      <c r="A2250" s="186"/>
      <c r="B2250" s="184"/>
      <c r="C2250" s="203"/>
      <c r="D2250" s="186"/>
      <c r="E2250" s="198"/>
      <c r="F2250" s="186"/>
      <c r="G2250" s="186"/>
      <c r="H2250" s="194"/>
      <c r="I2250" s="196"/>
      <c r="J2250" s="192"/>
      <c r="K2250" s="204"/>
    </row>
    <row r="2251" spans="1:11">
      <c r="A2251" s="183"/>
      <c r="B2251" s="184"/>
      <c r="C2251" s="185"/>
      <c r="D2251" s="186"/>
      <c r="E2251" s="187"/>
      <c r="F2251" s="186"/>
      <c r="G2251" s="190"/>
      <c r="H2251" s="194"/>
      <c r="I2251" s="196"/>
      <c r="J2251" s="192"/>
      <c r="K2251" s="204"/>
    </row>
    <row r="2252" spans="1:11" ht="24" customHeight="1">
      <c r="A2252" s="186"/>
      <c r="B2252" s="184"/>
      <c r="C2252" s="185"/>
      <c r="D2252" s="186"/>
      <c r="E2252" s="187"/>
      <c r="F2252" s="188"/>
      <c r="G2252" s="181"/>
      <c r="H2252" s="194"/>
      <c r="I2252" s="196"/>
      <c r="J2252" s="192"/>
      <c r="K2252" s="204"/>
    </row>
    <row r="2253" spans="1:11">
      <c r="A2253" s="183"/>
      <c r="B2253" s="184"/>
      <c r="C2253" s="185"/>
      <c r="D2253" s="186"/>
      <c r="E2253" s="187"/>
      <c r="F2253" s="186"/>
      <c r="G2253" s="190"/>
      <c r="H2253" s="194"/>
      <c r="I2253" s="196"/>
      <c r="J2253" s="192"/>
      <c r="K2253" s="204"/>
    </row>
    <row r="2254" spans="1:11">
      <c r="A2254" s="186"/>
      <c r="B2254" s="184"/>
      <c r="C2254" s="185"/>
      <c r="D2254" s="186"/>
      <c r="E2254" s="187"/>
      <c r="F2254" s="188"/>
      <c r="G2254" s="181"/>
      <c r="H2254" s="194"/>
      <c r="I2254" s="196"/>
      <c r="J2254" s="192"/>
      <c r="K2254" s="204"/>
    </row>
    <row r="2255" spans="1:11" ht="24" customHeight="1">
      <c r="A2255" s="183"/>
      <c r="B2255" s="184"/>
      <c r="C2255" s="203"/>
      <c r="D2255" s="186"/>
      <c r="E2255" s="187"/>
      <c r="F2255" s="186"/>
      <c r="G2255" s="186"/>
      <c r="H2255" s="194"/>
      <c r="I2255" s="196"/>
      <c r="J2255" s="192"/>
      <c r="K2255" s="204"/>
    </row>
    <row r="2256" spans="1:11">
      <c r="A2256" s="181"/>
      <c r="B2256" s="184"/>
      <c r="C2256" s="203"/>
      <c r="D2256" s="186"/>
      <c r="E2256" s="187"/>
      <c r="F2256" s="188"/>
      <c r="G2256" s="186"/>
      <c r="H2256" s="194"/>
      <c r="I2256" s="196"/>
      <c r="J2256" s="192"/>
      <c r="K2256" s="204"/>
    </row>
    <row r="2257" spans="1:11">
      <c r="A2257" s="182"/>
      <c r="B2257" s="184"/>
      <c r="C2257" s="203"/>
      <c r="D2257" s="186"/>
      <c r="E2257" s="198"/>
      <c r="F2257" s="186"/>
      <c r="G2257" s="186"/>
      <c r="H2257" s="186"/>
      <c r="I2257" s="191"/>
      <c r="J2257" s="193"/>
      <c r="K2257" s="204"/>
    </row>
    <row r="2258" spans="1:11">
      <c r="A2258" s="183"/>
      <c r="B2258" s="184"/>
      <c r="C2258" s="203"/>
      <c r="D2258" s="186"/>
      <c r="E2258" s="198"/>
      <c r="F2258" s="186"/>
      <c r="G2258" s="186"/>
      <c r="H2258" s="186"/>
      <c r="I2258" s="191"/>
      <c r="J2258" s="193"/>
      <c r="K2258" s="204"/>
    </row>
    <row r="2259" spans="1:11">
      <c r="A2259" s="186"/>
      <c r="B2259" s="184"/>
      <c r="C2259" s="203"/>
      <c r="D2259" s="186"/>
      <c r="E2259" s="198"/>
      <c r="F2259" s="186"/>
      <c r="G2259" s="186"/>
      <c r="H2259" s="186"/>
      <c r="I2259" s="191"/>
      <c r="J2259" s="193"/>
      <c r="K2259" s="204"/>
    </row>
    <row r="2260" spans="1:11">
      <c r="A2260" s="183"/>
      <c r="B2260" s="184"/>
      <c r="C2260" s="203"/>
      <c r="D2260" s="186"/>
      <c r="E2260" s="198"/>
      <c r="F2260" s="186"/>
      <c r="G2260" s="186"/>
      <c r="H2260" s="194"/>
      <c r="I2260" s="196"/>
      <c r="J2260" s="192"/>
      <c r="K2260" s="204"/>
    </row>
    <row r="2261" spans="1:11">
      <c r="A2261" s="186"/>
      <c r="B2261" s="184"/>
      <c r="C2261" s="203"/>
      <c r="D2261" s="186"/>
      <c r="E2261" s="198"/>
      <c r="F2261" s="186"/>
      <c r="G2261" s="186"/>
      <c r="H2261" s="194"/>
      <c r="I2261" s="196"/>
      <c r="J2261" s="192"/>
      <c r="K2261" s="204"/>
    </row>
    <row r="2262" spans="1:11">
      <c r="A2262" s="183"/>
      <c r="B2262" s="184"/>
      <c r="C2262" s="202"/>
      <c r="D2262" s="186"/>
      <c r="E2262" s="198"/>
      <c r="F2262" s="186"/>
      <c r="G2262" s="186"/>
      <c r="H2262" s="186"/>
      <c r="I2262" s="196"/>
      <c r="J2262" s="192"/>
      <c r="K2262" s="204"/>
    </row>
    <row r="2263" spans="1:11">
      <c r="A2263" s="186"/>
      <c r="B2263" s="184"/>
      <c r="C2263" s="202"/>
      <c r="D2263" s="186"/>
      <c r="E2263" s="198"/>
      <c r="F2263" s="186"/>
      <c r="G2263" s="186"/>
      <c r="H2263" s="181"/>
      <c r="I2263" s="196"/>
      <c r="J2263" s="192"/>
      <c r="K2263" s="204"/>
    </row>
    <row r="2264" spans="1:11">
      <c r="A2264" s="183"/>
      <c r="B2264" s="184"/>
      <c r="C2264" s="189"/>
      <c r="D2264" s="186"/>
      <c r="E2264" s="198"/>
      <c r="F2264" s="186"/>
      <c r="G2264" s="186"/>
      <c r="H2264" s="194"/>
      <c r="I2264" s="196"/>
      <c r="J2264" s="192"/>
      <c r="K2264" s="204"/>
    </row>
    <row r="2265" spans="1:11">
      <c r="A2265" s="199"/>
      <c r="B2265" s="184"/>
      <c r="C2265" s="189"/>
      <c r="D2265" s="186"/>
      <c r="E2265" s="198"/>
      <c r="F2265" s="186"/>
      <c r="G2265" s="186"/>
      <c r="H2265" s="194"/>
      <c r="I2265" s="196"/>
      <c r="J2265" s="192"/>
      <c r="K2265" s="204"/>
    </row>
    <row r="2266" spans="1:11">
      <c r="A2266" s="183"/>
      <c r="B2266" s="184"/>
      <c r="C2266" s="203"/>
      <c r="D2266" s="186"/>
      <c r="E2266" s="187"/>
      <c r="F2266" s="186"/>
      <c r="G2266" s="190"/>
      <c r="H2266" s="186"/>
      <c r="I2266" s="196"/>
      <c r="J2266" s="192"/>
      <c r="K2266" s="204"/>
    </row>
    <row r="2267" spans="1:11" ht="16" customHeight="1">
      <c r="A2267" s="186"/>
      <c r="B2267" s="184"/>
      <c r="C2267" s="203"/>
      <c r="D2267" s="186"/>
      <c r="E2267" s="187"/>
      <c r="F2267" s="188"/>
      <c r="G2267" s="181"/>
      <c r="H2267" s="181"/>
      <c r="I2267" s="196"/>
      <c r="J2267" s="192"/>
      <c r="K2267" s="204"/>
    </row>
    <row r="2268" spans="1:11">
      <c r="A2268" s="183"/>
      <c r="B2268" s="184"/>
      <c r="C2268" s="185"/>
      <c r="D2268" s="186"/>
      <c r="E2268" s="187"/>
      <c r="F2268" s="186"/>
      <c r="G2268" s="190"/>
      <c r="H2268" s="194"/>
      <c r="I2268" s="196"/>
      <c r="J2268" s="192"/>
      <c r="K2268" s="204"/>
    </row>
    <row r="2269" spans="1:11">
      <c r="A2269" s="186"/>
      <c r="B2269" s="184"/>
      <c r="C2269" s="185"/>
      <c r="D2269" s="186"/>
      <c r="E2269" s="187"/>
      <c r="F2269" s="188"/>
      <c r="G2269" s="181"/>
      <c r="H2269" s="194"/>
      <c r="I2269" s="196"/>
      <c r="J2269" s="192"/>
      <c r="K2269" s="204"/>
    </row>
    <row r="2270" spans="1:11" ht="16" customHeight="1">
      <c r="A2270" s="183"/>
      <c r="B2270" s="184"/>
      <c r="C2270" s="185"/>
      <c r="D2270" s="186"/>
      <c r="E2270" s="187"/>
      <c r="F2270" s="186"/>
      <c r="G2270" s="190"/>
      <c r="H2270" s="194"/>
      <c r="I2270" s="196"/>
      <c r="J2270" s="192"/>
      <c r="K2270" s="204"/>
    </row>
    <row r="2271" spans="1:11">
      <c r="A2271" s="186"/>
      <c r="B2271" s="184"/>
      <c r="C2271" s="185"/>
      <c r="D2271" s="186"/>
      <c r="E2271" s="187"/>
      <c r="F2271" s="188"/>
      <c r="G2271" s="181"/>
      <c r="H2271" s="194"/>
      <c r="I2271" s="196"/>
      <c r="J2271" s="192"/>
      <c r="K2271" s="204"/>
    </row>
    <row r="2272" spans="1:11">
      <c r="A2272" s="183"/>
      <c r="B2272" s="184"/>
      <c r="C2272" s="185"/>
      <c r="D2272" s="186"/>
      <c r="E2272" s="187"/>
      <c r="F2272" s="186"/>
      <c r="G2272" s="190"/>
      <c r="H2272" s="194"/>
      <c r="I2272" s="196"/>
      <c r="J2272" s="192"/>
      <c r="K2272" s="204"/>
    </row>
    <row r="2273" spans="1:11">
      <c r="A2273" s="186"/>
      <c r="B2273" s="184"/>
      <c r="C2273" s="185"/>
      <c r="D2273" s="186"/>
      <c r="E2273" s="187"/>
      <c r="F2273" s="188"/>
      <c r="G2273" s="181"/>
      <c r="H2273" s="194"/>
      <c r="I2273" s="196"/>
      <c r="J2273" s="192"/>
      <c r="K2273" s="204"/>
    </row>
    <row r="2274" spans="1:11">
      <c r="A2274" s="183"/>
      <c r="B2274" s="184"/>
      <c r="C2274" s="185"/>
      <c r="D2274" s="186"/>
      <c r="E2274" s="187"/>
      <c r="F2274" s="186"/>
      <c r="G2274" s="190"/>
      <c r="H2274" s="194"/>
      <c r="I2274" s="196"/>
      <c r="J2274" s="192"/>
      <c r="K2274" s="204"/>
    </row>
    <row r="2275" spans="1:11">
      <c r="A2275" s="186"/>
      <c r="B2275" s="184"/>
      <c r="C2275" s="185"/>
      <c r="D2275" s="186"/>
      <c r="E2275" s="187"/>
      <c r="F2275" s="188"/>
      <c r="G2275" s="181"/>
      <c r="H2275" s="194"/>
      <c r="I2275" s="196"/>
      <c r="J2275" s="192"/>
      <c r="K2275" s="204"/>
    </row>
    <row r="2276" spans="1:11">
      <c r="A2276" s="183"/>
      <c r="B2276" s="184"/>
      <c r="C2276" s="185"/>
      <c r="D2276" s="186"/>
      <c r="E2276" s="187"/>
      <c r="F2276" s="186"/>
      <c r="G2276" s="190"/>
      <c r="H2276" s="194"/>
      <c r="I2276" s="196"/>
      <c r="J2276" s="192"/>
      <c r="K2276" s="204"/>
    </row>
    <row r="2277" spans="1:11">
      <c r="A2277" s="186"/>
      <c r="B2277" s="184"/>
      <c r="C2277" s="185"/>
      <c r="D2277" s="186"/>
      <c r="E2277" s="187"/>
      <c r="F2277" s="188"/>
      <c r="G2277" s="181"/>
      <c r="H2277" s="194"/>
      <c r="I2277" s="196"/>
      <c r="J2277" s="192"/>
      <c r="K2277" s="204"/>
    </row>
    <row r="2278" spans="1:11">
      <c r="A2278" s="183"/>
      <c r="B2278" s="184"/>
      <c r="C2278" s="185"/>
      <c r="D2278" s="186"/>
      <c r="E2278" s="187"/>
      <c r="F2278" s="186"/>
      <c r="G2278" s="190"/>
      <c r="H2278" s="194"/>
      <c r="I2278" s="196"/>
      <c r="J2278" s="192"/>
      <c r="K2278" s="204"/>
    </row>
    <row r="2279" spans="1:11" ht="16" customHeight="1">
      <c r="A2279" s="186"/>
      <c r="B2279" s="184"/>
      <c r="C2279" s="185"/>
      <c r="D2279" s="186"/>
      <c r="E2279" s="187"/>
      <c r="F2279" s="188"/>
      <c r="G2279" s="181"/>
      <c r="H2279" s="194"/>
      <c r="I2279" s="196"/>
      <c r="J2279" s="192"/>
      <c r="K2279" s="204"/>
    </row>
    <row r="2280" spans="1:11">
      <c r="A2280" s="183"/>
      <c r="B2280" s="184"/>
      <c r="C2280" s="189"/>
      <c r="D2280" s="200"/>
      <c r="E2280" s="198"/>
      <c r="F2280" s="186"/>
      <c r="G2280" s="186"/>
      <c r="H2280" s="194"/>
      <c r="I2280" s="196"/>
      <c r="J2280" s="192"/>
      <c r="K2280" s="204"/>
    </row>
    <row r="2281" spans="1:11">
      <c r="A2281" s="199"/>
      <c r="B2281" s="184"/>
      <c r="C2281" s="189"/>
      <c r="D2281" s="200"/>
      <c r="E2281" s="198"/>
      <c r="F2281" s="186"/>
      <c r="G2281" s="186"/>
      <c r="H2281" s="194"/>
      <c r="I2281" s="196"/>
      <c r="J2281" s="192"/>
      <c r="K2281" s="204"/>
    </row>
    <row r="2282" spans="1:11">
      <c r="A2282" s="183"/>
      <c r="B2282" s="184"/>
      <c r="C2282" s="185"/>
      <c r="D2282" s="186"/>
      <c r="E2282" s="187"/>
      <c r="F2282" s="186"/>
      <c r="G2282" s="190"/>
      <c r="H2282" s="194"/>
      <c r="I2282" s="196"/>
      <c r="J2282" s="192"/>
      <c r="K2282" s="204"/>
    </row>
    <row r="2283" spans="1:11">
      <c r="A2283" s="186"/>
      <c r="B2283" s="184"/>
      <c r="C2283" s="185"/>
      <c r="D2283" s="186"/>
      <c r="E2283" s="187"/>
      <c r="F2283" s="188"/>
      <c r="G2283" s="181"/>
      <c r="H2283" s="194"/>
      <c r="I2283" s="196"/>
      <c r="J2283" s="192"/>
      <c r="K2283" s="204"/>
    </row>
    <row r="2284" spans="1:11">
      <c r="A2284" s="183"/>
      <c r="B2284" s="184"/>
      <c r="C2284" s="185"/>
      <c r="D2284" s="186"/>
      <c r="E2284" s="187"/>
      <c r="F2284" s="186"/>
      <c r="G2284" s="190"/>
      <c r="H2284" s="194"/>
      <c r="I2284" s="196"/>
      <c r="J2284" s="192"/>
      <c r="K2284" s="204"/>
    </row>
    <row r="2285" spans="1:11">
      <c r="A2285" s="186"/>
      <c r="B2285" s="184"/>
      <c r="C2285" s="185"/>
      <c r="D2285" s="186"/>
      <c r="E2285" s="187"/>
      <c r="F2285" s="188"/>
      <c r="G2285" s="181"/>
      <c r="H2285" s="194"/>
      <c r="I2285" s="196"/>
      <c r="J2285" s="192"/>
      <c r="K2285" s="204"/>
    </row>
    <row r="2286" spans="1:11">
      <c r="A2286" s="183"/>
      <c r="B2286" s="184"/>
      <c r="C2286" s="203"/>
      <c r="D2286" s="186"/>
      <c r="E2286" s="187"/>
      <c r="F2286" s="186"/>
      <c r="G2286" s="190"/>
      <c r="H2286" s="194"/>
      <c r="I2286" s="196"/>
      <c r="J2286" s="192"/>
      <c r="K2286" s="204"/>
    </row>
    <row r="2287" spans="1:11">
      <c r="A2287" s="181"/>
      <c r="B2287" s="184"/>
      <c r="C2287" s="203"/>
      <c r="D2287" s="186"/>
      <c r="E2287" s="187"/>
      <c r="F2287" s="188"/>
      <c r="G2287" s="181"/>
      <c r="H2287" s="194"/>
      <c r="I2287" s="196"/>
      <c r="J2287" s="192"/>
      <c r="K2287" s="204"/>
    </row>
    <row r="2288" spans="1:11">
      <c r="A2288" s="183"/>
      <c r="B2288" s="184"/>
      <c r="C2288" s="203"/>
      <c r="D2288" s="186"/>
      <c r="E2288" s="198"/>
      <c r="F2288" s="186"/>
      <c r="G2288" s="186"/>
      <c r="H2288" s="186"/>
      <c r="I2288" s="196"/>
      <c r="J2288" s="192"/>
      <c r="K2288" s="204"/>
    </row>
    <row r="2289" spans="1:11">
      <c r="A2289" s="186"/>
      <c r="B2289" s="184"/>
      <c r="C2289" s="203"/>
      <c r="D2289" s="186"/>
      <c r="E2289" s="198"/>
      <c r="F2289" s="186"/>
      <c r="G2289" s="186"/>
      <c r="H2289" s="181"/>
      <c r="I2289" s="196"/>
      <c r="J2289" s="192"/>
      <c r="K2289" s="204"/>
    </row>
    <row r="2290" spans="1:11">
      <c r="A2290" s="182"/>
      <c r="B2290" s="184"/>
      <c r="C2290" s="203"/>
      <c r="D2290" s="186"/>
      <c r="E2290" s="198"/>
      <c r="F2290" s="186"/>
      <c r="G2290" s="186"/>
      <c r="H2290" s="186"/>
      <c r="I2290" s="191"/>
      <c r="J2290" s="192"/>
      <c r="K2290" s="204"/>
    </row>
    <row r="2291" spans="1:11" ht="16" customHeight="1">
      <c r="A2291" s="183"/>
      <c r="B2291" s="184"/>
      <c r="C2291" s="203"/>
      <c r="D2291" s="186"/>
      <c r="E2291" s="198"/>
      <c r="F2291" s="186"/>
      <c r="G2291" s="186"/>
      <c r="H2291" s="186"/>
      <c r="I2291" s="191"/>
      <c r="J2291" s="192"/>
      <c r="K2291" s="204"/>
    </row>
    <row r="2292" spans="1:11">
      <c r="A2292" s="186"/>
      <c r="B2292" s="184"/>
      <c r="C2292" s="203"/>
      <c r="D2292" s="186"/>
      <c r="E2292" s="198"/>
      <c r="F2292" s="186"/>
      <c r="G2292" s="186"/>
      <c r="H2292" s="186"/>
      <c r="I2292" s="191"/>
      <c r="J2292" s="192"/>
      <c r="K2292" s="204"/>
    </row>
    <row r="2293" spans="1:11">
      <c r="A2293" s="183"/>
      <c r="B2293" s="184"/>
      <c r="C2293" s="203"/>
      <c r="D2293" s="186"/>
      <c r="E2293" s="187"/>
      <c r="F2293" s="186"/>
      <c r="G2293" s="186"/>
      <c r="H2293" s="194"/>
      <c r="I2293" s="196"/>
      <c r="J2293" s="192"/>
      <c r="K2293" s="204"/>
    </row>
    <row r="2294" spans="1:11" ht="14" customHeight="1">
      <c r="A2294" s="186"/>
      <c r="B2294" s="184"/>
      <c r="C2294" s="203"/>
      <c r="D2294" s="186"/>
      <c r="E2294" s="187"/>
      <c r="F2294" s="188"/>
      <c r="G2294" s="186"/>
      <c r="H2294" s="194"/>
      <c r="I2294" s="196"/>
      <c r="J2294" s="192"/>
      <c r="K2294" s="204"/>
    </row>
    <row r="2295" spans="1:11">
      <c r="A2295" s="183"/>
      <c r="B2295" s="184"/>
      <c r="C2295" s="203"/>
      <c r="D2295" s="186"/>
      <c r="E2295" s="187"/>
      <c r="F2295" s="186"/>
      <c r="G2295" s="190"/>
      <c r="H2295" s="194"/>
      <c r="I2295" s="196"/>
      <c r="J2295" s="192"/>
      <c r="K2295" s="204"/>
    </row>
    <row r="2296" spans="1:11">
      <c r="A2296" s="186"/>
      <c r="B2296" s="184"/>
      <c r="C2296" s="203"/>
      <c r="D2296" s="186"/>
      <c r="E2296" s="187"/>
      <c r="F2296" s="188"/>
      <c r="G2296" s="181"/>
      <c r="H2296" s="194"/>
      <c r="I2296" s="196"/>
      <c r="J2296" s="192"/>
      <c r="K2296" s="204"/>
    </row>
    <row r="2297" spans="1:11">
      <c r="A2297" s="183"/>
      <c r="B2297" s="184"/>
      <c r="C2297" s="185"/>
      <c r="D2297" s="186"/>
      <c r="E2297" s="187"/>
      <c r="F2297" s="186"/>
      <c r="G2297" s="190"/>
      <c r="H2297" s="194"/>
      <c r="I2297" s="196"/>
      <c r="J2297" s="192"/>
      <c r="K2297" s="204"/>
    </row>
    <row r="2298" spans="1:11">
      <c r="A2298" s="186"/>
      <c r="B2298" s="184"/>
      <c r="C2298" s="185"/>
      <c r="D2298" s="186"/>
      <c r="E2298" s="187"/>
      <c r="F2298" s="188"/>
      <c r="G2298" s="181"/>
      <c r="H2298" s="194"/>
      <c r="I2298" s="196"/>
      <c r="J2298" s="192"/>
      <c r="K2298" s="204"/>
    </row>
    <row r="2299" spans="1:11">
      <c r="A2299" s="183"/>
      <c r="B2299" s="184"/>
      <c r="C2299" s="185"/>
      <c r="D2299" s="186"/>
      <c r="E2299" s="187"/>
      <c r="F2299" s="186"/>
      <c r="G2299" s="190"/>
      <c r="H2299" s="194"/>
      <c r="I2299" s="196"/>
      <c r="J2299" s="192"/>
      <c r="K2299" s="204"/>
    </row>
    <row r="2300" spans="1:11">
      <c r="A2300" s="186"/>
      <c r="B2300" s="184"/>
      <c r="C2300" s="185"/>
      <c r="D2300" s="186"/>
      <c r="E2300" s="187"/>
      <c r="F2300" s="188"/>
      <c r="G2300" s="181"/>
      <c r="H2300" s="194"/>
      <c r="I2300" s="196"/>
      <c r="J2300" s="192"/>
      <c r="K2300" s="204"/>
    </row>
    <row r="2301" spans="1:11">
      <c r="A2301" s="183"/>
      <c r="B2301" s="184"/>
      <c r="C2301" s="203"/>
      <c r="D2301" s="186"/>
      <c r="E2301" s="198"/>
      <c r="F2301" s="186"/>
      <c r="G2301" s="186"/>
      <c r="H2301" s="186"/>
      <c r="I2301" s="196"/>
      <c r="J2301" s="192"/>
      <c r="K2301" s="204"/>
    </row>
    <row r="2302" spans="1:11">
      <c r="A2302" s="186"/>
      <c r="B2302" s="184"/>
      <c r="C2302" s="203"/>
      <c r="D2302" s="186"/>
      <c r="E2302" s="198"/>
      <c r="F2302" s="186"/>
      <c r="G2302" s="186"/>
      <c r="H2302" s="181"/>
      <c r="I2302" s="196"/>
      <c r="J2302" s="192"/>
      <c r="K2302" s="204"/>
    </row>
    <row r="2303" spans="1:11">
      <c r="A2303" s="183"/>
      <c r="B2303" s="184"/>
      <c r="C2303" s="203"/>
      <c r="D2303" s="186"/>
      <c r="E2303" s="187"/>
      <c r="F2303" s="186"/>
      <c r="G2303" s="186"/>
      <c r="H2303" s="194"/>
      <c r="I2303" s="196"/>
      <c r="J2303" s="192"/>
      <c r="K2303" s="204"/>
    </row>
    <row r="2304" spans="1:11">
      <c r="A2304" s="181"/>
      <c r="B2304" s="184"/>
      <c r="C2304" s="203"/>
      <c r="D2304" s="186"/>
      <c r="E2304" s="187"/>
      <c r="F2304" s="188"/>
      <c r="G2304" s="186"/>
      <c r="H2304" s="194"/>
      <c r="I2304" s="196"/>
      <c r="J2304" s="192"/>
      <c r="K2304" s="204"/>
    </row>
    <row r="2305" spans="1:11">
      <c r="A2305" s="183"/>
      <c r="B2305" s="184"/>
      <c r="C2305" s="203"/>
      <c r="D2305" s="186"/>
      <c r="E2305" s="187"/>
      <c r="F2305" s="186"/>
      <c r="G2305" s="186"/>
      <c r="H2305" s="194"/>
      <c r="I2305" s="196"/>
      <c r="J2305" s="193"/>
      <c r="K2305" s="204"/>
    </row>
    <row r="2306" spans="1:11">
      <c r="A2306" s="186"/>
      <c r="B2306" s="184"/>
      <c r="C2306" s="203"/>
      <c r="D2306" s="186"/>
      <c r="E2306" s="187"/>
      <c r="F2306" s="188"/>
      <c r="G2306" s="186"/>
      <c r="H2306" s="194"/>
      <c r="I2306" s="196"/>
      <c r="J2306" s="193"/>
      <c r="K2306" s="204"/>
    </row>
    <row r="2307" spans="1:11">
      <c r="A2307" s="183"/>
      <c r="B2307" s="184"/>
      <c r="C2307" s="203"/>
      <c r="D2307" s="186"/>
      <c r="E2307" s="187"/>
      <c r="F2307" s="186"/>
      <c r="G2307" s="190"/>
      <c r="H2307" s="194"/>
      <c r="I2307" s="196"/>
      <c r="J2307" s="192"/>
      <c r="K2307" s="204"/>
    </row>
    <row r="2308" spans="1:11">
      <c r="A2308" s="186"/>
      <c r="B2308" s="184"/>
      <c r="C2308" s="203"/>
      <c r="D2308" s="186"/>
      <c r="E2308" s="187"/>
      <c r="F2308" s="188"/>
      <c r="G2308" s="181"/>
      <c r="H2308" s="194"/>
      <c r="I2308" s="196"/>
      <c r="J2308" s="192"/>
      <c r="K2308" s="204"/>
    </row>
    <row r="2309" spans="1:11" ht="16" customHeight="1">
      <c r="A2309" s="183"/>
      <c r="B2309" s="184"/>
      <c r="C2309" s="203"/>
      <c r="D2309" s="186"/>
      <c r="E2309" s="198"/>
      <c r="F2309" s="186"/>
      <c r="G2309" s="186"/>
      <c r="H2309" s="194"/>
      <c r="I2309" s="196"/>
      <c r="J2309" s="192"/>
      <c r="K2309" s="204"/>
    </row>
    <row r="2310" spans="1:11">
      <c r="A2310" s="186"/>
      <c r="B2310" s="184"/>
      <c r="C2310" s="203"/>
      <c r="D2310" s="186"/>
      <c r="E2310" s="198"/>
      <c r="F2310" s="186"/>
      <c r="G2310" s="186"/>
      <c r="H2310" s="194"/>
      <c r="I2310" s="196"/>
      <c r="J2310" s="192"/>
      <c r="K2310" s="204"/>
    </row>
    <row r="2311" spans="1:11">
      <c r="A2311" s="183"/>
      <c r="B2311" s="184"/>
      <c r="C2311" s="185"/>
      <c r="D2311" s="186"/>
      <c r="E2311" s="187"/>
      <c r="F2311" s="186"/>
      <c r="G2311" s="190"/>
      <c r="H2311" s="194"/>
      <c r="I2311" s="196"/>
      <c r="J2311" s="192"/>
      <c r="K2311" s="204"/>
    </row>
    <row r="2312" spans="1:11">
      <c r="A2312" s="186"/>
      <c r="B2312" s="184"/>
      <c r="C2312" s="185"/>
      <c r="D2312" s="186"/>
      <c r="E2312" s="187"/>
      <c r="F2312" s="188"/>
      <c r="G2312" s="181"/>
      <c r="H2312" s="194"/>
      <c r="I2312" s="196"/>
      <c r="J2312" s="192"/>
      <c r="K2312" s="204"/>
    </row>
    <row r="2313" spans="1:11">
      <c r="A2313" s="183"/>
      <c r="B2313" s="184"/>
      <c r="C2313" s="189"/>
      <c r="D2313" s="186"/>
      <c r="E2313" s="198"/>
      <c r="F2313" s="186"/>
      <c r="G2313" s="186"/>
      <c r="H2313" s="194"/>
      <c r="I2313" s="196"/>
      <c r="J2313" s="192"/>
      <c r="K2313" s="204"/>
    </row>
    <row r="2314" spans="1:11">
      <c r="A2314" s="199"/>
      <c r="B2314" s="184"/>
      <c r="C2314" s="189"/>
      <c r="D2314" s="186"/>
      <c r="E2314" s="198"/>
      <c r="F2314" s="186"/>
      <c r="G2314" s="186"/>
      <c r="H2314" s="194"/>
      <c r="I2314" s="196"/>
      <c r="J2314" s="192"/>
      <c r="K2314" s="204"/>
    </row>
    <row r="2315" spans="1:11">
      <c r="A2315" s="183"/>
      <c r="B2315" s="184"/>
      <c r="C2315" s="203"/>
      <c r="D2315" s="186"/>
      <c r="E2315" s="187"/>
      <c r="F2315" s="186"/>
      <c r="G2315" s="186"/>
      <c r="H2315" s="194"/>
      <c r="I2315" s="196"/>
      <c r="J2315" s="192"/>
      <c r="K2315" s="204"/>
    </row>
    <row r="2316" spans="1:11">
      <c r="A2316" s="186"/>
      <c r="B2316" s="184"/>
      <c r="C2316" s="203"/>
      <c r="D2316" s="186"/>
      <c r="E2316" s="187"/>
      <c r="F2316" s="188"/>
      <c r="G2316" s="186"/>
      <c r="H2316" s="194"/>
      <c r="I2316" s="196"/>
      <c r="J2316" s="192"/>
      <c r="K2316" s="204"/>
    </row>
    <row r="2317" spans="1:11">
      <c r="A2317" s="182"/>
      <c r="B2317" s="184"/>
      <c r="C2317" s="203"/>
      <c r="D2317" s="186"/>
      <c r="E2317" s="198"/>
      <c r="F2317" s="186"/>
      <c r="G2317" s="186"/>
      <c r="H2317" s="194"/>
      <c r="I2317" s="195"/>
      <c r="J2317" s="192"/>
      <c r="K2317" s="204"/>
    </row>
    <row r="2318" spans="1:11" ht="16" customHeight="1">
      <c r="A2318" s="183"/>
      <c r="B2318" s="184"/>
      <c r="C2318" s="203"/>
      <c r="D2318" s="186"/>
      <c r="E2318" s="198"/>
      <c r="F2318" s="186"/>
      <c r="G2318" s="186"/>
      <c r="H2318" s="186"/>
      <c r="I2318" s="196"/>
      <c r="J2318" s="192"/>
      <c r="K2318" s="204"/>
    </row>
    <row r="2319" spans="1:11">
      <c r="A2319" s="186"/>
      <c r="B2319" s="184"/>
      <c r="C2319" s="203"/>
      <c r="D2319" s="186"/>
      <c r="E2319" s="198"/>
      <c r="F2319" s="186"/>
      <c r="G2319" s="186"/>
      <c r="H2319" s="181"/>
      <c r="I2319" s="196"/>
      <c r="J2319" s="192"/>
      <c r="K2319" s="204"/>
    </row>
    <row r="2320" spans="1:11">
      <c r="A2320" s="183"/>
      <c r="B2320" s="184"/>
      <c r="C2320" s="203"/>
      <c r="D2320" s="186"/>
      <c r="E2320" s="198"/>
      <c r="F2320" s="186"/>
      <c r="G2320" s="186"/>
      <c r="H2320" s="186"/>
      <c r="I2320" s="196"/>
      <c r="J2320" s="192"/>
      <c r="K2320" s="204"/>
    </row>
    <row r="2321" spans="1:11">
      <c r="A2321" s="186"/>
      <c r="B2321" s="184"/>
      <c r="C2321" s="203"/>
      <c r="D2321" s="186"/>
      <c r="E2321" s="198"/>
      <c r="F2321" s="186"/>
      <c r="G2321" s="186"/>
      <c r="H2321" s="181"/>
      <c r="I2321" s="196"/>
      <c r="J2321" s="192"/>
      <c r="K2321" s="204"/>
    </row>
    <row r="2322" spans="1:11">
      <c r="A2322" s="183"/>
      <c r="B2322" s="184"/>
      <c r="C2322" s="203"/>
      <c r="D2322" s="186"/>
      <c r="E2322" s="198"/>
      <c r="F2322" s="186"/>
      <c r="G2322" s="186"/>
      <c r="H2322" s="194"/>
      <c r="I2322" s="196"/>
      <c r="J2322" s="192"/>
      <c r="K2322" s="204"/>
    </row>
    <row r="2323" spans="1:11">
      <c r="A2323" s="186"/>
      <c r="B2323" s="184"/>
      <c r="C2323" s="203"/>
      <c r="D2323" s="186"/>
      <c r="E2323" s="198"/>
      <c r="F2323" s="186"/>
      <c r="G2323" s="186"/>
      <c r="H2323" s="194"/>
      <c r="I2323" s="196"/>
      <c r="J2323" s="192"/>
      <c r="K2323" s="204"/>
    </row>
    <row r="2324" spans="1:11">
      <c r="A2324" s="183"/>
      <c r="B2324" s="184"/>
      <c r="C2324" s="203"/>
      <c r="D2324" s="186"/>
      <c r="E2324" s="187"/>
      <c r="F2324" s="186"/>
      <c r="G2324" s="186"/>
      <c r="H2324" s="194"/>
      <c r="I2324" s="196"/>
      <c r="J2324" s="192"/>
      <c r="K2324" s="204"/>
    </row>
    <row r="2325" spans="1:11">
      <c r="A2325" s="186"/>
      <c r="B2325" s="184"/>
      <c r="C2325" s="203"/>
      <c r="D2325" s="186"/>
      <c r="E2325" s="187"/>
      <c r="F2325" s="188"/>
      <c r="G2325" s="186"/>
      <c r="H2325" s="194"/>
      <c r="I2325" s="196"/>
      <c r="J2325" s="192"/>
      <c r="K2325" s="204"/>
    </row>
    <row r="2326" spans="1:11">
      <c r="A2326" s="183"/>
      <c r="B2326" s="184"/>
      <c r="C2326" s="203"/>
      <c r="D2326" s="186"/>
      <c r="E2326" s="198"/>
      <c r="F2326" s="186"/>
      <c r="G2326" s="186"/>
      <c r="H2326" s="194"/>
      <c r="I2326" s="196"/>
      <c r="J2326" s="192"/>
      <c r="K2326" s="204"/>
    </row>
    <row r="2327" spans="1:11">
      <c r="A2327" s="186"/>
      <c r="B2327" s="184"/>
      <c r="C2327" s="203"/>
      <c r="D2327" s="186"/>
      <c r="E2327" s="198"/>
      <c r="F2327" s="186"/>
      <c r="G2327" s="186"/>
      <c r="H2327" s="194"/>
      <c r="I2327" s="196"/>
      <c r="J2327" s="192"/>
      <c r="K2327" s="204"/>
    </row>
    <row r="2328" spans="1:11">
      <c r="A2328" s="182"/>
      <c r="B2328" s="184"/>
      <c r="C2328" s="203"/>
      <c r="D2328" s="186"/>
      <c r="E2328" s="198"/>
      <c r="F2328" s="186"/>
      <c r="G2328" s="186"/>
      <c r="H2328" s="186"/>
      <c r="I2328" s="191"/>
      <c r="J2328" s="192"/>
      <c r="K2328" s="204"/>
    </row>
    <row r="2329" spans="1:11">
      <c r="A2329" s="183"/>
      <c r="B2329" s="184"/>
      <c r="C2329" s="203"/>
      <c r="D2329" s="186"/>
      <c r="E2329" s="198"/>
      <c r="F2329" s="186"/>
      <c r="G2329" s="186"/>
      <c r="H2329" s="186"/>
      <c r="I2329" s="191"/>
      <c r="J2329" s="192"/>
      <c r="K2329" s="204"/>
    </row>
    <row r="2330" spans="1:11">
      <c r="A2330" s="186"/>
      <c r="B2330" s="184"/>
      <c r="C2330" s="203"/>
      <c r="D2330" s="186"/>
      <c r="E2330" s="198"/>
      <c r="F2330" s="186"/>
      <c r="G2330" s="186"/>
      <c r="H2330" s="186"/>
      <c r="I2330" s="191"/>
      <c r="J2330" s="192"/>
      <c r="K2330" s="204"/>
    </row>
    <row r="2331" spans="1:11">
      <c r="A2331" s="183"/>
      <c r="B2331" s="184"/>
      <c r="C2331" s="185"/>
      <c r="D2331" s="186"/>
      <c r="E2331" s="187"/>
      <c r="F2331" s="186"/>
      <c r="G2331" s="190"/>
      <c r="H2331" s="194"/>
      <c r="I2331" s="196"/>
      <c r="J2331" s="192"/>
      <c r="K2331" s="204"/>
    </row>
    <row r="2332" spans="1:11">
      <c r="A2332" s="186"/>
      <c r="B2332" s="184"/>
      <c r="C2332" s="185"/>
      <c r="D2332" s="186"/>
      <c r="E2332" s="187"/>
      <c r="F2332" s="188"/>
      <c r="G2332" s="181"/>
      <c r="H2332" s="194"/>
      <c r="I2332" s="196"/>
      <c r="J2332" s="192"/>
      <c r="K2332" s="204"/>
    </row>
    <row r="2333" spans="1:11">
      <c r="A2333" s="183"/>
      <c r="B2333" s="184"/>
      <c r="C2333" s="203"/>
      <c r="D2333" s="186"/>
      <c r="E2333" s="187"/>
      <c r="F2333" s="186"/>
      <c r="G2333" s="186"/>
      <c r="H2333" s="186"/>
      <c r="I2333" s="196"/>
      <c r="J2333" s="192"/>
      <c r="K2333" s="204"/>
    </row>
    <row r="2334" spans="1:11">
      <c r="A2334" s="186"/>
      <c r="B2334" s="184"/>
      <c r="C2334" s="203"/>
      <c r="D2334" s="186"/>
      <c r="E2334" s="187"/>
      <c r="F2334" s="188"/>
      <c r="G2334" s="186"/>
      <c r="H2334" s="181"/>
      <c r="I2334" s="196"/>
      <c r="J2334" s="192"/>
      <c r="K2334" s="204"/>
    </row>
    <row r="2335" spans="1:11">
      <c r="A2335" s="183"/>
      <c r="B2335" s="184"/>
      <c r="C2335" s="200"/>
      <c r="D2335" s="186"/>
      <c r="E2335" s="187"/>
      <c r="F2335" s="186"/>
      <c r="G2335" s="186"/>
      <c r="H2335" s="194"/>
      <c r="I2335" s="196"/>
      <c r="J2335" s="193"/>
      <c r="K2335" s="204"/>
    </row>
    <row r="2336" spans="1:11">
      <c r="A2336" s="186"/>
      <c r="B2336" s="184"/>
      <c r="C2336" s="200"/>
      <c r="D2336" s="186"/>
      <c r="E2336" s="187"/>
      <c r="F2336" s="188"/>
      <c r="G2336" s="186"/>
      <c r="H2336" s="194"/>
      <c r="I2336" s="196"/>
      <c r="J2336" s="193"/>
      <c r="K2336" s="204"/>
    </row>
    <row r="2337" spans="1:11">
      <c r="A2337" s="183"/>
      <c r="B2337" s="184"/>
      <c r="C2337" s="185"/>
      <c r="D2337" s="186"/>
      <c r="E2337" s="198"/>
      <c r="F2337" s="186"/>
      <c r="G2337" s="186"/>
      <c r="H2337" s="186"/>
      <c r="I2337" s="196"/>
      <c r="J2337" s="192"/>
      <c r="K2337" s="204"/>
    </row>
    <row r="2338" spans="1:11">
      <c r="A2338" s="186"/>
      <c r="B2338" s="184"/>
      <c r="C2338" s="185"/>
      <c r="D2338" s="186"/>
      <c r="E2338" s="198"/>
      <c r="F2338" s="186"/>
      <c r="G2338" s="186"/>
      <c r="H2338" s="181"/>
      <c r="I2338" s="196"/>
      <c r="J2338" s="192"/>
      <c r="K2338" s="204"/>
    </row>
    <row r="2339" spans="1:11">
      <c r="A2339" s="183"/>
      <c r="B2339" s="184"/>
      <c r="C2339" s="185"/>
      <c r="D2339" s="186"/>
      <c r="E2339" s="198"/>
      <c r="F2339" s="186"/>
      <c r="G2339" s="186"/>
      <c r="H2339" s="194"/>
      <c r="I2339" s="196"/>
      <c r="J2339" s="192"/>
      <c r="K2339" s="204"/>
    </row>
    <row r="2340" spans="1:11">
      <c r="A2340" s="186"/>
      <c r="B2340" s="184"/>
      <c r="C2340" s="185"/>
      <c r="D2340" s="186"/>
      <c r="E2340" s="198"/>
      <c r="F2340" s="186"/>
      <c r="G2340" s="186"/>
      <c r="H2340" s="194"/>
      <c r="I2340" s="196"/>
      <c r="J2340" s="192"/>
      <c r="K2340" s="204"/>
    </row>
    <row r="2341" spans="1:11">
      <c r="A2341" s="183"/>
      <c r="B2341" s="184"/>
      <c r="C2341" s="203"/>
      <c r="D2341" s="186"/>
      <c r="E2341" s="187"/>
      <c r="F2341" s="186"/>
      <c r="G2341" s="190"/>
      <c r="H2341" s="194"/>
      <c r="I2341" s="196"/>
      <c r="J2341" s="192"/>
      <c r="K2341" s="204"/>
    </row>
    <row r="2342" spans="1:11">
      <c r="A2342" s="186"/>
      <c r="B2342" s="184"/>
      <c r="C2342" s="203"/>
      <c r="D2342" s="186"/>
      <c r="E2342" s="187"/>
      <c r="F2342" s="188"/>
      <c r="G2342" s="181"/>
      <c r="H2342" s="194"/>
      <c r="I2342" s="196"/>
      <c r="J2342" s="192"/>
      <c r="K2342" s="204"/>
    </row>
    <row r="2343" spans="1:11">
      <c r="A2343" s="183"/>
      <c r="B2343" s="184"/>
      <c r="C2343" s="203"/>
      <c r="D2343" s="186"/>
      <c r="E2343" s="198"/>
      <c r="F2343" s="186"/>
      <c r="G2343" s="186"/>
      <c r="H2343" s="186"/>
      <c r="I2343" s="196"/>
      <c r="J2343" s="192"/>
      <c r="K2343" s="204"/>
    </row>
    <row r="2344" spans="1:11">
      <c r="A2344" s="186"/>
      <c r="B2344" s="184"/>
      <c r="C2344" s="203"/>
      <c r="D2344" s="186"/>
      <c r="E2344" s="198"/>
      <c r="F2344" s="186"/>
      <c r="G2344" s="186"/>
      <c r="H2344" s="181"/>
      <c r="I2344" s="196"/>
      <c r="J2344" s="192"/>
      <c r="K2344" s="204"/>
    </row>
    <row r="2345" spans="1:11">
      <c r="A2345" s="183"/>
      <c r="B2345" s="184"/>
      <c r="C2345" s="203"/>
      <c r="D2345" s="186"/>
      <c r="E2345" s="187"/>
      <c r="F2345" s="186"/>
      <c r="G2345" s="190"/>
      <c r="H2345" s="194"/>
      <c r="I2345" s="196"/>
      <c r="J2345" s="192"/>
      <c r="K2345" s="204"/>
    </row>
    <row r="2346" spans="1:11">
      <c r="A2346" s="186"/>
      <c r="B2346" s="184"/>
      <c r="C2346" s="203"/>
      <c r="D2346" s="186"/>
      <c r="E2346" s="187"/>
      <c r="F2346" s="188"/>
      <c r="G2346" s="181"/>
      <c r="H2346" s="194"/>
      <c r="I2346" s="196"/>
      <c r="J2346" s="192"/>
      <c r="K2346" s="204"/>
    </row>
    <row r="2347" spans="1:11">
      <c r="A2347" s="183"/>
      <c r="B2347" s="184"/>
      <c r="C2347" s="203"/>
      <c r="D2347" s="186"/>
      <c r="E2347" s="198"/>
      <c r="F2347" s="186"/>
      <c r="G2347" s="186"/>
      <c r="H2347" s="186"/>
      <c r="I2347" s="196"/>
      <c r="J2347" s="192"/>
      <c r="K2347" s="204"/>
    </row>
    <row r="2348" spans="1:11">
      <c r="A2348" s="186"/>
      <c r="B2348" s="184"/>
      <c r="C2348" s="203"/>
      <c r="D2348" s="186"/>
      <c r="E2348" s="198"/>
      <c r="F2348" s="186"/>
      <c r="G2348" s="186"/>
      <c r="H2348" s="181"/>
      <c r="I2348" s="196"/>
      <c r="J2348" s="192"/>
      <c r="K2348" s="204"/>
    </row>
    <row r="2349" spans="1:11">
      <c r="A2349" s="183"/>
      <c r="B2349" s="184"/>
      <c r="C2349" s="203"/>
      <c r="D2349" s="186"/>
      <c r="E2349" s="198"/>
      <c r="F2349" s="186"/>
      <c r="G2349" s="186"/>
      <c r="H2349" s="186"/>
      <c r="I2349" s="196"/>
      <c r="J2349" s="192"/>
      <c r="K2349" s="204"/>
    </row>
    <row r="2350" spans="1:11">
      <c r="A2350" s="186"/>
      <c r="B2350" s="184"/>
      <c r="C2350" s="203"/>
      <c r="D2350" s="186"/>
      <c r="E2350" s="198"/>
      <c r="F2350" s="186"/>
      <c r="G2350" s="186"/>
      <c r="H2350" s="181"/>
      <c r="I2350" s="196"/>
      <c r="J2350" s="192"/>
      <c r="K2350" s="204"/>
    </row>
    <row r="2351" spans="1:11">
      <c r="A2351" s="183"/>
      <c r="B2351" s="184"/>
      <c r="C2351" s="203"/>
      <c r="D2351" s="186"/>
      <c r="E2351" s="187"/>
      <c r="F2351" s="186"/>
      <c r="G2351" s="190"/>
      <c r="H2351" s="194"/>
      <c r="I2351" s="196"/>
      <c r="J2351" s="192"/>
      <c r="K2351" s="204"/>
    </row>
    <row r="2352" spans="1:11">
      <c r="A2352" s="186"/>
      <c r="B2352" s="184"/>
      <c r="C2352" s="203"/>
      <c r="D2352" s="186"/>
      <c r="E2352" s="187"/>
      <c r="F2352" s="188"/>
      <c r="G2352" s="181"/>
      <c r="H2352" s="194"/>
      <c r="I2352" s="196"/>
      <c r="J2352" s="192"/>
      <c r="K2352" s="204"/>
    </row>
    <row r="2353" spans="1:11">
      <c r="A2353" s="182"/>
      <c r="B2353" s="184"/>
      <c r="C2353" s="189"/>
      <c r="D2353" s="200"/>
      <c r="E2353" s="198"/>
      <c r="F2353" s="186"/>
      <c r="G2353" s="186"/>
      <c r="H2353" s="186"/>
      <c r="I2353" s="191"/>
      <c r="J2353" s="192"/>
      <c r="K2353" s="204"/>
    </row>
    <row r="2354" spans="1:11" ht="14" customHeight="1">
      <c r="A2354" s="183"/>
      <c r="B2354" s="184"/>
      <c r="C2354" s="189"/>
      <c r="D2354" s="200"/>
      <c r="E2354" s="198"/>
      <c r="F2354" s="186"/>
      <c r="G2354" s="186"/>
      <c r="H2354" s="186"/>
      <c r="I2354" s="191"/>
      <c r="J2354" s="192"/>
      <c r="K2354" s="204"/>
    </row>
    <row r="2355" spans="1:11">
      <c r="A2355" s="186"/>
      <c r="B2355" s="184"/>
      <c r="C2355" s="189"/>
      <c r="D2355" s="200"/>
      <c r="E2355" s="198"/>
      <c r="F2355" s="186"/>
      <c r="G2355" s="186"/>
      <c r="H2355" s="186"/>
      <c r="I2355" s="191"/>
      <c r="J2355" s="192"/>
      <c r="K2355" s="204"/>
    </row>
    <row r="2356" spans="1:11">
      <c r="A2356" s="183"/>
      <c r="B2356" s="184"/>
      <c r="C2356" s="185"/>
      <c r="D2356" s="186"/>
      <c r="E2356" s="198"/>
      <c r="F2356" s="186"/>
      <c r="G2356" s="186"/>
      <c r="H2356" s="186"/>
      <c r="I2356" s="196"/>
      <c r="J2356" s="192"/>
      <c r="K2356" s="204"/>
    </row>
    <row r="2357" spans="1:11" ht="16" customHeight="1">
      <c r="A2357" s="186"/>
      <c r="B2357" s="184"/>
      <c r="C2357" s="185"/>
      <c r="D2357" s="186"/>
      <c r="E2357" s="198"/>
      <c r="F2357" s="186"/>
      <c r="G2357" s="186"/>
      <c r="H2357" s="181"/>
      <c r="I2357" s="196"/>
      <c r="J2357" s="192"/>
      <c r="K2357" s="204"/>
    </row>
    <row r="2358" spans="1:11">
      <c r="A2358" s="182"/>
      <c r="B2358" s="184"/>
      <c r="C2358" s="203"/>
      <c r="D2358" s="186"/>
      <c r="E2358" s="187"/>
      <c r="F2358" s="186"/>
      <c r="G2358" s="186"/>
      <c r="H2358" s="186"/>
      <c r="I2358" s="191"/>
      <c r="J2358" s="192"/>
      <c r="K2358" s="204"/>
    </row>
    <row r="2359" spans="1:11">
      <c r="A2359" s="183"/>
      <c r="B2359" s="184"/>
      <c r="C2359" s="203"/>
      <c r="D2359" s="186"/>
      <c r="E2359" s="187"/>
      <c r="F2359" s="186"/>
      <c r="G2359" s="186"/>
      <c r="H2359" s="186"/>
      <c r="I2359" s="191"/>
      <c r="J2359" s="192"/>
      <c r="K2359" s="204"/>
    </row>
    <row r="2360" spans="1:11">
      <c r="A2360" s="181"/>
      <c r="B2360" s="184"/>
      <c r="C2360" s="203"/>
      <c r="D2360" s="186"/>
      <c r="E2360" s="187"/>
      <c r="F2360" s="188"/>
      <c r="G2360" s="186"/>
      <c r="H2360" s="186"/>
      <c r="I2360" s="191"/>
      <c r="J2360" s="192"/>
      <c r="K2360" s="204"/>
    </row>
    <row r="2361" spans="1:11">
      <c r="A2361" s="182"/>
      <c r="B2361" s="184"/>
      <c r="C2361" s="185"/>
      <c r="D2361" s="186"/>
      <c r="E2361" s="198"/>
      <c r="F2361" s="186"/>
      <c r="G2361" s="186"/>
      <c r="H2361" s="194"/>
      <c r="I2361" s="195"/>
      <c r="J2361" s="192"/>
      <c r="K2361" s="204"/>
    </row>
    <row r="2362" spans="1:11">
      <c r="A2362" s="183"/>
      <c r="B2362" s="184"/>
      <c r="C2362" s="185"/>
      <c r="D2362" s="186"/>
      <c r="E2362" s="198"/>
      <c r="F2362" s="186"/>
      <c r="G2362" s="186"/>
      <c r="H2362" s="186"/>
      <c r="I2362" s="196"/>
      <c r="J2362" s="192"/>
      <c r="K2362" s="204"/>
    </row>
    <row r="2363" spans="1:11">
      <c r="A2363" s="186"/>
      <c r="B2363" s="184"/>
      <c r="C2363" s="185"/>
      <c r="D2363" s="186"/>
      <c r="E2363" s="198"/>
      <c r="F2363" s="186"/>
      <c r="G2363" s="186"/>
      <c r="H2363" s="181"/>
      <c r="I2363" s="196"/>
      <c r="J2363" s="192"/>
      <c r="K2363" s="204"/>
    </row>
    <row r="2364" spans="1:11">
      <c r="A2364" s="183"/>
      <c r="B2364" s="184"/>
      <c r="C2364" s="203"/>
      <c r="D2364" s="186"/>
      <c r="E2364" s="198"/>
      <c r="F2364" s="186"/>
      <c r="G2364" s="186"/>
      <c r="H2364" s="186"/>
      <c r="I2364" s="196"/>
      <c r="J2364" s="192"/>
      <c r="K2364" s="204"/>
    </row>
    <row r="2365" spans="1:11">
      <c r="A2365" s="186"/>
      <c r="B2365" s="184"/>
      <c r="C2365" s="203"/>
      <c r="D2365" s="186"/>
      <c r="E2365" s="198"/>
      <c r="F2365" s="186"/>
      <c r="G2365" s="186"/>
      <c r="H2365" s="181"/>
      <c r="I2365" s="196"/>
      <c r="J2365" s="192"/>
      <c r="K2365" s="204"/>
    </row>
  </sheetData>
  <sortState xmlns:xlrd2="http://schemas.microsoft.com/office/spreadsheetml/2017/richdata2" ref="A2:L2365">
    <sortCondition ref="A2:A2365"/>
  </sortState>
  <hyperlinks>
    <hyperlink ref="K2" r:id="rId1" display="https://frontliner.gamextopia.id/dse/96" xr:uid="{0B95AEA4-50CF-4F25-A06E-F78346F9E4F2}"/>
    <hyperlink ref="K3" r:id="rId2" display="https://frontliner.gamextopia.id/dse/26" xr:uid="{FF81F68D-59CC-406B-A17C-E87DE9C9BDF5}"/>
    <hyperlink ref="K5" r:id="rId3" display="https://frontliner.gamextopia.id/dse/460" xr:uid="{41D6C042-603B-4862-AF2A-8E338202A533}"/>
    <hyperlink ref="K6" r:id="rId4" display="https://frontliner.gamextopia.id/dse/555" xr:uid="{C13157CA-5FC5-4212-A283-15F5CB92000E}"/>
    <hyperlink ref="K7" r:id="rId5" display="https://frontliner.gamextopia.id/dse/646" xr:uid="{4DD6B2DF-E9A9-44F8-9BED-AE22230E6CDB}"/>
    <hyperlink ref="K8" r:id="rId6" display="https://frontliner.gamextopia.id/dse/35" xr:uid="{ACA5F5CD-4D01-4317-877F-32A429CF5A3C}"/>
    <hyperlink ref="K9" r:id="rId7" display="https://frontliner.gamextopia.id/dse/491" xr:uid="{5F6E78A8-EB95-4C3F-AD82-57EB7F6A86AF}"/>
    <hyperlink ref="K10" r:id="rId8" display="https://frontliner.gamextopia.id/dse/59" xr:uid="{11A4D1AE-3B9D-48B1-A143-08BC59548C54}"/>
    <hyperlink ref="K11" r:id="rId9" display="https://frontliner.gamextopia.id/dse/551" xr:uid="{2B1C4F10-2AB7-4117-9A0F-CCED90B39F44}"/>
    <hyperlink ref="K12" r:id="rId10" display="https://frontliner.gamextopia.id/dse/260" xr:uid="{321470C7-7EB4-4639-B0CF-5C9483D98D91}"/>
    <hyperlink ref="K13" r:id="rId11" display="https://frontliner.gamextopia.id/dse/269" xr:uid="{D01971B4-7902-490E-9C88-A79AABB9D2F5}"/>
    <hyperlink ref="K14" r:id="rId12" display="https://frontliner.gamextopia.id/dse/38" xr:uid="{7697F5A1-EE0E-4626-9DB9-ABFFF0534865}"/>
    <hyperlink ref="K16" r:id="rId13" display="https://frontliner.gamextopia.id/dse/48" xr:uid="{A4B35DE1-ECB3-4ABA-9D02-6AEAB2BE13D7}"/>
    <hyperlink ref="K17" r:id="rId14" display="https://frontliner.gamextopia.id/dse/40" xr:uid="{C9B9CAA1-518B-4435-AE1E-773215316E13}"/>
    <hyperlink ref="K21" r:id="rId15" display="https://frontliner.gamextopia.id/dse/693" xr:uid="{4711BD2D-4B80-49C0-BFF7-625453EF0CDF}"/>
    <hyperlink ref="K22" r:id="rId16" display="https://frontliner.gamextopia.id/dse/94" xr:uid="{BFDAC06A-E1C9-4741-B4F0-DEFDB11EC5D0}"/>
    <hyperlink ref="K23" r:id="rId17" display="https://frontliner.gamextopia.id/dse/326" xr:uid="{8417EBDF-64AD-4235-810F-AF2FD5D5EA1B}"/>
    <hyperlink ref="K28" r:id="rId18" display="https://frontliner.gamextopia.id/dse/640" xr:uid="{B7D5E7FD-E0D3-457F-BB2F-479794A2140F}"/>
    <hyperlink ref="K29" r:id="rId19" display="https://frontliner.gamextopia.id/dse/286" xr:uid="{6CB249ED-EFE8-49D3-A8A8-5ACC96B4CA6D}"/>
    <hyperlink ref="K30" r:id="rId20" display="https://frontliner.gamextopia.id/dse/289" xr:uid="{770BDD07-2279-4822-BB85-E0A57B197B1B}"/>
    <hyperlink ref="K31" r:id="rId21" display="https://frontliner.gamextopia.id/dse/11" xr:uid="{1D1EBC03-EB56-4539-B6F0-16B5858B8BB5}"/>
    <hyperlink ref="K32" r:id="rId22" display="https://frontliner.gamextopia.id/dse/420" xr:uid="{F6B4C550-541A-4DFB-AC1C-69834A70B65A}"/>
    <hyperlink ref="K33" r:id="rId23" display="https://frontliner.gamextopia.id/dse/163" xr:uid="{C312546F-3631-40F7-8004-B6A381D32731}"/>
    <hyperlink ref="K34" r:id="rId24" display="https://frontliner.gamextopia.id/dse/257" xr:uid="{1B1548B9-8572-40FC-B5D3-76B5E356F5F3}"/>
    <hyperlink ref="K36" r:id="rId25" display="https://frontliner.gamextopia.id/dse/171" xr:uid="{50CFA9CE-EA31-4BBE-AABC-64D6FA5D59EA}"/>
    <hyperlink ref="K37" r:id="rId26" display="https://frontliner.gamextopia.id/dse/254" xr:uid="{0F15835D-064E-41AE-B555-B5E4A886C0D3}"/>
    <hyperlink ref="K38" r:id="rId27" display="https://frontliner.gamextopia.id/dse/76" xr:uid="{EB2B7A8C-5817-40B9-BFAC-619090BB5614}"/>
    <hyperlink ref="K39" r:id="rId28" display="https://frontliner.gamextopia.id/dse/25" xr:uid="{F2EF0248-001E-47E8-A802-5FB955AEF662}"/>
    <hyperlink ref="K41" r:id="rId29" display="https://frontliner.gamextopia.id/dse/287" xr:uid="{DA30A862-2C0F-4E8B-BC21-F4CF8A23C438}"/>
    <hyperlink ref="K42" r:id="rId30" display="https://frontliner.gamextopia.id/dse/562" xr:uid="{403554E7-CDA8-47FC-987C-E8BE12DA518D}"/>
    <hyperlink ref="K43" r:id="rId31" display="https://frontliner.gamextopia.id/dse/67" xr:uid="{323ADEEF-1E6F-484B-B67D-BF49B8528AD8}"/>
    <hyperlink ref="K45" r:id="rId32" display="https://frontliner.gamextopia.id/dse/57" xr:uid="{C91ACD5D-075A-4D07-A48C-4F0699D3ECAA}"/>
    <hyperlink ref="K46" r:id="rId33" display="https://frontliner.gamextopia.id/dse/248" xr:uid="{BFF9279C-61AB-402B-BD02-BFA417B0E1FC}"/>
    <hyperlink ref="K47" r:id="rId34" display="https://frontliner.gamextopia.id/dse/118" xr:uid="{8F332C97-0DA7-4F26-B1EF-6978F55B447A}"/>
    <hyperlink ref="K48" r:id="rId35" display="https://frontliner.gamextopia.id/dse/656" xr:uid="{56A4CCAC-F023-41EF-BB18-1B4390B140B3}"/>
    <hyperlink ref="K49" r:id="rId36" display="https://frontliner.gamextopia.id/dse/14" xr:uid="{997536CB-9EED-4502-B345-7E9A46E7C063}"/>
    <hyperlink ref="K50" r:id="rId37" display="https://frontliner.gamextopia.id/dse/327" xr:uid="{4B12587B-1E1B-47E0-AA11-CD6AD1F7EDD1}"/>
    <hyperlink ref="K52" r:id="rId38" display="https://frontliner.gamextopia.id/dse/266" xr:uid="{4282B678-AD9E-46F6-B895-4E4B61FA36CA}"/>
    <hyperlink ref="K53" r:id="rId39" display="https://frontliner.gamextopia.id/dse/558" xr:uid="{B8F9EDE9-8B29-4F95-B482-7E12BF6531BC}"/>
    <hyperlink ref="K54" r:id="rId40" display="https://frontliner.gamextopia.id/dse/85" xr:uid="{2EA2619F-364B-4600-B6AB-91D30405E11A}"/>
    <hyperlink ref="K55" r:id="rId41" display="https://frontliner.gamextopia.id/dse/467" xr:uid="{29394EFF-8550-42E6-B276-5788014455A4}"/>
    <hyperlink ref="K56" r:id="rId42" display="https://frontliner.gamextopia.id/dse/554" xr:uid="{E4DD8BBA-49A0-4CAD-A177-98D9FA6B6D86}"/>
    <hyperlink ref="K57" r:id="rId43" display="https://frontliner.gamextopia.id/dse/462" xr:uid="{503E46D9-E4EE-447B-B2E4-49D57EE2D694}"/>
    <hyperlink ref="K60" r:id="rId44" display="https://frontliner.gamextopia.id/dse/444" xr:uid="{FEB0E041-790D-4C6F-B939-12CC5C9F15A3}"/>
    <hyperlink ref="K61" r:id="rId45" display="https://frontliner.gamextopia.id/dse/4" xr:uid="{FDF926B3-8352-4D46-89EE-9060FF15EFC9}"/>
    <hyperlink ref="K62" r:id="rId46" display="https://frontliner.gamextopia.id/dse/99" xr:uid="{F03DEA94-CBFB-4D1B-80E5-8151AA226122}"/>
    <hyperlink ref="K67" r:id="rId47" display="https://frontliner.gamextopia.id/dse/124" xr:uid="{DF22808D-3B62-4225-9090-D2CB05F4C436}"/>
    <hyperlink ref="K69" r:id="rId48" display="https://frontliner.gamextopia.id/dse/670" xr:uid="{988CCF58-4FCF-41FE-BAAB-A35E5522CE45}"/>
    <hyperlink ref="K70" r:id="rId49" display="https://frontliner.gamextopia.id/dse/90" xr:uid="{8CCD0A8B-8C6D-40B1-AD79-23CD333C5438}"/>
    <hyperlink ref="K73" r:id="rId50" display="https://frontliner.gamextopia.id/dse/575" xr:uid="{ACA285F8-5922-41C0-B22E-F88AE8813532}"/>
    <hyperlink ref="K74" r:id="rId51" display="https://frontliner.gamextopia.id/dse/335" xr:uid="{CBC288E8-1363-41A9-A4C5-C9ECECBA0749}"/>
    <hyperlink ref="K75" r:id="rId52" display="https://frontliner.gamextopia.id/dse/150" xr:uid="{D9088B0A-CA4C-4874-A7EB-9EAF87F1468E}"/>
    <hyperlink ref="K76" r:id="rId53" display="https://frontliner.gamextopia.id/dse/749" xr:uid="{CC38998D-671A-45B2-8CAC-34C6C76183B8}"/>
    <hyperlink ref="K77" r:id="rId54" display="https://frontliner.gamextopia.id/dse/468" xr:uid="{33C7DFB0-83CD-4073-A69B-8EBDF1FC2C4B}"/>
    <hyperlink ref="K78" r:id="rId55" display="https://frontliner.gamextopia.id/dse/131" xr:uid="{A55E4A5A-358E-4D74-B01A-2E81AC1D5784}"/>
    <hyperlink ref="K79" r:id="rId56" display="https://frontliner.gamextopia.id/dse/66" xr:uid="{CC517224-1FC1-4F56-8D62-36F1C37FA32C}"/>
    <hyperlink ref="K80" r:id="rId57" display="https://frontliner.gamextopia.id/dse/306" xr:uid="{3394B11B-ABE6-4FCB-85C2-93A49B36F181}"/>
    <hyperlink ref="K81" r:id="rId58" display="https://frontliner.gamextopia.id/dse/441" xr:uid="{C5E56097-260C-41D9-A775-E255FF066E66}"/>
    <hyperlink ref="K83" r:id="rId59" display="https://frontliner.gamextopia.id/dse/404" xr:uid="{39214A3B-9C97-4B97-A12D-110B09D73590}"/>
    <hyperlink ref="K85" r:id="rId60" display="https://frontliner.gamextopia.id/dse/299" xr:uid="{05B1C43A-8AEA-47E6-B3C2-9A8D5CC4A52E}"/>
    <hyperlink ref="K86" r:id="rId61" display="https://frontliner.gamextopia.id/dse/41" xr:uid="{527878FF-EB12-4993-8E30-351304812B9D}"/>
    <hyperlink ref="K88" r:id="rId62" display="https://frontliner.gamextopia.id/dse/547" xr:uid="{8F5B3B92-D6FB-42FB-98D3-0A87DA745AEA}"/>
    <hyperlink ref="K90" r:id="rId63" display="https://frontliner.gamextopia.id/dse/567" xr:uid="{161FCFBC-99E4-43A1-A494-A51A5535F365}"/>
    <hyperlink ref="K91" r:id="rId64" display="https://frontliner.gamextopia.id/dse/213" xr:uid="{33E55BEC-9351-4B13-8540-C44FF1639E25}"/>
    <hyperlink ref="K95" r:id="rId65" display="https://frontliner.gamextopia.id/dse/43" xr:uid="{7F1E232A-1A10-4D67-9CD5-54986F85D9C7}"/>
    <hyperlink ref="K96" r:id="rId66" display="https://frontliner.gamextopia.id/dse/496" xr:uid="{E05A7F4B-2714-41C1-8221-345CC3940863}"/>
    <hyperlink ref="K98" r:id="rId67" display="https://frontliner.gamextopia.id/dse/652" xr:uid="{EAB23B68-47D4-4BF3-943B-272E4530CAF2}"/>
    <hyperlink ref="K99" r:id="rId68" display="https://frontliner.gamextopia.id/dse/499" xr:uid="{532A66BB-B492-4D55-BC5D-4B536B3C068E}"/>
    <hyperlink ref="K101" r:id="rId69" display="https://frontliner.gamextopia.id/dse/158" xr:uid="{A9D5DAA4-2C68-48FB-BEA4-7C3BEFBCF7B1}"/>
    <hyperlink ref="K103" r:id="rId70" display="https://frontliner.gamextopia.id/dse/268" xr:uid="{573700AA-82F5-4B75-A208-EB109DA3C689}"/>
    <hyperlink ref="K104" r:id="rId71" display="https://frontliner.gamextopia.id/dse/142" xr:uid="{DBEC7BFB-E6FE-4F76-9048-0A149C5750AE}"/>
    <hyperlink ref="K106" r:id="rId72" display="https://frontliner.gamextopia.id/dse/295" xr:uid="{AC4EFCF0-DA11-4E80-8318-B0C3AD4A2262}"/>
    <hyperlink ref="K107" r:id="rId73" display="https://frontliner.gamextopia.id/dse/423" xr:uid="{BAD53625-602B-473E-AF68-E2FD644CFD17}"/>
    <hyperlink ref="K109" r:id="rId74" display="https://frontliner.gamextopia.id/dse/103" xr:uid="{8C3B4EC0-33B6-4401-9429-E4234B7B5B25}"/>
    <hyperlink ref="K110" r:id="rId75" display="https://frontliner.gamextopia.id/dse/141" xr:uid="{0E73A554-EE7B-4F13-AD17-75CB9B95D738}"/>
    <hyperlink ref="K111" r:id="rId76" display="https://frontliner.gamextopia.id/dse/677" xr:uid="{CCCE0F68-B992-4EC7-A1DB-1B690424869B}"/>
    <hyperlink ref="K112" r:id="rId77" display="https://frontliner.gamextopia.id/dse/465" xr:uid="{D83B1B39-B950-430A-A155-3A1E47769A8B}"/>
    <hyperlink ref="K113" r:id="rId78" display="https://frontliner.gamextopia.id/dse/252" xr:uid="{610EE998-D897-42BD-83B4-1CF6C6BED281}"/>
    <hyperlink ref="K114" r:id="rId79" display="https://frontliner.gamextopia.id/dse/459" xr:uid="{051FC77F-5316-4581-8307-0962996E377B}"/>
    <hyperlink ref="K4" r:id="rId80" display="https://frontliner.gamextopia.id/dse/808" xr:uid="{E58722F7-4FF8-499A-9ADE-DE9BCC29C00F}"/>
    <hyperlink ref="K15" r:id="rId81" display="https://frontliner.gamextopia.id/dse/183" xr:uid="{047C8C33-0EF1-4A17-AF07-9DCD6EB36B3D}"/>
    <hyperlink ref="K18" r:id="rId82" display="https://frontliner.gamextopia.id/dse/574" xr:uid="{7F59AFBE-6D0E-46AB-B937-FFCA92EC2156}"/>
    <hyperlink ref="K20" r:id="rId83" display="https://frontliner.gamextopia.id/dse/178" xr:uid="{B485D718-80FA-4BDD-BF24-020176DF5A24}"/>
    <hyperlink ref="K19" r:id="rId84" display="https://frontliner.gamextopia.id/dse/768" xr:uid="{063C9848-C178-4DE2-A277-6BE8ED36A3DC}"/>
    <hyperlink ref="K24" r:id="rId85" display="https://frontliner.gamextopia.id/dse/729" xr:uid="{5682DF96-4B39-4E56-8F84-A9BBDE777AF3}"/>
    <hyperlink ref="K25" r:id="rId86" display="https://frontliner.gamextopia.id/dse/276" xr:uid="{BB320565-71E8-499C-965D-F1C2764591A0}"/>
    <hyperlink ref="K26" r:id="rId87" display="https://frontliner.gamextopia.id/dse/179" xr:uid="{8BBA1169-D660-46F2-B6DB-D08C23EF90E8}"/>
    <hyperlink ref="K27" r:id="rId88" display="https://frontliner.gamextopia.id/dse/666" xr:uid="{15BBDF95-2FC7-466C-85CC-4E1CEEB8274D}"/>
    <hyperlink ref="K35" r:id="rId89" display="https://frontliner.gamextopia.id/dse/669" xr:uid="{C412C208-BFC9-4ACA-8357-1DCEDD6FA358}"/>
    <hyperlink ref="K40" r:id="rId90" display="https://frontliner.gamextopia.id/dse/634" xr:uid="{7155D5E5-39F0-487F-85DF-DB2C4AC3C9B8}"/>
    <hyperlink ref="K44" r:id="rId91" display="https://frontliner.gamextopia.id/dse/174" xr:uid="{4BABF877-7ABF-4C9C-B52C-D85D6B81B958}"/>
    <hyperlink ref="K51" r:id="rId92" display="https://frontliner.gamextopia.id/dse/750" xr:uid="{B2C4CF64-71ED-4A84-9198-943BFC9B5914}"/>
    <hyperlink ref="K58" r:id="rId93" display="https://frontliner.gamextopia.id/dse/664" xr:uid="{2ED200E8-1DF0-4DD7-B760-9652AA71F6D4}"/>
    <hyperlink ref="K59" r:id="rId94" display="https://frontliner.gamextopia.id/dse/530" xr:uid="{DC905B7C-D1E6-447D-B193-05C934F1BCEF}"/>
    <hyperlink ref="K63" r:id="rId95" display="https://frontliner.gamextopia.id/dse/17" xr:uid="{2410FD9F-C334-4F51-B729-F059DA43B865}"/>
    <hyperlink ref="K64" r:id="rId96" display="https://frontliner.gamextopia.id/dse/667" xr:uid="{6BDFDC43-1905-4BA2-AEF0-ACEBF21CE3CA}"/>
    <hyperlink ref="K65" r:id="rId97" display="https://frontliner.gamextopia.id/dse/539" xr:uid="{C7EB12EA-0033-47ED-AF48-25B441246796}"/>
    <hyperlink ref="K66" r:id="rId98" display="https://frontliner.gamextopia.id/dse/733" xr:uid="{BB8BFAB9-0CAF-4A3C-B0F8-091F6209D20A}"/>
    <hyperlink ref="K68" r:id="rId99" display="https://frontliner.gamextopia.id/dse/741" xr:uid="{1282F4DC-AEE3-41EC-9476-D7F90D0B729A}"/>
    <hyperlink ref="K71" r:id="rId100" display="https://frontliner.gamextopia.id/dse/578" xr:uid="{8EC48ADF-01F3-474D-BB0C-78503D9D4140}"/>
    <hyperlink ref="K72" r:id="rId101" display="https://frontliner.gamextopia.id/dse/701" xr:uid="{24860590-F509-4DE1-A4B5-1E1E640DF275}"/>
    <hyperlink ref="K82" r:id="rId102" display="https://frontliner.gamextopia.id/dse/577" xr:uid="{7D6C77FE-AFA3-438B-9396-4A8FACD0D18E}"/>
    <hyperlink ref="K84" r:id="rId103" display="https://frontliner.gamextopia.id/dse/744" xr:uid="{37EB4099-1165-4ABA-AB40-E05EA37891E7}"/>
    <hyperlink ref="K87" r:id="rId104" display="https://frontliner.gamextopia.id/dse/275" xr:uid="{2371DFD7-3204-4F9E-93CB-13103BCBE4CA}"/>
    <hyperlink ref="K89" r:id="rId105" display="https://frontliner.gamextopia.id/dse/571" xr:uid="{07791D12-B781-4B49-86D0-21DF9B30F898}"/>
    <hyperlink ref="K92" r:id="rId106" display="https://frontliner.gamextopia.id/dse/636" xr:uid="{C71D463B-4FB7-46E4-89F7-9F0DAAB4E7BC}"/>
    <hyperlink ref="K93" r:id="rId107" display="https://frontliner.gamextopia.id/dse/805" xr:uid="{88127142-6A2B-48AA-B785-AC89DCB0D3EA}"/>
    <hyperlink ref="K97" r:id="rId108" display="https://frontliner.gamextopia.id/dse/583" xr:uid="{03CC74E1-3E66-42C0-8C06-E1290A9ABAAE}"/>
    <hyperlink ref="K100" r:id="rId109" display="https://frontliner.gamextopia.id/dse/418" xr:uid="{055EF77B-4273-4447-B1E0-BDC0D602153B}"/>
    <hyperlink ref="K102" r:id="rId110" display="https://frontliner.gamextopia.id/dse/416" xr:uid="{F8F4269D-4D7E-40AD-A782-4E38E1C659D9}"/>
    <hyperlink ref="K105" r:id="rId111" display="https://frontliner.gamextopia.id/dse/766" xr:uid="{3385E32B-A253-4736-879D-F0036CF9D8A4}"/>
    <hyperlink ref="K115" r:id="rId112" display="https://frontliner.gamextopia.id/dse/296" xr:uid="{001AABD5-6432-4147-89BF-F1674F258D2E}"/>
    <hyperlink ref="K116" r:id="rId113" display="https://frontliner.gamextopia.id/dse/421" xr:uid="{6843EA83-3801-44F0-B669-D39AB0701DDE}"/>
    <hyperlink ref="K117" r:id="rId114" display="https://frontliner.gamextopia.id/dse/134" xr:uid="{B05893BA-6EAF-4781-B5C1-F988C7C3D2DC}"/>
    <hyperlink ref="K118" r:id="rId115" display="https://frontliner.gamextopia.id/dse/65" xr:uid="{BD98F873-B8C7-4230-BA0A-17C232B9B22D}"/>
    <hyperlink ref="K119" r:id="rId116" display="https://frontliner.gamextopia.id/dse/47" xr:uid="{20F12562-94B4-46A9-A564-E05DC15FDA41}"/>
    <hyperlink ref="K120" r:id="rId117" display="https://frontliner.gamextopia.id/dse/133" xr:uid="{A7E87B02-47B9-4FFE-BFFB-B384F52E3A30}"/>
    <hyperlink ref="K121" r:id="rId118" display="https://frontliner.gamextopia.id/dse/95" xr:uid="{395D4E02-817D-417E-89C6-73597F2CEA2D}"/>
    <hyperlink ref="K122" r:id="rId119" display="https://frontliner.gamextopia.id/dse/111" xr:uid="{18F4AF4B-2F99-4DCB-8B4E-CB3AEBDCB815}"/>
    <hyperlink ref="K123" r:id="rId120" display="https://frontliner.gamextopia.id/dse/211" xr:uid="{B2A5B207-4FDF-4766-AA41-DE7ECA354047}"/>
    <hyperlink ref="K124" r:id="rId121" display="https://frontliner.gamextopia.id/dse/297" xr:uid="{57021606-2B5A-44E9-ACB4-36B7B690B17E}"/>
    <hyperlink ref="K125" r:id="rId122" display="https://frontliner.gamextopia.id/dse/331" xr:uid="{3714B1F0-3512-4A57-B1C3-A1D126E02256}"/>
    <hyperlink ref="K126" r:id="rId123" display="https://frontliner.gamextopia.id/dse/409" xr:uid="{6AE1D77A-3006-40C1-A7EC-A761BA06E77B}"/>
    <hyperlink ref="K129" r:id="rId124" display="https://frontliner.gamextopia.id/dse/116" xr:uid="{1B0CEDFA-673D-4D77-91FF-CBF204E261F8}"/>
    <hyperlink ref="K130" r:id="rId125" display="https://frontliner.gamextopia.id/dse/314" xr:uid="{5018C4C4-6A04-494E-923F-B3084D1120D8}"/>
    <hyperlink ref="K127" r:id="rId126" display="https://frontliner.gamextopia.id/dse/405" xr:uid="{7C0C53DB-E0AB-46C6-9A40-F50D14D80022}"/>
    <hyperlink ref="K128" r:id="rId127" display="https://frontliner.gamextopia.id/dse/689" xr:uid="{40633423-EDB3-4C81-93CE-0C49573CA33E}"/>
    <hyperlink ref="K131" r:id="rId128" display="https://frontliner.gamextopia.id/dse/246" xr:uid="{BECACF89-D5CF-47A9-B54D-F0B99E941D55}"/>
    <hyperlink ref="K132" r:id="rId129" display="https://frontliner.gamextopia.id/dse/81" xr:uid="{525F83AE-2E43-4014-AB11-FE8648D927F5}"/>
    <hyperlink ref="K133" r:id="rId130" display="https://frontliner.gamextopia.id/dse/261" xr:uid="{D8C63C27-9EE2-40A8-A0EB-A2C887554B8F}"/>
    <hyperlink ref="K134" r:id="rId131" display="https://frontliner.gamextopia.id/dse/313" xr:uid="{E680C1FF-5EA5-4D53-823C-A39BDDB7A4BE}"/>
    <hyperlink ref="K137" r:id="rId132" display="https://frontliner.gamextopia.id/dse/80" xr:uid="{590AD1C8-6F3E-444B-9BB1-9A8C77A8B57B}"/>
    <hyperlink ref="K135" r:id="rId133" display="https://frontliner.gamextopia.id/dse/755" xr:uid="{BF17B23D-5778-44DA-94D3-4EA86896D44A}"/>
    <hyperlink ref="K136" r:id="rId134" display="https://frontliner.gamextopia.id/dse/684" xr:uid="{769B323E-EE0F-48BF-AE76-58DF09D64348}"/>
    <hyperlink ref="K138" r:id="rId135" display="https://frontliner.gamextopia.id/dse/818" xr:uid="{69BF6C81-4E97-4D83-B779-F58E61CD7CEF}"/>
    <hyperlink ref="K139" r:id="rId136" display="https://frontliner.gamextopia.id/dse/504" xr:uid="{24710A58-F9D7-43AA-9705-D0539BBE218E}"/>
    <hyperlink ref="K140" r:id="rId137" display="https://frontliner.gamextopia.id/dse/62" xr:uid="{D22841F3-DEB1-447F-9345-7624BE1CB1D8}"/>
    <hyperlink ref="K142" r:id="rId138" display="https://frontliner.gamextopia.id/dse/139" xr:uid="{D1ADC6CD-3770-4E42-9A14-3E9CF726FCCA}"/>
    <hyperlink ref="K144" r:id="rId139" display="https://frontliner.gamextopia.id/dse/33" xr:uid="{8B38AAA2-6299-46D8-B2A8-CBA70A50E6A9}"/>
    <hyperlink ref="K145" r:id="rId140" display="https://frontliner.gamextopia.id/dse/29" xr:uid="{4F45ACF1-C781-4F6C-811A-BDC9E357DAD2}"/>
    <hyperlink ref="K146" r:id="rId141" display="https://frontliner.gamextopia.id/dse/24" xr:uid="{5E6BC6B2-770A-496C-A03B-22907AF40411}"/>
    <hyperlink ref="K147" r:id="rId142" display="https://frontliner.gamextopia.id/dse/304" xr:uid="{F2A9B56C-DD10-4A37-9F1C-F9F6616D9EE7}"/>
    <hyperlink ref="K152" r:id="rId143" display="https://frontliner.gamextopia.id/dse/437" xr:uid="{3B8CED13-B4DA-46AD-A224-0420217030A5}"/>
    <hyperlink ref="K153" r:id="rId144" display="https://frontliner.gamextopia.id/dse/117" xr:uid="{F13EB6B7-9507-4006-B85D-616BB1332F6A}"/>
    <hyperlink ref="K154" r:id="rId145" display="https://frontliner.gamextopia.id/dse/400" xr:uid="{36268078-46A6-4FE2-81E4-37E03AA6093C}"/>
    <hyperlink ref="K155" r:id="rId146" display="https://frontliner.gamextopia.id/dse/243" xr:uid="{6E13DF21-01F1-422B-B5A3-7D5BD243BF24}"/>
    <hyperlink ref="K158" r:id="rId147" display="https://frontliner.gamextopia.id/dse/204" xr:uid="{86910A0A-0325-4569-9C9E-6918448C6314}"/>
    <hyperlink ref="K159" r:id="rId148" display="https://frontliner.gamextopia.id/dse/100" xr:uid="{16248A82-77FC-4ECA-BA8B-07F951816688}"/>
    <hyperlink ref="K160" r:id="rId149" display="https://frontliner.gamextopia.id/dse/592" xr:uid="{03E626AD-0135-4F88-8502-2003AC223352}"/>
    <hyperlink ref="K161" r:id="rId150" display="https://frontliner.gamextopia.id/dse/550" xr:uid="{48583CCB-93C2-4742-B73D-59A28D94E797}"/>
    <hyperlink ref="K166" r:id="rId151" display="https://frontliner.gamextopia.id/dse/438" xr:uid="{63A12B44-5608-433A-9E10-5165BE68E5FD}"/>
    <hyperlink ref="K167" r:id="rId152" display="https://frontliner.gamextopia.id/dse/258" xr:uid="{96058A9C-922E-4E0D-BCC4-39E99EB4E7F4}"/>
    <hyperlink ref="K168" r:id="rId153" display="https://frontliner.gamextopia.id/dse/401" xr:uid="{41E83260-CAD5-41D6-A2A8-3420399604C4}"/>
    <hyperlink ref="K172" r:id="rId154" display="https://frontliner.gamextopia.id/dse/284" xr:uid="{A5EE38DD-8131-45EB-A4F2-C43DA55DEC38}"/>
    <hyperlink ref="K173" r:id="rId155" display="https://frontliner.gamextopia.id/dse/579" xr:uid="{AC997361-F0EC-47DD-A090-F03EA6AAD552}"/>
    <hyperlink ref="K174" r:id="rId156" display="https://frontliner.gamextopia.id/dse/581" xr:uid="{1A458177-E575-4629-B2A9-DAF2946EA8E8}"/>
    <hyperlink ref="K175" r:id="rId157" display="https://frontliner.gamextopia.id/dse/561" xr:uid="{932EC177-41C8-491E-9665-9B7943179A09}"/>
    <hyperlink ref="K176" r:id="rId158" display="https://frontliner.gamextopia.id/dse/140" xr:uid="{B89DB593-D3FB-4C84-B39D-8B0FDAC1A75A}"/>
    <hyperlink ref="K177" r:id="rId159" display="https://frontliner.gamextopia.id/dse/464" xr:uid="{C529E9C2-E012-41E9-B3B4-08DAE2281690}"/>
    <hyperlink ref="K178" r:id="rId160" display="https://frontliner.gamextopia.id/dse/407" xr:uid="{0BBC9D04-6271-41AE-ABC2-CF1A5225F85E}"/>
    <hyperlink ref="K179" r:id="rId161" display="https://frontliner.gamextopia.id/dse/51" xr:uid="{B7494D63-2FCB-4F61-A09C-2260167C9931}"/>
    <hyperlink ref="K180" r:id="rId162" display="https://frontliner.gamextopia.id/dse/22" xr:uid="{3BEC63AA-237D-41FE-9EB4-2EF9415A643F}"/>
    <hyperlink ref="K183" r:id="rId163" display="https://frontliner.gamextopia.id/dse/214" xr:uid="{36F23C4F-A37C-4803-9FF6-5E0ED08CDC1F}"/>
    <hyperlink ref="K184" r:id="rId164" display="https://frontliner.gamextopia.id/dse/157" xr:uid="{886A567A-E553-4CFE-AD11-033493CC5F0B}"/>
    <hyperlink ref="K141" r:id="rId165" display="https://frontliner.gamextopia.id/dse/765" xr:uid="{75E4CF17-97D8-4D6A-ABFD-88F4602B92B6}"/>
    <hyperlink ref="K143" r:id="rId166" display="https://frontliner.gamextopia.id/dse/823" xr:uid="{CB1D9434-4631-42AC-9833-389B63FBEC2B}"/>
    <hyperlink ref="K149" r:id="rId167" display="https://frontliner.gamextopia.id/dse/820" xr:uid="{8286C4C2-7F93-4374-9844-0A751363F402}"/>
    <hyperlink ref="K150" r:id="rId168" display="https://frontliner.gamextopia.id/dse/187" xr:uid="{1E1FB717-41BA-4185-80C9-DDE8CEDE0DC5}"/>
    <hyperlink ref="K151" r:id="rId169" display="https://frontliner.gamextopia.id/dse/697" xr:uid="{37446014-FCB2-4A2D-9649-F4CFEEC2B6BA}"/>
    <hyperlink ref="K156" r:id="rId170" display="https://frontliner.gamextopia.id/dse/797" xr:uid="{9AA430D5-BB78-49D0-A1CC-696C01EFEAB8}"/>
    <hyperlink ref="K162" r:id="rId171" display="https://frontliner.gamextopia.id/dse/819" xr:uid="{C7D05E63-5187-4D76-9185-CB9534769F9C}"/>
    <hyperlink ref="K163" r:id="rId172" display="https://frontliner.gamextopia.id/dse/804" xr:uid="{36E4B2F2-48B6-4D39-96A6-D75669E5DB2A}"/>
    <hyperlink ref="K165" r:id="rId173" display="https://frontliner.gamextopia.id/dse/487" xr:uid="{5971A71B-0389-4446-8F89-5649AD5CE739}"/>
    <hyperlink ref="K169" r:id="rId174" display="https://frontliner.gamextopia.id/dse/721" xr:uid="{237F3A8D-D4D3-47A9-8BFC-5B1097395A61}"/>
    <hyperlink ref="K170" r:id="rId175" display="https://frontliner.gamextopia.id/dse/533" xr:uid="{0862780C-CC54-4D9E-B096-95F25B4129D2}"/>
    <hyperlink ref="K171" r:id="rId176" display="https://frontliner.gamextopia.id/dse/223" xr:uid="{567B32D9-74C9-4C2B-952F-A69EABF9A2CD}"/>
    <hyperlink ref="K181" r:id="rId177" display="https://frontliner.gamextopia.id/dse/485" xr:uid="{EEB4BF23-DADE-4DDD-872E-2DFB44BE69E7}"/>
    <hyperlink ref="K182" r:id="rId178" display="https://frontliner.gamextopia.id/dse/740" xr:uid="{4302D65B-AB67-4292-861E-326E6F766E9B}"/>
    <hyperlink ref="K185" r:id="rId179" display="https://frontliner.gamextopia.id/dse/544" xr:uid="{DF74EEE4-F8B8-4739-8B25-9E803961F3C2}"/>
    <hyperlink ref="K187" r:id="rId180" display="https://frontliner.gamextopia.id/dse/108" xr:uid="{378556D6-F791-42BC-B21D-CC383D25B7C4}"/>
    <hyperlink ref="K188" r:id="rId181" display="https://frontliner.gamextopia.id/dse/334" xr:uid="{15862E56-E2EB-4DE9-824D-865705575108}"/>
    <hyperlink ref="K189" r:id="rId182" display="https://frontliner.gamextopia.id/dse/425" xr:uid="{D49A6A0E-409B-41F5-8FFE-0C76AF4B3F8C}"/>
    <hyperlink ref="K190" r:id="rId183" display="https://frontliner.gamextopia.id/dse/113" xr:uid="{EC1D34A9-7121-4A94-998B-1A7E6CBBC389}"/>
    <hyperlink ref="K191" r:id="rId184" display="https://frontliner.gamextopia.id/dse/434" xr:uid="{23216ADF-6ED5-4BE9-AD00-5BBBF33EC3A8}"/>
    <hyperlink ref="K193" r:id="rId185" display="https://frontliner.gamextopia.id/dse/130" xr:uid="{7B6792CB-791E-4B8B-9EFD-3C04600FC2D1}"/>
    <hyperlink ref="K194" r:id="rId186" display="https://frontliner.gamextopia.id/dse/336" xr:uid="{2BA81EED-21B7-4BF9-A679-4962699EB7D7}"/>
    <hyperlink ref="K195" r:id="rId187" display="https://frontliner.gamextopia.id/dse/556" xr:uid="{A78E1202-5250-4913-BD8B-1B8EB4A68AB5}"/>
    <hyperlink ref="K196" r:id="rId188" display="https://frontliner.gamextopia.id/dse/310" xr:uid="{5C950C61-92C1-497D-BD7F-134008B11DFA}"/>
    <hyperlink ref="K197" r:id="rId189" display="https://frontliner.gamextopia.id/dse/84" xr:uid="{20F5C73F-6077-46EE-9752-8B5F0BE9D9FE}"/>
    <hyperlink ref="K199" r:id="rId190" display="https://frontliner.gamextopia.id/dse/132" xr:uid="{67355102-703A-484D-855F-B1C7F940C6D4}"/>
    <hyperlink ref="K202" r:id="rId191" display="https://frontliner.gamextopia.id/dse/494" xr:uid="{561D49D3-5943-4A2E-B1E9-715055D75874}"/>
    <hyperlink ref="K203" r:id="rId192" display="https://frontliner.gamextopia.id/dse/83" xr:uid="{32D04ACD-039D-4463-B691-213DF4DD7084}"/>
    <hyperlink ref="K205" r:id="rId193" display="https://frontliner.gamextopia.id/dse/332" xr:uid="{EC9E9E0D-8B6D-401C-BA16-63966C6013B9}"/>
    <hyperlink ref="K206" r:id="rId194" display="https://frontliner.gamextopia.id/dse/461" xr:uid="{3FDC0CD7-8710-4F7B-875D-1CA36265607E}"/>
    <hyperlink ref="K207" r:id="rId195" display="https://frontliner.gamextopia.id/dse/545" xr:uid="{2138E355-82ED-41D9-891E-72911A05BE44}"/>
    <hyperlink ref="K210" r:id="rId196" display="https://frontliner.gamextopia.id/dse/212" xr:uid="{D8EB617A-8D16-4292-9741-7E90FD28CCA1}"/>
    <hyperlink ref="K186" r:id="rId197" display="https://frontliner.gamextopia.id/dse/675" xr:uid="{501E410B-6DAB-4FEF-9709-AB92F859901B}"/>
    <hyperlink ref="K192" r:id="rId198" display="https://frontliner.gamextopia.id/dse/828" xr:uid="{8C65D979-AFAC-4F0F-81E7-67E64EFCE792}"/>
    <hyperlink ref="K198" r:id="rId199" display="https://frontliner.gamextopia.id/dse/203" xr:uid="{03D7A5AE-FA8F-457A-BF4E-C62B856103CA}"/>
    <hyperlink ref="K200" r:id="rId200" display="https://frontliner.gamextopia.id/dse/821" xr:uid="{8ED5EAFA-4330-4CAB-AA97-8F0F27F479DE}"/>
    <hyperlink ref="K201" r:id="rId201" display="https://frontliner.gamextopia.id/dse/509" xr:uid="{1DE5E8A1-52C3-42F1-BE27-02892ACA251F}"/>
    <hyperlink ref="K204" r:id="rId202" display="https://frontliner.gamextopia.id/dse/13" xr:uid="{3F491F3D-4789-474F-A406-B73A8A687D0B}"/>
    <hyperlink ref="K208" r:id="rId203" display="https://frontliner.gamextopia.id/dse/412" xr:uid="{5033AB38-983A-4BD7-9A8F-390F42F7755C}"/>
    <hyperlink ref="K209" r:id="rId204" display="https://frontliner.gamextopia.id/dse/173" xr:uid="{9CD61370-325A-4242-8579-165064D6EB2D}"/>
    <hyperlink ref="K211" r:id="rId205" display="https://frontliner.gamextopia.id/dse/815" xr:uid="{119F0798-2D58-403F-8DEB-308C87A76738}"/>
    <hyperlink ref="K214" r:id="rId206" display="https://frontliner.gamextopia.id/dse/52" xr:uid="{E844A054-36BE-41F9-80F1-3DD5BBDBEBFD}"/>
    <hyperlink ref="K215" r:id="rId207" display="https://frontliner.gamextopia.id/dse/647" xr:uid="{F3B31895-2905-451B-B2C7-07FE235A1329}"/>
    <hyperlink ref="K216" r:id="rId208" display="https://frontliner.gamextopia.id/dse/153" xr:uid="{359359E8-747C-41D4-B55D-D1267684DFB3}"/>
    <hyperlink ref="K220" r:id="rId209" display="https://frontliner.gamextopia.id/dse/396" xr:uid="{6B0AA57E-B33F-470F-B3DA-F01BC2FF4239}"/>
    <hyperlink ref="K221" r:id="rId210" display="https://frontliner.gamextopia.id/dse/495" xr:uid="{BC8F0447-FC98-4912-B493-C6EDDCF71578}"/>
    <hyperlink ref="K222" r:id="rId211" display="https://frontliner.gamextopia.id/dse/308" xr:uid="{4F9EC060-78E5-4ADA-96E7-6453334AF615}"/>
    <hyperlink ref="K223" r:id="rId212" display="https://frontliner.gamextopia.id/dse/564" xr:uid="{3089B0C4-D4CE-44A0-A647-B67EC68A6FC8}"/>
    <hyperlink ref="K227" r:id="rId213" display="https://frontliner.gamextopia.id/dse/71" xr:uid="{03E41E15-BBF5-4F8B-8CB4-22C602972124}"/>
    <hyperlink ref="K230" r:id="rId214" display="https://frontliner.gamextopia.id/dse/303" xr:uid="{41BE7E27-F8F8-498C-9C63-D03A8C98915B}"/>
    <hyperlink ref="K231" r:id="rId215" display="https://frontliner.gamextopia.id/dse/58" xr:uid="{6F5F2830-356B-452D-8F26-FD0EAB06137D}"/>
    <hyperlink ref="K232" r:id="rId216" display="https://frontliner.gamextopia.id/dse/730" xr:uid="{3901A790-CEAA-4CA5-8178-71A56177EBF7}"/>
    <hyperlink ref="K235" r:id="rId217" display="https://frontliner.gamextopia.id/dse/711" xr:uid="{95C07E3D-5B81-4FCB-A49D-3CEBD5A0867A}"/>
    <hyperlink ref="K237" r:id="rId218" display="https://frontliner.gamextopia.id/dse/553" xr:uid="{DC6F6E04-FEDF-4503-8A94-3C7906DDF80D}"/>
    <hyperlink ref="K238" r:id="rId219" display="https://frontliner.gamextopia.id/dse/650" xr:uid="{F14BFF86-09CF-4E9B-A01E-A7BC22087DD1}"/>
    <hyperlink ref="K212" r:id="rId220" display="https://frontliner.gamextopia.id/dse/273" xr:uid="{E27B0143-1DCF-4424-BB96-55D786176334}"/>
    <hyperlink ref="K213" r:id="rId221" display="https://frontliner.gamextopia.id/dse/482" xr:uid="{D7C3E9A2-D33B-4747-B0F7-245CDC9108B2}"/>
    <hyperlink ref="K217" r:id="rId222" display="https://frontliner.gamextopia.id/dse/777" xr:uid="{86EF2853-B677-4151-B492-70ACCF265841}"/>
    <hyperlink ref="K218" r:id="rId223" display="https://frontliner.gamextopia.id/dse/489" xr:uid="{A90ACA2B-04DD-4029-B009-EAD0D92254B3}"/>
    <hyperlink ref="K224" r:id="rId224" display="https://frontliner.gamextopia.id/dse/480" xr:uid="{8FA4117A-B6D5-4528-8A8D-232748F3C891}"/>
    <hyperlink ref="K225" r:id="rId225" display="https://frontliner.gamextopia.id/dse/696" xr:uid="{A0DFA33A-96E8-4D66-B304-4F728B47D7EA}"/>
    <hyperlink ref="K226" r:id="rId226" display="https://frontliner.gamextopia.id/dse/695" xr:uid="{D6F23957-CC16-4519-BFC8-7DED9EFD19AF}"/>
    <hyperlink ref="K228" r:id="rId227" display="https://frontliner.gamextopia.id/dse/685" xr:uid="{C1307264-D0F7-45BF-ABFA-490F4BBE8705}"/>
    <hyperlink ref="K229" r:id="rId228" display="https://frontliner.gamextopia.id/dse/410" xr:uid="{28D101B5-1BF6-448D-AAB7-4EF01A8CDD30}"/>
    <hyperlink ref="K234" r:id="rId229" display="https://frontliner.gamextopia.id/dse/525" xr:uid="{F73F1615-9FBC-4AFE-B03B-C464325ED8C8}"/>
    <hyperlink ref="K233" r:id="rId230" display="https://frontliner.gamextopia.id/dse/529" xr:uid="{2F80FD70-7F78-401F-BDD9-3CEF289005D2}"/>
    <hyperlink ref="K236" r:id="rId231" display="https://frontliner.gamextopia.id/dse/761" xr:uid="{788ABA3E-98B6-49F4-BB8F-89D09BCC86E7}"/>
    <hyperlink ref="K239" r:id="rId232" display="https://frontliner.gamextopia.id/dse/746" xr:uid="{748BB420-79C4-464D-9BB6-8F518F050B00}"/>
    <hyperlink ref="K240" r:id="rId233" display="https://frontliner.gamextopia.id/dse/502" xr:uid="{CEDF3818-25D6-4E84-9AB5-C8C9326CE7EE}"/>
    <hyperlink ref="K241" r:id="rId234" display="https://frontliner.gamextopia.id/dse/79" xr:uid="{283B14AC-2CB0-4630-98DB-A9AE8CD9DBC1}"/>
    <hyperlink ref="K243" r:id="rId235" display="https://frontliner.gamextopia.id/dse/570" xr:uid="{BFCF6AD5-A756-4536-960E-E938C2E91CA7}"/>
    <hyperlink ref="K245" r:id="rId236" display="https://frontliner.gamextopia.id/dse/32" xr:uid="{BE18A572-BC28-449D-99B5-7ACC16F304E2}"/>
    <hyperlink ref="K242" r:id="rId237" display="https://frontliner.gamextopia.id/dse/698" xr:uid="{EC52E252-3F73-48E8-8D82-89838C12182E}"/>
    <hyperlink ref="K244" r:id="rId238" display="https://frontliner.gamextopia.id/dse/176" xr:uid="{8B26B94E-07AE-4DC2-B340-0ED54A0B70B5}"/>
    <hyperlink ref="K246" r:id="rId239" display="https://frontliner.gamextopia.id/dse/175" xr:uid="{99A111D1-AA9E-4AD8-B423-50910D7DA6DF}"/>
    <hyperlink ref="K247" r:id="rId240" display="https://frontliner.gamextopia.id/dse/770" xr:uid="{6F5829B8-8FD7-425B-B2C6-6F1FBBB48A4E}"/>
    <hyperlink ref="K248" r:id="rId241" display="https://frontliner.gamextopia.id/dse/97" xr:uid="{D361DDFD-0367-4302-8DAB-47E6B8102006}"/>
    <hyperlink ref="K252" r:id="rId242" display="https://frontliner.gamextopia.id/dse/78" xr:uid="{0B5DD479-62BA-409E-A142-67267F11EE02}"/>
    <hyperlink ref="K254" r:id="rId243" display="https://frontliner.gamextopia.id/dse/548" xr:uid="{A535F6FA-2A25-48CF-9CC6-F115C1A838F6}"/>
    <hyperlink ref="K255" r:id="rId244" display="https://frontliner.gamextopia.id/dse/34" xr:uid="{C159C1B2-CC14-4C65-9CF7-F1DC7CE52088}"/>
    <hyperlink ref="K257" r:id="rId245" display="https://frontliner.gamextopia.id/dse/302" xr:uid="{7DD097CA-51D0-4582-B15A-7DA6DC68CCD5}"/>
    <hyperlink ref="K258" r:id="rId246" display="https://frontliner.gamextopia.id/dse/267" xr:uid="{E020EA5E-AAED-4780-9155-41BCFCB5C1C1}"/>
    <hyperlink ref="K259" r:id="rId247" display="https://frontliner.gamextopia.id/dse/589" xr:uid="{5C55E7C7-5016-41DB-841E-1E106F56261E}"/>
    <hyperlink ref="K262" r:id="rId248" display="https://frontliner.gamextopia.id/dse/426" xr:uid="{6C145A4A-0546-4009-8514-4E9E315E5AD0}"/>
    <hyperlink ref="K265" r:id="rId249" display="https://frontliner.gamextopia.id/dse/149" xr:uid="{4B3201AB-D7E6-4B98-B707-9A15B5CD4FAE}"/>
    <hyperlink ref="K266" r:id="rId250" display="https://frontliner.gamextopia.id/dse/255" xr:uid="{247DF0D4-3AF4-4CBF-9FFF-DE338FCA6FF9}"/>
    <hyperlink ref="K269" r:id="rId251" display="https://frontliner.gamextopia.id/dse/112" xr:uid="{0D5A09F0-E16E-4802-BC44-D6744EA7D09B}"/>
    <hyperlink ref="K270" r:id="rId252" display="https://frontliner.gamextopia.id/dse/121" xr:uid="{6313C2F3-D250-444E-9CCA-91B9F79BEBA0}"/>
    <hyperlink ref="K249" r:id="rId253" display="https://frontliner.gamextopia.id/dse/20" xr:uid="{A55F5862-79C0-4E08-B750-8EB52B544E15}"/>
    <hyperlink ref="K250" r:id="rId254" display="https://frontliner.gamextopia.id/dse/786" xr:uid="{45FF15A1-A8A0-4336-B2A2-970290C1D927}"/>
    <hyperlink ref="K251" r:id="rId255" display="https://frontliner.gamextopia.id/dse/803" xr:uid="{A7BC83D8-6754-43EF-832A-43506F8E3A82}"/>
    <hyperlink ref="K256" r:id="rId256" display="https://frontliner.gamextopia.id/dse/707" xr:uid="{BABB8F7E-0742-4CA1-B21F-D03EA9AC7F0A}"/>
    <hyperlink ref="K260" r:id="rId257" display="https://frontliner.gamextopia.id/dse/415" xr:uid="{7D4CAB91-49FA-40BF-90E4-57C98467F0E4}"/>
    <hyperlink ref="K261" r:id="rId258" display="https://frontliner.gamextopia.id/dse/686" xr:uid="{C12BEE9E-7C80-4576-8537-FFDB3F662AA4}"/>
    <hyperlink ref="K263" r:id="rId259" display="https://frontliner.gamextopia.id/dse/9" xr:uid="{5285D477-AA51-4C5B-A92E-AC3B0FEC3515}"/>
    <hyperlink ref="K264" r:id="rId260" display="https://frontliner.gamextopia.id/dse/188" xr:uid="{94DA428F-009F-473B-B9CF-524DCD62CFBF}"/>
    <hyperlink ref="K267" r:id="rId261" display="https://frontliner.gamextopia.id/dse/184" xr:uid="{35A575B2-6AFD-45C4-95DE-BF2C8766C9F4}"/>
    <hyperlink ref="K268" r:id="rId262" display="https://frontliner.gamextopia.id/dse/637" xr:uid="{D63DE69B-BA02-40C6-A653-CC3EBC2625C4}"/>
    <hyperlink ref="K271" r:id="rId263" display="https://frontliner.gamextopia.id/dse/432" xr:uid="{0401C3F8-5F0A-4CC4-A0FA-C10F5654C0B8}"/>
    <hyperlink ref="K272" r:id="rId264" display="https://frontliner.gamextopia.id/dse/810" xr:uid="{D1648359-7E6E-4AE8-AB21-6AEFD8592F4D}"/>
    <hyperlink ref="K273" r:id="rId265" display="https://frontliner.gamextopia.id/dse/138" xr:uid="{BC3B56E6-2764-4101-B88C-EE3797710B3F}"/>
    <hyperlink ref="K274" r:id="rId266" display="https://frontliner.gamextopia.id/dse/68" xr:uid="{4D625FD9-F4C5-4962-9683-130518C1CF4A}"/>
    <hyperlink ref="K275" r:id="rId267" display="https://frontliner.gamextopia.id/dse/706" xr:uid="{1FCBA5CB-59B7-4DF6-9D6E-308E8CEBFBEF}"/>
    <hyperlink ref="K276" r:id="rId268" display="https://frontliner.gamextopia.id/dse/102" xr:uid="{53E99B90-5CE5-4A3D-8C79-7091E0973A30}"/>
    <hyperlink ref="K278" r:id="rId269" display="https://frontliner.gamextopia.id/dse/309" xr:uid="{0C1630E1-66BF-4F69-8F0A-607073AF1456}"/>
    <hyperlink ref="K279" r:id="rId270" display="https://frontliner.gamextopia.id/dse/165" xr:uid="{28A39849-3633-4C63-B7FC-9545B237E71F}"/>
    <hyperlink ref="K281" r:id="rId271" display="https://frontliner.gamextopia.id/dse/671" xr:uid="{28175194-3CD3-4C19-AC7D-D3CD6DC79F01}"/>
    <hyperlink ref="K282" r:id="rId272" display="https://frontliner.gamextopia.id/dse/219" xr:uid="{F158F609-0236-4C89-A8FB-63E9A1D6BE47}"/>
    <hyperlink ref="K283" r:id="rId273" display="https://frontliner.gamextopia.id/dse/221" xr:uid="{D7671F5F-6BCE-496D-BB0E-E78EB364FCD4}"/>
    <hyperlink ref="K284" r:id="rId274" display="https://frontliner.gamextopia.id/dse/259" xr:uid="{B1B0E475-9386-408F-A2D8-0191CF117839}"/>
    <hyperlink ref="K285" r:id="rId275" display="https://frontliner.gamextopia.id/dse/731" xr:uid="{2D75E2A9-E40A-42F3-9611-F1DE0F631773}"/>
    <hyperlink ref="K286" r:id="rId276" display="https://frontliner.gamextopia.id/dse/503" xr:uid="{42D214B9-CA2A-46FC-A9BF-796BB634CAFD}"/>
    <hyperlink ref="K290" r:id="rId277" display="https://frontliner.gamextopia.id/dse/253" xr:uid="{F810632D-54E7-42BC-B417-CB8A98CDCDF2}"/>
    <hyperlink ref="K291" r:id="rId278" display="https://frontliner.gamextopia.id/dse/115" xr:uid="{41E9A52C-8902-487D-A237-F2DB7511A547}"/>
    <hyperlink ref="K293" r:id="rId279" display="https://frontliner.gamextopia.id/dse/312" xr:uid="{4A301CB0-2DF2-4809-98FB-016D0260A077}"/>
    <hyperlink ref="K295" r:id="rId280" display="https://frontliner.gamextopia.id/dse/328" xr:uid="{C7BA90F0-AEA3-40DD-95E1-86CE5AEBACE5}"/>
    <hyperlink ref="K277" r:id="rId281" display="https://frontliner.gamextopia.id/dse/572" xr:uid="{C9E026B3-C4D5-4515-BACA-55968E187AC7}"/>
    <hyperlink ref="K280" r:id="rId282" display="https://frontliner.gamextopia.id/dse/687" xr:uid="{6FA5502B-E88D-4095-A20D-C973B012BCC6}"/>
    <hyperlink ref="K287" r:id="rId283" display="https://frontliner.gamextopia.id/dse/771" xr:uid="{7F64A2B2-1DF3-4A01-8F65-078C534BB9DE}"/>
    <hyperlink ref="K288" r:id="rId284" display="https://frontliner.gamextopia.id/dse/709" xr:uid="{79359082-43D0-4FE7-8BD9-592BDF1591B5}"/>
    <hyperlink ref="K289" r:id="rId285" display="https://frontliner.gamextopia.id/dse/679" xr:uid="{0EABEE2A-1BA3-467B-BC4C-C93324D81372}"/>
    <hyperlink ref="K292" r:id="rId286" display="https://frontliner.gamextopia.id/dse/716" xr:uid="{C74A6BDB-B83F-401B-8B1A-2225D9E6A7CD}"/>
    <hyperlink ref="K294" r:id="rId287" display="https://frontliner.gamextopia.id/dse/540" xr:uid="{E0D16572-78B7-47B4-9D07-102AA0B3A788}"/>
    <hyperlink ref="K296" r:id="rId288" display="https://frontliner.gamextopia.id/dse/247" xr:uid="{03B62D78-3DFE-4615-8193-CCB8D2B64DE0}"/>
    <hyperlink ref="K298" r:id="rId289" display="https://frontliner.gamextopia.id/dse/282" xr:uid="{EBF90295-F7D8-4303-998B-8E03D3B9D078}"/>
    <hyperlink ref="K301" r:id="rId290" display="https://frontliner.gamextopia.id/dse/159" xr:uid="{4377BEFA-337F-44A7-8F60-DC29E768EE89}"/>
    <hyperlink ref="K302" r:id="rId291" display="https://frontliner.gamextopia.id/dse/333" xr:uid="{406DAFDC-2E2A-4EF1-BFC0-91913719C5F0}"/>
    <hyperlink ref="K303" r:id="rId292" display="https://frontliner.gamextopia.id/dse/209" xr:uid="{7E11A370-5876-462C-A6F5-015CF4020AB9}"/>
    <hyperlink ref="K297" r:id="rId293" display="https://frontliner.gamextopia.id/dse/411" xr:uid="{1A874AD6-C91A-4D39-AFB9-53F65C338B74}"/>
    <hyperlink ref="K299" r:id="rId294" display="https://frontliner.gamextopia.id/dse/802" xr:uid="{AA4DEE2F-EBAC-42B9-AEE3-C00664A0E64F}"/>
    <hyperlink ref="K300" r:id="rId295" display="https://frontliner.gamextopia.id/dse/682" xr:uid="{9C807DBD-095F-4302-B1F2-9DD73BE74BDE}"/>
    <hyperlink ref="K304" r:id="rId296" display="https://frontliner.gamextopia.id/dse/75" xr:uid="{86286746-ABDE-4752-BA4D-0245C0600DBE}"/>
    <hyperlink ref="K306" r:id="rId297" display="https://frontliner.gamextopia.id/dse/46" xr:uid="{7A245A24-40C5-4B5F-98EE-E6402B0DE192}"/>
    <hyperlink ref="K307" r:id="rId298" display="https://frontliner.gamextopia.id/dse/430" xr:uid="{3C7A8325-3354-4D16-BC6D-0CBF8A2E9AE3}"/>
    <hyperlink ref="K309" r:id="rId299" display="https://frontliner.gamextopia.id/dse/55" xr:uid="{6C8B2950-AA16-45DE-A7B4-C012E76C71D3}"/>
    <hyperlink ref="K311" r:id="rId300" display="https://frontliner.gamextopia.id/dse/39" xr:uid="{CCA8C1C0-9CF5-4489-A4AE-82BAB5322F67}"/>
    <hyperlink ref="K313" r:id="rId301" display="https://frontliner.gamextopia.id/dse/77" xr:uid="{67DA5447-87BA-4AE4-B3BF-9532D1D29C54}"/>
    <hyperlink ref="K317" r:id="rId302" display="https://frontliner.gamextopia.id/dse/37" xr:uid="{2E31D81C-5CC0-44E6-8FC4-DCF78B6AD50C}"/>
    <hyperlink ref="K318" r:id="rId303" display="https://frontliner.gamextopia.id/dse/435" xr:uid="{39938002-2458-4735-AEB3-DD7F864D2A44}"/>
    <hyperlink ref="K305" r:id="rId304" display="https://frontliner.gamextopia.id/dse/796" xr:uid="{2C283D59-3A9F-4587-84B8-A7B423629DE0}"/>
    <hyperlink ref="K308" r:id="rId305" display="https://frontliner.gamextopia.id/dse/792" xr:uid="{FC0D5307-D0D8-493E-B0F3-F51308082C31}"/>
    <hyperlink ref="K312" r:id="rId306" display="https://frontliner.gamextopia.id/dse/714" xr:uid="{D92A9BDF-168D-47AF-91B2-F8D55A356824}"/>
    <hyperlink ref="K314" r:id="rId307" display="https://frontliner.gamextopia.id/dse/659" xr:uid="{A61E2EE7-B5DC-42A7-ACA2-1A808C7605AC}"/>
    <hyperlink ref="K315" r:id="rId308" display="https://frontliner.gamextopia.id/dse/674" xr:uid="{A3B1C6D8-EE2B-4D22-A5FD-19A8E061F526}"/>
    <hyperlink ref="K316" r:id="rId309" display="https://frontliner.gamextopia.id/dse/251" xr:uid="{1E9F6E1E-7CE7-4320-AA82-234E0604C9E4}"/>
    <hyperlink ref="K320" r:id="rId310" display="https://frontliner.gamextopia.id/dse/542" xr:uid="{AC5F43DA-7734-4FB1-9B45-307D184DE030}"/>
    <hyperlink ref="K322" r:id="rId311" display="https://frontliner.gamextopia.id/dse/643" xr:uid="{38371A1A-7F5F-4DA2-864F-6147FC1C3424}"/>
    <hyperlink ref="K325" r:id="rId312" display="https://frontliner.gamextopia.id/dse/98" xr:uid="{474365E0-2C80-47FB-BF8E-EC0B9D9968A7}"/>
    <hyperlink ref="K326" r:id="rId313" display="https://frontliner.gamextopia.id/dse/294" xr:uid="{EF1B1CDA-8D03-421F-8BC4-3CFCDA264347}"/>
    <hyperlink ref="K319" r:id="rId314" display="https://frontliner.gamextopia.id/dse/753" xr:uid="{CDD9F8F4-311A-4D8F-BA25-E0E5199F2FAC}"/>
    <hyperlink ref="K321" r:id="rId315" display="https://frontliner.gamextopia.id/dse/778" xr:uid="{612336AD-4646-40BB-A694-1CE9DD37905C}"/>
    <hyperlink ref="K323" r:id="rId316" display="https://frontliner.gamextopia.id/dse/528" xr:uid="{86B23401-A794-4945-B26A-93977918664B}"/>
    <hyperlink ref="K324" r:id="rId317" display="https://frontliner.gamextopia.id/dse/19" xr:uid="{47FCFB27-F889-4183-984B-BCF7CED20AF3}"/>
    <hyperlink ref="K327" r:id="rId318" display="https://frontliner.gamextopia.id/dse/146" xr:uid="{5A78D899-C979-4256-BA34-1B7190F629EA}"/>
    <hyperlink ref="K328" r:id="rId319" display="https://frontliner.gamextopia.id/dse/443" xr:uid="{D9DA8ED1-53A4-44B1-B010-8EC83A72A0BB}"/>
    <hyperlink ref="K329" r:id="rId320" display="https://frontliner.gamextopia.id/dse/136" xr:uid="{59BAF6EC-E23D-4520-94FB-92C9A348C00A}"/>
    <hyperlink ref="K330" r:id="rId321" display="https://frontliner.gamextopia.id/dse/763" xr:uid="{6DDB9EB0-063D-4047-8CF6-43F7EAC29C1C}"/>
    <hyperlink ref="K331" r:id="rId322" display="https://frontliner.gamextopia.id/dse/28" xr:uid="{D86B1816-CCA7-4079-AFA0-AE22915065A4}"/>
    <hyperlink ref="K332" r:id="rId323" display="https://frontliner.gamextopia.id/dse/305" xr:uid="{AB04321E-EDE9-468C-B518-DA0F3582C7CB}"/>
    <hyperlink ref="K333" r:id="rId324" display="https://frontliner.gamextopia.id/dse/591" xr:uid="{9F134C9C-D59E-432E-A836-D0D55B702C3F}"/>
    <hyperlink ref="K334" r:id="rId325" display="https://frontliner.gamextopia.id/dse/311" xr:uid="{229B7599-151F-482A-A0A9-8CF5A4A42BC3}"/>
    <hyperlink ref="K336" r:id="rId326" display="https://frontliner.gamextopia.id/dse/93" xr:uid="{D03A775C-723C-4ECC-895A-927E730340C8}"/>
    <hyperlink ref="K337" r:id="rId327" display="https://frontliner.gamextopia.id/dse/125" xr:uid="{4CC7181E-6BAE-48B6-B0D6-8465CF8CEA48}"/>
    <hyperlink ref="K339" r:id="rId328" display="https://frontliner.gamextopia.id/dse/86" xr:uid="{3EBFD985-F88F-4D5A-9B5D-08F7C963FFF2}"/>
    <hyperlink ref="K343" r:id="rId329" display="https://frontliner.gamextopia.id/dse/145" xr:uid="{0155E9BA-8AEA-45A7-B76C-6FC7FA323EC3}"/>
    <hyperlink ref="K344" r:id="rId330" display="https://frontliner.gamextopia.id/dse/752" xr:uid="{47DD3CA5-056F-4996-8BE5-A2CEEEA9C0AC}"/>
    <hyperlink ref="K347" r:id="rId331" display="https://frontliner.gamextopia.id/dse/92" xr:uid="{AAD41A65-2984-4499-AE2C-A329859056AC}"/>
    <hyperlink ref="K348" r:id="rId332" display="https://frontliner.gamextopia.id/dse/638" xr:uid="{AC46B077-5582-4204-9C47-BF22A6295B5C}"/>
    <hyperlink ref="K349" r:id="rId333" display="https://frontliner.gamextopia.id/dse/559" xr:uid="{EFD55258-B2CB-407E-9E3C-5CC8C3F5EA98}"/>
    <hyperlink ref="K350" r:id="rId334" display="https://frontliner.gamextopia.id/dse/156" xr:uid="{9A1F47A9-6C57-4BE4-B140-5DDC0DD0C5D4}"/>
    <hyperlink ref="K351" r:id="rId335" display="https://frontliner.gamextopia.id/dse/560" xr:uid="{749222CF-F7FE-4616-8A4F-DFC4CF77B7BD}"/>
    <hyperlink ref="K360" r:id="rId336" display="https://frontliner.gamextopia.id/dse/436" xr:uid="{F2B4C27B-D63F-4E82-AE6A-74346D1B73F9}"/>
    <hyperlink ref="K361" r:id="rId337" display="https://frontliner.gamextopia.id/dse/566" xr:uid="{88A789A0-E48F-4A1C-9DCD-3E9A7BD0320E}"/>
    <hyperlink ref="K362" r:id="rId338" display="https://frontliner.gamextopia.id/dse/642" xr:uid="{4C9A64AA-57C2-45D8-9CF9-D6EBDB10E945}"/>
    <hyperlink ref="K363" r:id="rId339" display="https://frontliner.gamextopia.id/dse/330" xr:uid="{26EC74DF-F25A-4F4A-AF2E-EF6128679903}"/>
    <hyperlink ref="K366" r:id="rId340" display="https://frontliner.gamextopia.id/dse/655" xr:uid="{C4C10A48-3CA1-4287-A1B1-532672E2DD40}"/>
    <hyperlink ref="K367" r:id="rId341" display="https://frontliner.gamextopia.id/dse/676" xr:uid="{B62A6E43-F4F1-45D0-B3FF-8547161A9301}"/>
    <hyperlink ref="K369" r:id="rId342" display="https://frontliner.gamextopia.id/dse/831" xr:uid="{0113DD8E-57B4-4B2E-B789-AC34EB9C6CF2}"/>
    <hyperlink ref="K370" r:id="rId343" display="https://frontliner.gamextopia.id/dse/832" xr:uid="{B2CBC2BC-1CC5-43A7-940D-2A6FE8B33418}"/>
    <hyperlink ref="K372" r:id="rId344" display="https://frontliner.gamextopia.id/dse/263" xr:uid="{FEE40499-2CB3-4F8A-8684-169305018FB8}"/>
    <hyperlink ref="K373" r:id="rId345" display="https://frontliner.gamextopia.id/dse/160" xr:uid="{0A7C0A08-A083-4B27-BA32-EBAFCA89D158}"/>
    <hyperlink ref="K376" r:id="rId346" display="https://frontliner.gamextopia.id/dse/445" xr:uid="{889FA75A-D124-4D8A-8EB4-6AE8CFB15DE3}"/>
    <hyperlink ref="K377" r:id="rId347" display="https://frontliner.gamextopia.id/dse/497" xr:uid="{CF146175-D5EB-4ED3-870B-AB385DE14D04}"/>
    <hyperlink ref="K378" r:id="rId348" display="https://frontliner.gamextopia.id/dse/166" xr:uid="{B0427CFB-A0C6-46C6-B543-3F95B3CB7F9F}"/>
    <hyperlink ref="K379" r:id="rId349" display="https://frontliner.gamextopia.id/dse/649" xr:uid="{2BE8A2E5-E6C5-4149-A93C-681A124A8F72}"/>
    <hyperlink ref="K380" r:id="rId350" display="https://frontliner.gamextopia.id/dse/492" xr:uid="{52B4517E-7E5E-4F1B-A3EA-9A70657DEE60}"/>
    <hyperlink ref="K381" r:id="rId351" display="https://frontliner.gamextopia.id/dse/569" xr:uid="{14B65486-C04B-4213-8A76-58398699D359}"/>
    <hyperlink ref="K382" r:id="rId352" display="https://frontliner.gamextopia.id/dse/691" xr:uid="{29226D50-AC43-4FD2-9A72-35F3076E12E0}"/>
    <hyperlink ref="K383" r:id="rId353" display="https://frontliner.gamextopia.id/dse/262" xr:uid="{C0C32A37-1E38-4AAC-9528-F246FB9F8C31}"/>
    <hyperlink ref="K384" r:id="rId354" display="https://frontliner.gamextopia.id/dse/290" xr:uid="{ABE97DA0-E25D-4835-A5AD-3F8A99A48C3E}"/>
    <hyperlink ref="K385" r:id="rId355" display="https://frontliner.gamextopia.id/dse/63" xr:uid="{0ECF2BFE-2C84-4985-A6FC-F303A1D00ADA}"/>
    <hyperlink ref="K386" r:id="rId356" display="https://frontliner.gamextopia.id/dse/431" xr:uid="{89DB5594-FAA7-4B09-BEEA-6E89A9703D11}"/>
    <hyperlink ref="K390" r:id="rId357" display="https://frontliner.gamextopia.id/dse/69" xr:uid="{241D7827-8BED-49B1-B923-98349E7D2080}"/>
    <hyperlink ref="K392" r:id="rId358" display="https://frontliner.gamextopia.id/dse/56" xr:uid="{42E3182B-9CD8-4617-95CE-F4684D4F21F0}"/>
    <hyperlink ref="K393" r:id="rId359" display="https://frontliner.gamextopia.id/dse/10" xr:uid="{1D7AF8D9-0C8E-4941-A652-B8D162205FEF}"/>
    <hyperlink ref="K394" r:id="rId360" display="https://frontliner.gamextopia.id/dse/587" xr:uid="{528DC71C-828E-46B9-A683-410813637157}"/>
    <hyperlink ref="K398" r:id="rId361" display="https://frontliner.gamextopia.id/dse/565" xr:uid="{B06A85BB-5DA6-4F4F-AF07-BEDB29712C18}"/>
    <hyperlink ref="K335" r:id="rId362" display="https://frontliner.gamextopia.id/dse/681" xr:uid="{307ABA8A-1EC3-4865-8BF8-7BB05133A5B6}"/>
    <hyperlink ref="K338" r:id="rId363" display="https://frontliner.gamextopia.id/dse/225" xr:uid="{CB925903-1A36-481D-99D5-DF0D25092123}"/>
    <hyperlink ref="K340" r:id="rId364" display="https://frontliner.gamextopia.id/dse/760" xr:uid="{B42E429C-E0F6-428B-BC67-5ABC90F24C8E}"/>
    <hyperlink ref="K342" r:id="rId365" display="https://frontliner.gamextopia.id/dse/826" xr:uid="{AED557D8-09C9-462B-89F2-9ACFAFBEB96F}"/>
    <hyperlink ref="K345" r:id="rId366" display="https://frontliner.gamextopia.id/dse/727" xr:uid="{13FE46FE-AEE7-40C4-84D4-CC1DE698E005}"/>
    <hyperlink ref="K346" r:id="rId367" display="https://frontliner.gamextopia.id/dse/732" xr:uid="{3CA6FB34-3ADD-4904-BAE9-8B7670E868A4}"/>
    <hyperlink ref="K354" r:id="rId368" display="https://frontliner.gamextopia.id/dse/280" xr:uid="{3816BD3D-C9C2-4D61-8C1B-86B9C69BE389}"/>
    <hyperlink ref="K355" r:id="rId369" display="https://frontliner.gamextopia.id/dse/748" xr:uid="{859239F6-7058-45A3-B243-1054BBBFA5CC}"/>
    <hyperlink ref="K356" r:id="rId370" display="https://frontliner.gamextopia.id/dse/202" xr:uid="{F8CE5A2C-80BB-4B37-AC38-1982F26BDD60}"/>
    <hyperlink ref="K357" r:id="rId371" display="https://frontliner.gamextopia.id/dse/488" xr:uid="{1E08042C-1699-425D-A7CF-5F4DABBB123F}"/>
    <hyperlink ref="K359" r:id="rId372" display="https://frontliner.gamextopia.id/dse/484" xr:uid="{7DA333E0-F8C1-4A2E-BE36-5A63DEA4067F}"/>
    <hyperlink ref="K364" r:id="rId373" display="https://frontliner.gamextopia.id/dse/227" xr:uid="{78FFD48D-BDB5-4B44-8037-596C70135145}"/>
    <hyperlink ref="K368" r:id="rId374" display="https://frontliner.gamextopia.id/dse/660" xr:uid="{6AB99590-FDAA-4472-BA98-35D55BD1DE3E}"/>
    <hyperlink ref="K365" r:id="rId375" display="https://frontliner.gamextopia.id/dse/742" xr:uid="{33BE0CDB-5A8D-4740-9015-E60135451AA2}"/>
    <hyperlink ref="K371" r:id="rId376" display="https://frontliner.gamextopia.id/dse/414" xr:uid="{B9C7594D-33C9-4E80-A86F-935260CD0987}"/>
    <hyperlink ref="K374" r:id="rId377" display="https://frontliner.gamextopia.id/dse/228" xr:uid="{BDFAE734-FDD3-4D60-8592-5D385AAECD46}"/>
    <hyperlink ref="K375" r:id="rId378" display="https://frontliner.gamextopia.id/dse/734" xr:uid="{0860762F-DD6F-44EF-9F9E-FCAF2DE230D3}"/>
    <hyperlink ref="K387" r:id="rId379" display="https://frontliner.gamextopia.id/dse/816" xr:uid="{81705045-589A-49B9-BC3E-CFB1981A9A90}"/>
    <hyperlink ref="K388" r:id="rId380" display="https://frontliner.gamextopia.id/dse/678" xr:uid="{9382E4A9-1FB2-40FA-B86C-C52F84D21DA5}"/>
    <hyperlink ref="K389" r:id="rId381" display="https://frontliner.gamextopia.id/dse/12" xr:uid="{2A1F87E5-9E55-4AE0-B364-FDF632EFB60A}"/>
    <hyperlink ref="K391" r:id="rId382" display="https://frontliner.gamextopia.id/dse/279" xr:uid="{31F41CFD-2F09-489D-8B3B-281D380601DF}"/>
    <hyperlink ref="K395" r:id="rId383" display="https://frontliner.gamextopia.id/dse/185" xr:uid="{90D3F8E0-0449-42AE-9D27-1D6D4ED6780A}"/>
    <hyperlink ref="K396" r:id="rId384" display="https://frontliner.gamextopia.id/dse/182" xr:uid="{ACB80ADE-33F3-4E10-9499-BDE44B5E86DA}"/>
    <hyperlink ref="K397" r:id="rId385" display="https://frontliner.gamextopia.id/dse/726" xr:uid="{F2540F92-BD3F-4292-8F96-D1E84874F00E}"/>
    <hyperlink ref="K402" r:id="rId386" display="https://frontliner.gamextopia.id/dse/680" xr:uid="{69196A9F-3D97-40BB-8030-1CC05FF81CF6}"/>
    <hyperlink ref="K403" r:id="rId387" display="https://frontliner.gamextopia.id/dse/440" xr:uid="{0AFCDE27-9C39-45C6-8248-D7296480668C}"/>
    <hyperlink ref="K404" r:id="rId388" display="https://frontliner.gamextopia.id/dse/644" xr:uid="{9F99E667-F500-4289-AA56-FDD027896FB1}"/>
    <hyperlink ref="K405" r:id="rId389" display="https://frontliner.gamextopia.id/dse/107" xr:uid="{4390D1EE-0CC4-48DA-85E5-6FF321FFBF4B}"/>
    <hyperlink ref="K406" r:id="rId390" display="https://frontliner.gamextopia.id/dse/5" xr:uid="{46CBD0A4-0EB0-48FE-9FDD-457DC56EA0B3}"/>
    <hyperlink ref="K407" r:id="rId391" display="https://frontliner.gamextopia.id/dse/109" xr:uid="{4F157587-CA81-4E75-AFE8-1E61ACF10F83}"/>
    <hyperlink ref="K409" r:id="rId392" display="https://frontliner.gamextopia.id/dse/42" xr:uid="{967AE1F9-64DD-4393-9089-5A4741B16D2F}"/>
    <hyperlink ref="K410" r:id="rId393" display="https://frontliner.gamextopia.id/dse/217" xr:uid="{70A9907E-8D2F-4680-A466-63FA82851CA5}"/>
    <hyperlink ref="K411" r:id="rId394" display="https://frontliner.gamextopia.id/dse/31" xr:uid="{E5B63B1B-E2B6-484D-BBE7-D64D4FB6DA55}"/>
    <hyperlink ref="K399" r:id="rId395" display="https://frontliner.gamextopia.id/dse/531" xr:uid="{4D18C44D-88B0-4C8A-9AE1-05C1E475C3D2}"/>
    <hyperlink ref="K400" r:id="rId396" display="https://frontliner.gamextopia.id/dse/271" xr:uid="{694F5DEA-EB67-4479-91A3-9AA28AB5FF13}"/>
    <hyperlink ref="K408" r:id="rId397" display="https://frontliner.gamextopia.id/dse/199" xr:uid="{E2BDFCA0-1181-4AB3-87EC-F4844D92E0BF}"/>
    <hyperlink ref="K412" r:id="rId398" display="https://frontliner.gamextopia.id/dse/747" xr:uid="{2A8BD870-0074-4581-89A4-942668050468}"/>
    <hyperlink ref="K413" r:id="rId399" display="https://frontliner.gamextopia.id/dse/712" xr:uid="{B004E15B-ADF9-400F-9169-BA46B0452EA2}"/>
    <hyperlink ref="K414" r:id="rId400" display="https://frontliner.gamextopia.id/dse/60" xr:uid="{9B5B33DA-E3B5-4C7A-B8DB-ED274F2FDEB9}"/>
    <hyperlink ref="K415" r:id="rId401" display="https://frontliner.gamextopia.id/dse/126" xr:uid="{A797C10F-EEEE-4AED-A118-BFD512D6F997}"/>
    <hyperlink ref="K416" r:id="rId402" display="https://frontliner.gamextopia.id/dse/74" xr:uid="{68F2723D-45FD-4FE1-AFA8-102D04C045E8}"/>
    <hyperlink ref="K418" r:id="rId403" display="https://frontliner.gamextopia.id/dse/298" xr:uid="{B6A5D931-E197-4428-9A50-8075E23A42A5}"/>
    <hyperlink ref="K419" r:id="rId404" display="https://frontliner.gamextopia.id/dse/73" xr:uid="{958BC378-671E-4640-A7D0-A95454DC64E3}"/>
    <hyperlink ref="K420" r:id="rId405" display="https://frontliner.gamextopia.id/dse/265" xr:uid="{216E7836-5E3C-4A89-98BD-CB3013B2198B}"/>
    <hyperlink ref="K423" r:id="rId406" display="https://frontliner.gamextopia.id/dse/424" xr:uid="{0CFCC2A3-D6DF-402D-AC30-6B5A3E81CA74}"/>
    <hyperlink ref="K425" r:id="rId407" display="https://frontliner.gamextopia.id/dse/337" xr:uid="{D8DD4BA8-09C6-4521-8C5F-82E5BE6F8184}"/>
    <hyperlink ref="K426" r:id="rId408" display="https://frontliner.gamextopia.id/dse/241" xr:uid="{95E9923C-367F-4948-AC0D-FEDEE97AE08D}"/>
    <hyperlink ref="K427" r:id="rId409" display="https://frontliner.gamextopia.id/dse/406" xr:uid="{775C8FF2-4FD4-44ED-8C1A-1DE7F0168F14}"/>
    <hyperlink ref="K417" r:id="rId410" display="https://frontliner.gamextopia.id/dse/787" xr:uid="{80DD3B9C-D450-4557-ABA3-D53C8550A631}"/>
    <hyperlink ref="K421" r:id="rId411" display="https://frontliner.gamextopia.id/dse/245" xr:uid="{1B9B2B11-EE0D-4597-87DD-7BD1E7FD9F0C}"/>
    <hyperlink ref="K429" r:id="rId412" display="https://frontliner.gamextopia.id/dse/785" xr:uid="{6A307588-3ED7-43FE-95E9-9F974E00142C}"/>
    <hyperlink ref="K430" r:id="rId413" display="https://frontliner.gamextopia.id/dse/205" xr:uid="{3F0AC64E-2BBF-472E-9F1E-879779A6306F}"/>
    <hyperlink ref="K431" r:id="rId414" display="https://frontliner.gamextopia.id/dse/756" xr:uid="{0714032C-D38B-452F-B4C5-533C5C3C48F8}"/>
    <hyperlink ref="K428" r:id="rId415" display="https://frontliner.gamextopia.id/dse/538" xr:uid="{17B56FBD-20A3-4509-B94F-A65AF9DDDAF7}"/>
    <hyperlink ref="K432" r:id="rId416" display="https://frontliner.gamextopia.id/dse/665" xr:uid="{8BCDEFD0-CBF4-451B-836C-6160DFEA6D6E}"/>
    <hyperlink ref="K434" r:id="rId417" display="https://frontliner.gamextopia.id/dse/61" xr:uid="{41BB2A31-5197-45AE-B036-E4D7D5458DD4}"/>
    <hyperlink ref="K436" r:id="rId418" display="https://frontliner.gamextopia.id/dse/44" xr:uid="{5FE8BEA4-42CA-4265-8AAB-1ACC21C6FF48}"/>
    <hyperlink ref="K439" r:id="rId419" display="https://frontliner.gamextopia.id/dse/692" xr:uid="{CAC7B425-C675-4340-BAB4-136999369E8D}"/>
    <hyperlink ref="K441" r:id="rId420" display="https://frontliner.gamextopia.id/dse/281" xr:uid="{6C2DA54E-AA3B-49A3-8B85-F7C5A0BAD5F1}"/>
    <hyperlink ref="K443" r:id="rId421" display="https://frontliner.gamextopia.id/dse/288" xr:uid="{46079ACC-F59D-4B32-9D4A-03A83A3EBCF2}"/>
    <hyperlink ref="K444" r:id="rId422" display="https://frontliner.gamextopia.id/dse/340" xr:uid="{976ED687-C82B-4B17-B4DF-FFA14E437616}"/>
    <hyperlink ref="K446" r:id="rId423" display="https://frontliner.gamextopia.id/dse/53" xr:uid="{BADEFEB5-4B0D-44D5-A4BE-1785E7677147}"/>
    <hyperlink ref="K447" r:id="rId424" display="https://frontliner.gamextopia.id/dse/557" xr:uid="{2F5AFEE4-8ADB-4E04-90FB-09C98BBD3009}"/>
    <hyperlink ref="K448" r:id="rId425" display="https://frontliner.gamextopia.id/dse/822" xr:uid="{56BBBB4E-2E8F-4C43-9DE4-9C17AFE29572}"/>
    <hyperlink ref="K449" r:id="rId426" display="https://frontliner.gamextopia.id/dse/283" xr:uid="{D9B18045-6EC8-48E1-B4BB-DAE12580CFC9}"/>
    <hyperlink ref="K450" r:id="rId427" display="https://frontliner.gamextopia.id/dse/293" xr:uid="{B1AC9706-4479-4004-BC65-E5DB7E2654C3}"/>
    <hyperlink ref="K451" r:id="rId428" display="https://frontliner.gamextopia.id/dse/301" xr:uid="{66EDFB06-AEF1-4686-B02D-56A9F01E3798}"/>
    <hyperlink ref="K452" r:id="rId429" display="https://frontliner.gamextopia.id/dse/127" xr:uid="{23D31572-32EB-4483-932E-47B1B0970790}"/>
    <hyperlink ref="K453" r:id="rId430" display="https://frontliner.gamextopia.id/dse/724" xr:uid="{FE913CB9-C04A-45B4-A05C-51A4F50470FD}"/>
    <hyperlink ref="K454" r:id="rId431" display="https://frontliner.gamextopia.id/dse/122" xr:uid="{4A84953C-89B7-4C66-9B86-379DF3DF6B13}"/>
    <hyperlink ref="K456" r:id="rId432" display="https://frontliner.gamextopia.id/dse/23" xr:uid="{BD9D8DFC-315D-48E2-81C1-76E1AD95E983}"/>
    <hyperlink ref="K457" r:id="rId433" display="https://frontliner.gamextopia.id/dse/244" xr:uid="{491B16EC-4383-48E9-B470-73E3EA329E94}"/>
    <hyperlink ref="K458" r:id="rId434" display="https://frontliner.gamextopia.id/dse/129" xr:uid="{8FFFA5E0-294F-4B5B-80FF-803ADCEEB35E}"/>
    <hyperlink ref="K459" r:id="rId435" display="https://frontliner.gamextopia.id/dse/291" xr:uid="{7885C5F3-A322-48AA-9BF9-78F0C91233F3}"/>
    <hyperlink ref="K462" r:id="rId436" display="https://frontliner.gamextopia.id/dse/648" xr:uid="{55960CBE-2CD2-4E37-903C-EE72CC1F277E}"/>
    <hyperlink ref="K463" r:id="rId437" display="https://frontliner.gamextopia.id/dse/490" xr:uid="{1B3BC61B-500E-4ECB-8224-4A82679EE1B7}"/>
    <hyperlink ref="K465" r:id="rId438" display="https://frontliner.gamextopia.id/dse/500" xr:uid="{A15FAFDF-D1B4-4982-B50D-A90D98C6E89D}"/>
    <hyperlink ref="K467" r:id="rId439" display="https://frontliner.gamextopia.id/dse/292" xr:uid="{315F4080-209A-416A-A093-E4321E935295}"/>
    <hyperlink ref="K468" r:id="rId440" display="https://frontliner.gamextopia.id/dse/216" xr:uid="{742756CD-84FD-4962-951C-FB7BE1BBD46F}"/>
    <hyperlink ref="K469" r:id="rId441" display="https://frontliner.gamextopia.id/dse/781" xr:uid="{84754FE3-71B3-4EA9-A002-5CA25662E46B}"/>
    <hyperlink ref="K473" r:id="rId442" display="https://frontliner.gamextopia.id/dse/144" xr:uid="{15AA5677-2793-44F4-A1C3-6E4917E18987}"/>
    <hyperlink ref="K474" r:id="rId443" display="https://frontliner.gamextopia.id/dse/653" xr:uid="{D02BBB24-D102-406F-81D6-ADA120A53F18}"/>
    <hyperlink ref="K479" r:id="rId444" display="https://frontliner.gamextopia.id/dse/137" xr:uid="{40171779-D6F9-4EE3-905C-43F4C735AFE9}"/>
    <hyperlink ref="K480" r:id="rId445" display="https://frontliner.gamextopia.id/dse/242" xr:uid="{A366E469-E4E6-47DA-AAFD-8713FD00AF6D}"/>
    <hyperlink ref="K481" r:id="rId446" display="https://frontliner.gamextopia.id/dse/110" xr:uid="{3A70B97D-01B9-465D-96CB-16A4C3CA4D94}"/>
    <hyperlink ref="K482" r:id="rId447" display="https://frontliner.gamextopia.id/dse/119" xr:uid="{8C6E560F-D5C4-4AA5-B63B-63F2C1EE6CCE}"/>
    <hyperlink ref="K484" r:id="rId448" display="https://frontliner.gamextopia.id/dse/658" xr:uid="{D4D41E4B-623B-4B2C-8DBA-EECDB8119F1B}"/>
    <hyperlink ref="K485" r:id="rId449" display="https://frontliner.gamextopia.id/dse/402" xr:uid="{195952F5-881F-47F9-8641-57CC6D7C7DB3}"/>
    <hyperlink ref="K486" r:id="rId450" display="https://frontliner.gamextopia.id/dse/3" xr:uid="{A0DF4563-AF60-434A-A49F-D974C836F149}"/>
    <hyperlink ref="K488" r:id="rId451" display="https://frontliner.gamextopia.id/dse/143" xr:uid="{E081B035-3BAA-43E5-B497-7B21F4E537ED}"/>
    <hyperlink ref="K489" r:id="rId452" display="https://frontliner.gamextopia.id/dse/754" xr:uid="{4F399C40-22A8-4910-AFA1-527E2D2138F6}"/>
    <hyperlink ref="K491" r:id="rId453" display="https://frontliner.gamextopia.id/dse/329" xr:uid="{1488F8DB-4355-4A5F-9027-AB7CDAD2FA27}"/>
    <hyperlink ref="K493" r:id="rId454" display="https://frontliner.gamextopia.id/dse/54" xr:uid="{CB47F615-47B8-40B5-996C-62A2B064FC7A}"/>
    <hyperlink ref="K494" r:id="rId455" display="https://frontliner.gamextopia.id/dse/645" xr:uid="{5BF7497E-3E7B-458C-B947-09491CB2B900}"/>
    <hyperlink ref="K495" r:id="rId456" display="https://frontliner.gamextopia.id/dse/208" xr:uid="{4503E2C6-E3F8-4735-BD59-444A946D512C}"/>
    <hyperlink ref="K496" r:id="rId457" display="https://frontliner.gamextopia.id/dse/493" xr:uid="{C2361D2A-4A2C-4A72-A7F3-D7183A88C2FB}"/>
    <hyperlink ref="K498" r:id="rId458" display="https://frontliner.gamextopia.id/dse/72" xr:uid="{90A3C33F-568E-4F8E-B334-DC13DF0CC1E3}"/>
    <hyperlink ref="K500" r:id="rId459" display="https://frontliner.gamextopia.id/dse/588" xr:uid="{E222D7C5-6E26-4BEB-BA1B-426146C0EE2B}"/>
    <hyperlink ref="K433" r:id="rId460" display="https://frontliner.gamextopia.id/dse/661" xr:uid="{CA384999-E66C-4860-B6CD-587437184CAA}"/>
    <hyperlink ref="K435" r:id="rId461" display="https://frontliner.gamextopia.id/dse/186" xr:uid="{02BD6D8A-831B-43A1-9960-A88FDE328357}"/>
    <hyperlink ref="K437" r:id="rId462" display="https://frontliner.gamextopia.id/dse/635" xr:uid="{7DE9A8FC-5958-4AFA-947A-98D257D91F12}"/>
    <hyperlink ref="K438" r:id="rId463" display="https://frontliner.gamextopia.id/dse/683" xr:uid="{67A01ABE-4BEA-4C07-8260-66CA1C539CCA}"/>
    <hyperlink ref="K440" r:id="rId464" display="https://frontliner.gamextopia.id/dse/723" xr:uid="{64A7F848-FC69-4FF2-BE68-8D4660595D81}"/>
    <hyperlink ref="K442" r:id="rId465" display="https://frontliner.gamextopia.id/dse/663" xr:uid="{0CB55FB0-D99E-41A6-9AC7-01A028F980C2}"/>
    <hyperlink ref="K455" r:id="rId466" display="https://frontliner.gamextopia.id/dse/520" xr:uid="{D6E0D20F-0734-482F-925F-EFFFE21EEFF7}"/>
    <hyperlink ref="K460" r:id="rId467" display="https://frontliner.gamextopia.id/dse/668" xr:uid="{65B8CF76-F513-44BD-A244-C08ACA2979C3}"/>
    <hyperlink ref="K461" r:id="rId468" display="https://frontliner.gamextopia.id/dse/736" xr:uid="{DCB4FAD9-0F2F-432D-9613-E2A1E6C90268}"/>
    <hyperlink ref="K464" r:id="rId469" display="https://frontliner.gamextopia.id/dse/511" xr:uid="{E9057849-F442-4124-A7DA-45F267E1DCA9}"/>
    <hyperlink ref="K466" r:id="rId470" display="https://frontliner.gamextopia.id/dse/774" xr:uid="{A26A77F6-40AB-419F-8132-F19DD4BCF1DE}"/>
    <hyperlink ref="K470" r:id="rId471" display="https://frontliner.gamextopia.id/dse/829" xr:uid="{2AA9C9C7-C5B6-4580-A458-FE97A72441BC}"/>
    <hyperlink ref="K471" r:id="rId472" display="https://frontliner.gamextopia.id/dse/827" xr:uid="{CD6695B1-1A6D-4A35-B77C-91FB50A2C274}"/>
    <hyperlink ref="K472" r:id="rId473" display="https://frontliner.gamextopia.id/dse/830" xr:uid="{79EE4387-86B3-4CE4-82BB-8FEE154FE7AA}"/>
    <hyperlink ref="K475" r:id="rId474" display="https://frontliner.gamextopia.id/dse/189" xr:uid="{E82B2BAB-9BCC-4ABA-8A98-A4B0A843ADE6}"/>
    <hyperlink ref="K476" r:id="rId475" display="https://frontliner.gamextopia.id/dse/759" xr:uid="{5A909945-973E-451E-B5A9-53D97942C853}"/>
    <hyperlink ref="K477" r:id="rId476" display="https://frontliner.gamextopia.id/dse/720" xr:uid="{F9251371-FDB8-46E1-A22C-607FA725F764}"/>
    <hyperlink ref="K478" r:id="rId477" display="https://frontliner.gamextopia.id/dse/172" xr:uid="{B8864540-8607-44C0-9639-2C1E0C8CF62A}"/>
    <hyperlink ref="K483" r:id="rId478" display="https://frontliner.gamextopia.id/dse/226" xr:uid="{38858004-BF08-48A6-AAAC-DCEB9D879052}"/>
    <hyperlink ref="K487" r:id="rId479" display="https://frontliner.gamextopia.id/dse/582" xr:uid="{34A1A976-F48E-4EC9-963A-8D10B104B133}"/>
    <hyperlink ref="K490" r:id="rId480" display="https://frontliner.gamextopia.id/dse/662" xr:uid="{4E3B5E69-5EFF-4CDA-968C-CBAEDEC21246}"/>
    <hyperlink ref="K492" r:id="rId481" display="https://frontliner.gamextopia.id/dse/758" xr:uid="{588A20D5-B03E-4283-AC1A-0A425E556D77}"/>
    <hyperlink ref="K497" r:id="rId482" display="https://frontliner.gamextopia.id/dse/738" xr:uid="{2220D631-C21F-477F-A093-481CB40D8B1F}"/>
    <hyperlink ref="K499" r:id="rId483" display="https://frontliner.gamextopia.id/dse/795" xr:uid="{98EC3609-E778-4D87-AC4B-015B0E761824}"/>
    <hyperlink ref="K501" r:id="rId484" display="https://frontliner.gamextopia.id/dse/793" xr:uid="{3D0EC0C0-6C26-48C0-91BE-853161C716D6}"/>
    <hyperlink ref="K502" r:id="rId485" display="https://frontliner.gamextopia.id/dse/397" xr:uid="{8226FCF2-2D32-4A80-B2F6-9B0B6C3710E3}"/>
    <hyperlink ref="K504" r:id="rId486" display="https://frontliner.gamextopia.id/dse/399" xr:uid="{5D5B6A04-8F2A-457C-B076-19D1044DD242}"/>
    <hyperlink ref="K506" r:id="rId487" display="https://frontliner.gamextopia.id/dse/256" xr:uid="{C6B6AA0A-AB29-4980-BE4D-4757D933AD3E}"/>
    <hyperlink ref="K507" r:id="rId488" display="https://frontliner.gamextopia.id/dse/240" xr:uid="{5AA8B720-B613-473A-AA0A-7D205487B2A0}"/>
    <hyperlink ref="K508" r:id="rId489" display="https://frontliner.gamextopia.id/dse/7" xr:uid="{415340F4-9D30-416D-9383-1B3428FF4CB6}"/>
    <hyperlink ref="K509" r:id="rId490" display="https://frontliner.gamextopia.id/dse/36" xr:uid="{9D01A658-503A-4D60-8BD8-7613170F288C}"/>
    <hyperlink ref="K513" r:id="rId491" display="https://frontliner.gamextopia.id/dse/285" xr:uid="{C86559A1-39B9-497D-891E-8EA78F5BF03D}"/>
    <hyperlink ref="K514" r:id="rId492" display="https://frontliner.gamextopia.id/dse/114" xr:uid="{99E33F89-D957-4555-8A9C-6DFBFFC014AD}"/>
    <hyperlink ref="K517" r:id="rId493" display="https://frontliner.gamextopia.id/dse/788" xr:uid="{76A626F1-DEAF-4B12-9CB9-02CBC5A9BDE3}"/>
    <hyperlink ref="K518" r:id="rId494" display="https://frontliner.gamextopia.id/dse/123" xr:uid="{971F72E0-D6F9-43CA-85E8-EDDCA2A86B9E}"/>
    <hyperlink ref="K520" r:id="rId495" display="https://frontliner.gamextopia.id/dse/654" xr:uid="{DE4ACE6E-936D-4783-933C-1DBDCC44F43B}"/>
    <hyperlink ref="K526" r:id="rId496" display="https://frontliner.gamextopia.id/dse/552" xr:uid="{52A0258F-5BC0-4A15-8629-8CA20BFA834B}"/>
    <hyperlink ref="K528" r:id="rId497" display="https://frontliner.gamextopia.id/dse/543" xr:uid="{F69389B1-5665-4E19-B4B3-810BE4F09E3C}"/>
    <hyperlink ref="K530" r:id="rId498" display="https://frontliner.gamextopia.id/dse/563" xr:uid="{F6B8EBAE-A29F-4AA2-B345-BD746B2F6C7C}"/>
    <hyperlink ref="K531" r:id="rId499" display="https://frontliner.gamextopia.id/dse/196" xr:uid="{2459AE25-5D3F-46A4-87D8-799E5F1A0262}"/>
    <hyperlink ref="K532" r:id="rId500" display="https://frontliner.gamextopia.id/dse/403" xr:uid="{4BB0D015-411F-4B1D-B350-38313591CE82}"/>
    <hyperlink ref="K533" r:id="rId501" display="https://frontliner.gamextopia.id/dse/506" xr:uid="{53A34C59-18C8-42FB-8D58-E84588610D67}"/>
    <hyperlink ref="K537" r:id="rId502" display="https://frontliner.gamextopia.id/dse/155" xr:uid="{8DF85017-D722-477C-B193-C35462E040D7}"/>
    <hyperlink ref="K539" r:id="rId503" display="https://frontliner.gamextopia.id/dse/270" xr:uid="{6188FC06-66F2-43E0-A662-A52971B22272}"/>
    <hyperlink ref="K540" r:id="rId504" display="https://frontliner.gamextopia.id/dse/704" xr:uid="{D683E2EA-9EB3-4E4D-BF66-A268AADB40F6}"/>
    <hyperlink ref="K541" r:id="rId505" display="https://frontliner.gamextopia.id/dse/657" xr:uid="{45DC4FDA-0B6D-461B-BE53-4797A6A2CE91}"/>
    <hyperlink ref="K542" r:id="rId506" display="https://frontliner.gamextopia.id/dse/70" xr:uid="{56A3A807-EB56-4837-A3B8-B9B15E5EAE51}"/>
    <hyperlink ref="K545" r:id="rId507" display="https://frontliner.gamextopia.id/dse/408" xr:uid="{84D4C1AC-DD7B-4430-ADCD-48BFBC469F72}"/>
    <hyperlink ref="K546" r:id="rId508" display="https://frontliner.gamextopia.id/dse/505" xr:uid="{4BD6DC91-A191-4924-A4C2-AED7ED77C916}"/>
    <hyperlink ref="K548" r:id="rId509" display="https://frontliner.gamextopia.id/dse/200" xr:uid="{01E21218-E007-4968-B31E-69E17328C533}"/>
    <hyperlink ref="K549" r:id="rId510" display="https://frontliner.gamextopia.id/dse/8" xr:uid="{50A61567-8257-4B63-A0F7-34574D1E931B}"/>
    <hyperlink ref="K550" r:id="rId511" display="https://frontliner.gamextopia.id/dse/215" xr:uid="{69ACDA3A-5A7B-443F-AFEA-309DB9E7871E}"/>
    <hyperlink ref="K551" r:id="rId512" display="https://frontliner.gamextopia.id/dse/210" xr:uid="{4F8A04FC-4DE7-408B-84AA-58FDB06B0C17}"/>
    <hyperlink ref="K552" r:id="rId513" display="https://frontliner.gamextopia.id/dse/45" xr:uid="{60418BFC-F046-4AE6-A88A-4019356EFB60}"/>
    <hyperlink ref="K553" r:id="rId514" display="https://frontliner.gamextopia.id/dse/30" xr:uid="{B95A132E-A48B-4057-8957-686D5C575A27}"/>
    <hyperlink ref="K557" r:id="rId515" display="https://frontliner.gamextopia.id/dse/161" xr:uid="{DDC72B84-06BB-414D-8824-E612328BB0A0}"/>
    <hyperlink ref="K558" r:id="rId516" display="https://frontliner.gamextopia.id/dse/300" xr:uid="{80710433-3A2F-4686-B49B-F38E1D35DDF0}"/>
    <hyperlink ref="K505" r:id="rId517" display="https://frontliner.gamextopia.id/dse/206" xr:uid="{A019E597-E284-4186-A32E-4D3E8CD438F7}"/>
    <hyperlink ref="K510" r:id="rId518" display="https://frontliner.gamextopia.id/dse/762" xr:uid="{A61E5652-E4F8-40FB-953F-D6B14BB78559}"/>
    <hyperlink ref="K511" r:id="rId519" display="https://frontliner.gamextopia.id/dse/751" xr:uid="{5BCF526D-0D34-48D8-A9A3-5A315CE22B29}"/>
    <hyperlink ref="K512" r:id="rId520" display="https://frontliner.gamextopia.id/dse/272" xr:uid="{78D7ED4F-53E1-4005-AD24-8EB5918D6116}"/>
    <hyperlink ref="K515" r:id="rId521" display="https://frontliner.gamextopia.id/dse/181" xr:uid="{9F17692E-488E-4E9C-9F6A-5708EAD0803E}"/>
    <hyperlink ref="K516" r:id="rId522" display="https://frontliner.gamextopia.id/dse/278" xr:uid="{42F276DE-722D-4097-AEE5-E4177481FEF4}"/>
    <hyperlink ref="K519" r:id="rId523" display="https://frontliner.gamextopia.id/dse/775" xr:uid="{567A6C48-C8ED-4254-A0DD-AAB9BCDF17BA}"/>
    <hyperlink ref="K521" r:id="rId524" display="https://frontliner.gamextopia.id/dse/713" xr:uid="{42304B3F-1375-4AEC-836C-126C268D5B8C}"/>
    <hyperlink ref="K522" r:id="rId525" display="https://frontliner.gamextopia.id/dse/519" xr:uid="{6FA728F6-E10B-4EE1-A3B8-54A92C3D9BBE}"/>
    <hyperlink ref="K524" r:id="rId526" display="https://frontliner.gamextopia.id/dse/800" xr:uid="{B430E130-BA9C-4593-9C8F-909918CCF132}"/>
    <hyperlink ref="K525" r:id="rId527" display="https://frontliner.gamextopia.id/dse/513" xr:uid="{8A0E23F6-9C60-4B28-9EF8-7ECC67ABF092}"/>
    <hyperlink ref="K527" r:id="rId528" display="https://frontliner.gamextopia.id/dse/534" xr:uid="{3FAF101C-C374-4506-AFAC-326E0FF4E469}"/>
    <hyperlink ref="K529" r:id="rId529" display="https://frontliner.gamextopia.id/dse/694" xr:uid="{A5E08A5B-DC8A-43E2-BDDA-EC7940B8965C}"/>
    <hyperlink ref="K534" r:id="rId530" display="https://frontliner.gamextopia.id/dse/250" xr:uid="{C7657E35-B6FB-421D-ADEC-F27348B97E7C}"/>
    <hyperlink ref="K535" r:id="rId531" display="https://frontliner.gamextopia.id/dse/814" xr:uid="{1888294D-FD4B-44A6-AF69-483844311D26}"/>
    <hyperlink ref="K536" r:id="rId532" display="https://frontliner.gamextopia.id/dse/769" xr:uid="{481AE51D-E533-4FC1-8178-66D1DB25D386}"/>
    <hyperlink ref="K538" r:id="rId533" display="https://frontliner.gamextopia.id/dse/483" xr:uid="{06D2BA8B-9410-4B89-96F2-EA3C9D04F315}"/>
    <hyperlink ref="K543" r:id="rId534" display="https://frontliner.gamextopia.id/dse/486" xr:uid="{7C51B5BB-224C-4773-8DB4-29D23B885B3C}"/>
    <hyperlink ref="K544" r:id="rId535" display="https://frontliner.gamextopia.id/dse/789" xr:uid="{5F13D7FF-E63E-46AF-8F38-4CDC434DF4FF}"/>
    <hyperlink ref="K547" r:id="rId536" display="https://frontliner.gamextopia.id/dse/699" xr:uid="{90831181-C407-4FF8-993D-BBB3BA1AFF4F}"/>
    <hyperlink ref="K554" r:id="rId537" display="https://frontliner.gamextopia.id/dse/767" xr:uid="{3289D51E-9957-4E87-A64C-BB4A94F78C25}"/>
    <hyperlink ref="K555" r:id="rId538" display="https://frontliner.gamextopia.id/dse/757" xr:uid="{9B722156-1E2A-4CD0-9D39-7BA11A6D17A5}"/>
    <hyperlink ref="K556" r:id="rId539" display="https://frontliner.gamextopia.id/dse/573" xr:uid="{6B42E965-B075-4CA5-9D3C-CEE250E514EF}"/>
    <hyperlink ref="K559" r:id="rId540" display="https://frontliner.gamextopia.id/dse/417" xr:uid="{F77017BC-356A-4DF3-B7E3-AE05BC376E30}"/>
    <hyperlink ref="K562" r:id="rId541" display="https://frontliner.gamextopia.id/dse/442" xr:uid="{4AC37A02-7A8F-4108-AA3B-666F28DC4A72}"/>
    <hyperlink ref="K564" r:id="rId542" display="https://frontliner.gamextopia.id/dse/639" xr:uid="{BCEA5AC5-4147-4A89-B23E-44BE6AB04C3A}"/>
    <hyperlink ref="K568" r:id="rId543" display="https://frontliner.gamextopia.id/dse/18" xr:uid="{57F63486-E61C-4A95-9876-F5475D08062D}"/>
    <hyperlink ref="K569" r:id="rId544" display="https://frontliner.gamextopia.id/dse/50" xr:uid="{0FBBC262-5A3F-4C6C-B690-641A86C1DDEA}"/>
    <hyperlink ref="K570" r:id="rId545" display="https://frontliner.gamextopia.id/dse/27" xr:uid="{F3B29EB0-7E65-4BD6-A81D-B94A8C34CBC2}"/>
    <hyperlink ref="K571" r:id="rId546" display="https://frontliner.gamextopia.id/dse/457" xr:uid="{EAC8F9CA-00BC-4B61-A786-EBDE22571AE2}"/>
    <hyperlink ref="K574" r:id="rId547" display="https://frontliner.gamextopia.id/dse/439" xr:uid="{A37265AD-EEA1-4A33-8FB8-42AEF968AFA5}"/>
    <hyperlink ref="K575" r:id="rId548" display="https://frontliner.gamextopia.id/dse/466" xr:uid="{0EAB046A-1E4E-413F-A420-145F578213E0}"/>
    <hyperlink ref="K576" r:id="rId549" display="https://frontliner.gamextopia.id/dse/6" xr:uid="{D3126161-98C8-486A-92D9-7131B5846FCA}"/>
    <hyperlink ref="K577" r:id="rId550" display="https://frontliner.gamextopia.id/dse/413" xr:uid="{CE411DED-377A-4F5A-81AA-0D2C9519AEB4}"/>
    <hyperlink ref="K560" r:id="rId551" display="https://frontliner.gamextopia.id/dse/735" xr:uid="{1FB79E93-10A9-4063-B3F1-B126C388DC23}"/>
    <hyperlink ref="K561" r:id="rId552" display="https://frontliner.gamextopia.id/dse/782" xr:uid="{95AA59C9-086F-46B1-BDA6-A26268E0BB8A}"/>
    <hyperlink ref="K563" r:id="rId553" display="https://frontliner.gamextopia.id/dse/207" xr:uid="{AB7EFEEA-77DD-40FB-8BE0-34374973F1A7}"/>
    <hyperlink ref="K565" r:id="rId554" display="https://frontliner.gamextopia.id/dse/708" xr:uid="{0F949D93-8081-4370-9A31-8977AFACD3DA}"/>
    <hyperlink ref="K566" r:id="rId555" display="https://frontliner.gamextopia.id/dse/2" xr:uid="{4D8A6719-0171-43B8-870F-316C3088F93D}"/>
    <hyperlink ref="K567" r:id="rId556" display="https://frontliner.gamextopia.id/dse/16" xr:uid="{98471681-2AE4-419A-99E1-A8F9CA799C3C}"/>
    <hyperlink ref="K572" r:id="rId557" display="https://frontliner.gamextopia.id/dse/764" xr:uid="{EA7EEEDA-EC8E-42A1-8BA0-9B569F34A28C}"/>
    <hyperlink ref="K573" r:id="rId558" display="https://frontliner.gamextopia.id/dse/508" xr:uid="{413D9880-A9E5-4994-A96F-EAF4F9E04013}"/>
    <hyperlink ref="K579" r:id="rId559" display="https://frontliner.gamextopia.id/dse/398" xr:uid="{D74CFB9B-090A-41CA-BA22-1F9036CF4072}"/>
    <hyperlink ref="K581" r:id="rId560" display="https://frontliner.gamextopia.id/dse/458" xr:uid="{8D9B86D3-C758-4479-923D-D25A3C8EE015}"/>
    <hyperlink ref="K582" r:id="rId561" display="https://frontliner.gamextopia.id/dse/168" xr:uid="{C8FC7A09-9762-4DA0-BB67-757D9B54F139}"/>
    <hyperlink ref="K578" r:id="rId562" display="https://frontliner.gamextopia.id/dse/527" xr:uid="{3F87046A-E60D-4F1C-BD97-C47E53F21DAA}"/>
    <hyperlink ref="K580" r:id="rId563" display="https://frontliner.gamextopia.id/dse/813" xr:uid="{14CC1E3C-E2A3-4604-AF20-6AE662873255}"/>
    <hyperlink ref="K583" r:id="rId564" display="https://frontliner.gamextopia.id/dse/15" xr:uid="{122F643C-716A-4C64-A5FE-8307414C0DF7}"/>
    <hyperlink ref="K584" r:id="rId565" display="https://frontliner.gamextopia.id/dse/546" xr:uid="{26B77418-0C17-4958-8793-EEF3B5F51B86}"/>
    <hyperlink ref="K585" r:id="rId566" display="https://frontliner.gamextopia.id/dse/463" xr:uid="{05B74A06-87BC-43ED-96E3-FBAC7BC953B2}"/>
    <hyperlink ref="K590" r:id="rId567" display="https://frontliner.gamextopia.id/dse/791" xr:uid="{597AEF91-C51C-4903-86B4-5C76D2304E17}"/>
    <hyperlink ref="K592" r:id="rId568" display="https://frontliner.gamextopia.id/dse/568" xr:uid="{331E3D0D-6293-4E03-8C2D-C058E720981D}"/>
    <hyperlink ref="K594" r:id="rId569" display="https://frontliner.gamextopia.id/dse/120" xr:uid="{CFD78AB9-4E4A-4A85-94FC-D3A6F6F0D278}"/>
    <hyperlink ref="K598" r:id="rId570" display="https://frontliner.gamextopia.id/dse/590" xr:uid="{E546DF4C-C21A-46F2-902F-BF7511386859}"/>
    <hyperlink ref="K599" r:id="rId571" display="https://frontliner.gamextopia.id/dse/507" xr:uid="{C415C5BD-C841-42C8-9373-7025BB20CE9B}"/>
    <hyperlink ref="K600" r:id="rId572" display="https://frontliner.gamextopia.id/dse/641" xr:uid="{C41B3A63-9053-470B-9E52-C62816EC5FE4}"/>
    <hyperlink ref="K586" r:id="rId573" display="https://frontliner.gamextopia.id/dse/825" xr:uid="{D5BCA84C-C9DE-4846-A1EB-2DEA63E28C2D}"/>
    <hyperlink ref="K587" r:id="rId574" display="https://frontliner.gamextopia.id/dse/201" xr:uid="{379D9249-6B44-46D8-A5C9-64D07195D21A}"/>
    <hyperlink ref="K588" r:id="rId575" display="https://frontliner.gamextopia.id/dse/274" xr:uid="{D4C1F24E-10D0-4269-B095-24B6B6117ACF}"/>
    <hyperlink ref="K589" r:id="rId576" display="https://frontliner.gamextopia.id/dse/521" xr:uid="{2911D820-3688-48CE-95CD-762DA1147625}"/>
    <hyperlink ref="K593" r:id="rId577" display="https://frontliner.gamextopia.id/dse/715" xr:uid="{CC3E0803-A292-4FB4-A1B7-9B7D2BB20E6D}"/>
    <hyperlink ref="K595" r:id="rId578" display="https://frontliner.gamextopia.id/dse/824" xr:uid="{2EC924C0-F1BF-477D-BCA6-C47C377BB2B1}"/>
    <hyperlink ref="K596" r:id="rId579" display="https://frontliner.gamextopia.id/dse/688" xr:uid="{2615D547-05D9-408E-8300-B40395DDF597}"/>
    <hyperlink ref="K597" r:id="rId580" display="https://frontliner.gamextopia.id/dse/586" xr:uid="{6D6FF210-0AC9-4B31-BCFA-A493500FF6E9}"/>
    <hyperlink ref="K601" r:id="rId581" display="https://frontliner.gamextopia.id/dse/148" xr:uid="{763E7C76-D7E0-4481-A035-718D524CAC40}"/>
    <hyperlink ref="K602" r:id="rId582" display="https://frontliner.gamextopia.id/dse/169" xr:uid="{B8845D1F-06C5-401C-93B3-0C2579993099}"/>
    <hyperlink ref="K607" r:id="rId583" display="https://frontliner.gamextopia.id/dse/101" xr:uid="{DB0A46FD-6224-452E-8F72-B5C54E6814F2}"/>
    <hyperlink ref="K608" r:id="rId584" display="https://frontliner.gamextopia.id/dse/82" xr:uid="{C290CC14-2BDE-4545-9D2E-925BE7E08581}"/>
    <hyperlink ref="K609" r:id="rId585" display="https://frontliner.gamextopia.id/dse/498" xr:uid="{868D90E5-8ACA-4E5E-94DD-CF43E4979038}"/>
    <hyperlink ref="K610" r:id="rId586" display="https://frontliner.gamextopia.id/dse/264" xr:uid="{831886D2-AB82-400B-8D86-C0C217D016BF}"/>
    <hyperlink ref="K611" r:id="rId587" display="https://frontliner.gamextopia.id/dse/651" xr:uid="{28B67612-EECC-46F4-A19E-723F91EE5709}"/>
    <hyperlink ref="K612" r:id="rId588" display="https://frontliner.gamextopia.id/dse/135" xr:uid="{5BA6D84C-1C7D-43E7-B9EE-6F4EE9248362}"/>
    <hyperlink ref="K613" r:id="rId589" display="https://frontliner.gamextopia.id/dse/170" xr:uid="{B8B307CF-3071-4D99-A039-C8742A669859}"/>
    <hyperlink ref="K603" r:id="rId590" display="https://frontliner.gamextopia.id/dse/516" xr:uid="{1CF8E0D1-53D7-409E-9FCE-6D271397D20D}"/>
    <hyperlink ref="K604" r:id="rId591" display="https://frontliner.gamextopia.id/dse/772" xr:uid="{396B95E1-E153-464B-B30A-EB9D6AC7CC10}"/>
    <hyperlink ref="K605" r:id="rId592" display="https://frontliner.gamextopia.id/dse/737" xr:uid="{8B52F521-CC07-4C00-B6AF-BF8AAC5BD1AC}"/>
    <hyperlink ref="K606" r:id="rId593" display="https://frontliner.gamextopia.id/dse/526" xr:uid="{146938D5-3288-484F-B92A-D827D362D575}"/>
    <hyperlink ref="K615" r:id="rId594" display="https://frontliner.gamextopia.id/dse/104" xr:uid="{BE64698C-A47E-476D-848C-FDD378F994A5}"/>
    <hyperlink ref="K621" r:id="rId595" display="https://frontliner.gamextopia.id/dse/339" xr:uid="{5394FE65-EBAC-4ABB-8632-2870BFC716E2}"/>
    <hyperlink ref="K614" r:id="rId596" display="https://frontliner.gamextopia.id/dse/811" xr:uid="{3899BE31-5D55-47B0-94E6-67A04BEB724A}"/>
    <hyperlink ref="K616" r:id="rId597" display="https://frontliner.gamextopia.id/dse/514" xr:uid="{3356493C-B6F9-47AD-80B1-3E7D503D021E}"/>
    <hyperlink ref="K617" r:id="rId598" display="https://frontliner.gamextopia.id/dse/585" xr:uid="{9CD2A3AD-277E-4201-B666-2A47940B6C2B}"/>
    <hyperlink ref="K618" r:id="rId599" display="https://frontliner.gamextopia.id/dse/584" xr:uid="{F7CE881A-58F4-4FD0-A1F3-0C8CBE74EEF7}"/>
    <hyperlink ref="K619" r:id="rId600" display="https://frontliner.gamextopia.id/dse/700" xr:uid="{0FA89BFB-0335-41F2-BF9F-1C8A84B76E77}"/>
    <hyperlink ref="K620" r:id="rId601" display="https://frontliner.gamextopia.id/dse/277" xr:uid="{B0F8D80B-A04C-459E-B94F-0850CD8384A7}"/>
    <hyperlink ref="K94" r:id="rId602" display="https://frontliner.gamextopia.id/dse/690" xr:uid="{CB18F222-E144-4FFB-BC89-4339D0A5F553}"/>
    <hyperlink ref="K108" r:id="rId603" display="https://frontliner.gamextopia.id/dse/743" xr:uid="{E13FEDB5-4FC2-49CC-A21C-D43B7EAE104D}"/>
    <hyperlink ref="K148" r:id="rId604" display="https://frontliner.gamextopia.id/dse/722" xr:uid="{55C5F566-2424-4173-9F0F-A7DFAF4218DF}"/>
    <hyperlink ref="K157" r:id="rId605" display="https://frontliner.gamextopia.id/dse/702" xr:uid="{6C8B76BC-2257-4560-ABD5-B39767824941}"/>
    <hyperlink ref="K164" r:id="rId606" display="https://frontliner.gamextopia.id/dse/515" xr:uid="{3FC1C068-E421-4D1C-ABD0-8969BE7E6C51}"/>
    <hyperlink ref="K219" r:id="rId607" display="https://frontliner.gamextopia.id/dse/703" xr:uid="{FA0F76E0-78F4-46C7-9183-D6E762625CCB}"/>
    <hyperlink ref="K253" r:id="rId608" display="https://frontliner.gamextopia.id/dse/21" xr:uid="{86BA7D85-043F-4A87-AF58-36DD003EABF8}"/>
    <hyperlink ref="K310" r:id="rId609" display="https://frontliner.gamextopia.id/dse/809" xr:uid="{84359616-52FF-4800-8F7A-18D33BF806ED}"/>
    <hyperlink ref="K341" r:id="rId610" display="https://frontliner.gamextopia.id/dse/537" xr:uid="{D168D950-BB6B-46B4-877B-B942C8C56334}"/>
    <hyperlink ref="K352" r:id="rId611" display="https://frontliner.gamextopia.id/dse/672" xr:uid="{DC07FB01-49B6-4E70-BD97-88FFD683366D}"/>
    <hyperlink ref="K353" r:id="rId612" display="https://frontliner.gamextopia.id/dse/673" xr:uid="{A5636617-BD0C-4FDF-B11E-188CB9470881}"/>
    <hyperlink ref="K358" r:id="rId613" display="https://frontliner.gamextopia.id/dse/517" xr:uid="{075B89C0-EB45-48F5-B36A-B3CB91F9EC62}"/>
    <hyperlink ref="K401" r:id="rId614" display="https://frontliner.gamextopia.id/dse/798" xr:uid="{5FDCF784-C8AC-4156-B28E-69F2EEFF251E}"/>
    <hyperlink ref="K422" r:id="rId615" display="https://frontliner.gamextopia.id/dse/725" xr:uid="{A8E88BA1-8099-462D-8FE5-903247321250}"/>
    <hyperlink ref="K424" r:id="rId616" display="https://frontliner.gamextopia.id/dse/718" xr:uid="{80C17B4D-461F-4949-8851-978AE3AF2E69}"/>
    <hyperlink ref="K445" r:id="rId617" display="https://frontliner.gamextopia.id/dse/717" xr:uid="{BE89BDCF-A198-43BE-9BB2-E9570D7E449F}"/>
    <hyperlink ref="K503" r:id="rId618" display="https://frontliner.gamextopia.id/dse/710" xr:uid="{A60E4912-23E7-44E8-A5DE-125BC35310D8}"/>
    <hyperlink ref="K523" r:id="rId619" display="https://frontliner.gamextopia.id/dse/1" xr:uid="{5A800049-C507-4632-8465-742E59953733}"/>
    <hyperlink ref="K591" r:id="rId620" display="https://frontliner.gamextopia.id/dse/817" xr:uid="{68BCBBD5-10CF-4FFD-8604-4046B205C4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4D56-3AC6-4843-9A1E-212936A77105}">
  <dimension ref="A1:BE285"/>
  <sheetViews>
    <sheetView topLeftCell="AW1" workbookViewId="0">
      <selection activeCell="AB3" sqref="AB3:AB285"/>
    </sheetView>
  </sheetViews>
  <sheetFormatPr defaultRowHeight="14"/>
  <cols>
    <col min="1" max="1" width="23.25" bestFit="1" customWidth="1"/>
    <col min="2" max="2" width="20.75" bestFit="1" customWidth="1"/>
    <col min="3" max="3" width="19.9140625" bestFit="1" customWidth="1"/>
    <col min="4" max="5" width="16.25" bestFit="1" customWidth="1"/>
    <col min="6" max="6" width="17.83203125" bestFit="1" customWidth="1"/>
    <col min="7" max="7" width="20.4140625" bestFit="1" customWidth="1"/>
    <col min="8" max="8" width="16.75" bestFit="1" customWidth="1"/>
    <col min="9" max="9" width="18.75" bestFit="1" customWidth="1"/>
    <col min="10" max="10" width="8.1640625" bestFit="1" customWidth="1"/>
    <col min="11" max="11" width="15" bestFit="1" customWidth="1"/>
    <col min="12" max="12" width="16.33203125" bestFit="1" customWidth="1"/>
    <col min="13" max="13" width="13.6640625" bestFit="1" customWidth="1"/>
    <col min="14" max="15" width="7.6640625" bestFit="1" customWidth="1"/>
    <col min="16" max="16" width="14.4140625" bestFit="1" customWidth="1"/>
    <col min="17" max="17" width="12" bestFit="1" customWidth="1"/>
    <col min="18" max="18" width="7.9140625" bestFit="1" customWidth="1"/>
    <col min="21" max="21" width="6.5" bestFit="1" customWidth="1"/>
    <col min="22" max="22" width="6.33203125" bestFit="1" customWidth="1"/>
    <col min="23" max="23" width="7.75" bestFit="1" customWidth="1"/>
    <col min="24" max="24" width="7.58203125" bestFit="1" customWidth="1"/>
    <col min="25" max="25" width="8.25" bestFit="1" customWidth="1"/>
    <col min="26" max="26" width="8.08203125" bestFit="1" customWidth="1"/>
    <col min="27" max="27" width="20.83203125" bestFit="1" customWidth="1"/>
    <col min="28" max="28" width="32.5" bestFit="1" customWidth="1"/>
    <col min="29" max="29" width="16.5" bestFit="1" customWidth="1"/>
    <col min="30" max="30" width="39.5" bestFit="1" customWidth="1"/>
    <col min="31" max="31" width="32.4140625" bestFit="1" customWidth="1"/>
    <col min="32" max="32" width="12" bestFit="1" customWidth="1"/>
    <col min="33" max="33" width="103.6640625" bestFit="1" customWidth="1"/>
    <col min="34" max="34" width="12.6640625" bestFit="1" customWidth="1"/>
    <col min="35" max="35" width="14.5" bestFit="1" customWidth="1"/>
    <col min="36" max="36" width="15.83203125" bestFit="1" customWidth="1"/>
    <col min="37" max="38" width="12.83203125" bestFit="1" customWidth="1"/>
    <col min="39" max="39" width="31.08203125" bestFit="1" customWidth="1"/>
    <col min="40" max="40" width="9.5" bestFit="1" customWidth="1"/>
    <col min="41" max="41" width="13.33203125" bestFit="1" customWidth="1"/>
    <col min="42" max="42" width="28.25" bestFit="1" customWidth="1"/>
    <col min="43" max="43" width="12" bestFit="1" customWidth="1"/>
    <col min="44" max="44" width="32.4140625" bestFit="1" customWidth="1"/>
    <col min="45" max="45" width="13.9140625" bestFit="1" customWidth="1"/>
    <col min="46" max="46" width="48.83203125" bestFit="1" customWidth="1"/>
    <col min="47" max="47" width="15.33203125" bestFit="1" customWidth="1"/>
    <col min="48" max="48" width="14.83203125" bestFit="1" customWidth="1"/>
    <col min="49" max="49" width="17.83203125" bestFit="1" customWidth="1"/>
    <col min="50" max="50" width="20.4140625" bestFit="1" customWidth="1"/>
    <col min="51" max="51" width="34.1640625" bestFit="1" customWidth="1"/>
    <col min="52" max="52" width="36.75" bestFit="1" customWidth="1"/>
    <col min="53" max="53" width="13.58203125" bestFit="1" customWidth="1"/>
    <col min="54" max="54" width="13.08203125" bestFit="1" customWidth="1"/>
    <col min="55" max="56" width="2" bestFit="1" customWidth="1"/>
    <col min="57" max="57" width="23" bestFit="1" customWidth="1"/>
  </cols>
  <sheetData>
    <row r="1" spans="1:57" ht="80" customHeight="1">
      <c r="A1" s="123" t="s">
        <v>3</v>
      </c>
      <c r="B1" s="123" t="s">
        <v>4</v>
      </c>
      <c r="C1" s="123" t="s">
        <v>5</v>
      </c>
      <c r="D1" s="125" t="s">
        <v>2545</v>
      </c>
      <c r="E1" s="127" t="s">
        <v>2545</v>
      </c>
      <c r="F1" s="113" t="s">
        <v>2811</v>
      </c>
      <c r="G1" s="115" t="s">
        <v>2811</v>
      </c>
      <c r="H1" s="113" t="s">
        <v>2813</v>
      </c>
      <c r="I1" s="115" t="s">
        <v>2813</v>
      </c>
      <c r="J1" s="129" t="s">
        <v>2755</v>
      </c>
      <c r="K1" s="131" t="s">
        <v>2755</v>
      </c>
      <c r="L1" s="113" t="s">
        <v>2813</v>
      </c>
      <c r="M1" s="115" t="s">
        <v>2813</v>
      </c>
      <c r="N1" s="129" t="s">
        <v>2734</v>
      </c>
      <c r="O1" s="131" t="s">
        <v>2734</v>
      </c>
      <c r="P1" s="123" t="s">
        <v>10</v>
      </c>
      <c r="Q1" s="133" t="s">
        <v>53</v>
      </c>
      <c r="R1" s="135" t="s">
        <v>2816</v>
      </c>
      <c r="S1" s="137" t="s">
        <v>2817</v>
      </c>
      <c r="T1" s="139" t="s">
        <v>2818</v>
      </c>
      <c r="U1" s="137" t="s">
        <v>2819</v>
      </c>
      <c r="V1" s="139" t="s">
        <v>2820</v>
      </c>
      <c r="W1" s="137" t="s">
        <v>2821</v>
      </c>
      <c r="X1" s="139" t="s">
        <v>2822</v>
      </c>
      <c r="Y1" s="137" t="s">
        <v>2823</v>
      </c>
      <c r="Z1" s="141" t="s">
        <v>2824</v>
      </c>
      <c r="AA1" s="123" t="s">
        <v>2504</v>
      </c>
      <c r="AB1" s="123" t="s">
        <v>11</v>
      </c>
      <c r="AC1" s="123" t="s">
        <v>2563</v>
      </c>
      <c r="AD1" s="143" t="s">
        <v>54</v>
      </c>
      <c r="AE1" s="143" t="s">
        <v>55</v>
      </c>
      <c r="AF1" s="143" t="s">
        <v>56</v>
      </c>
      <c r="AG1" s="145" t="s">
        <v>12</v>
      </c>
      <c r="AH1" s="145" t="s">
        <v>13</v>
      </c>
      <c r="AI1" s="145" t="s">
        <v>14</v>
      </c>
      <c r="AJ1" s="145" t="s">
        <v>15</v>
      </c>
      <c r="AK1" s="147" t="s">
        <v>16</v>
      </c>
      <c r="AL1" s="149" t="s">
        <v>16</v>
      </c>
      <c r="AM1" s="145" t="s">
        <v>17</v>
      </c>
      <c r="AN1" s="151" t="s">
        <v>18</v>
      </c>
      <c r="AO1" s="153" t="s">
        <v>19</v>
      </c>
      <c r="AP1" s="155" t="s">
        <v>57</v>
      </c>
      <c r="AQ1" s="156" t="s">
        <v>1898</v>
      </c>
      <c r="AR1" s="157" t="s">
        <v>1900</v>
      </c>
      <c r="AS1" s="156" t="s">
        <v>1899</v>
      </c>
      <c r="AT1" s="157" t="s">
        <v>1901</v>
      </c>
      <c r="AU1" s="158" t="s">
        <v>1960</v>
      </c>
      <c r="AV1" s="158" t="s">
        <v>1961</v>
      </c>
      <c r="AW1" s="158" t="s">
        <v>1956</v>
      </c>
      <c r="AX1" s="158" t="s">
        <v>1957</v>
      </c>
      <c r="AY1" s="158" t="s">
        <v>1958</v>
      </c>
      <c r="AZ1" s="158" t="s">
        <v>1959</v>
      </c>
      <c r="BA1" s="158" t="s">
        <v>1962</v>
      </c>
      <c r="BB1" s="158" t="s">
        <v>1963</v>
      </c>
      <c r="BC1" s="158" t="s">
        <v>2756</v>
      </c>
      <c r="BD1" s="158" t="s">
        <v>2756</v>
      </c>
      <c r="BE1" s="159" t="s">
        <v>2504</v>
      </c>
    </row>
    <row r="2" spans="1:57" ht="32">
      <c r="A2" s="124"/>
      <c r="B2" s="124"/>
      <c r="C2" s="124"/>
      <c r="D2" s="126"/>
      <c r="E2" s="128"/>
      <c r="F2" s="114" t="s">
        <v>2812</v>
      </c>
      <c r="G2" s="116" t="s">
        <v>1957</v>
      </c>
      <c r="H2" s="114" t="s">
        <v>2814</v>
      </c>
      <c r="I2" s="116" t="s">
        <v>2815</v>
      </c>
      <c r="J2" s="130"/>
      <c r="K2" s="132"/>
      <c r="L2" s="114" t="s">
        <v>2522</v>
      </c>
      <c r="M2" s="116" t="s">
        <v>2527</v>
      </c>
      <c r="N2" s="130"/>
      <c r="O2" s="132"/>
      <c r="P2" s="124"/>
      <c r="Q2" s="134"/>
      <c r="R2" s="136"/>
      <c r="S2" s="138"/>
      <c r="T2" s="140"/>
      <c r="U2" s="138"/>
      <c r="V2" s="140"/>
      <c r="W2" s="138"/>
      <c r="X2" s="140"/>
      <c r="Y2" s="138"/>
      <c r="Z2" s="142"/>
      <c r="AA2" s="124"/>
      <c r="AB2" s="124"/>
      <c r="AC2" s="124"/>
      <c r="AD2" s="144"/>
      <c r="AE2" s="144"/>
      <c r="AF2" s="144"/>
      <c r="AG2" s="146"/>
      <c r="AH2" s="146"/>
      <c r="AI2" s="146"/>
      <c r="AJ2" s="146"/>
      <c r="AK2" s="148"/>
      <c r="AL2" s="150"/>
      <c r="AM2" s="146"/>
      <c r="AN2" s="152"/>
      <c r="AO2" s="154"/>
      <c r="AP2" s="155"/>
      <c r="AQ2" s="156"/>
      <c r="AR2" s="157"/>
      <c r="AS2" s="156"/>
      <c r="AT2" s="157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9"/>
    </row>
    <row r="3" spans="1:57" ht="16">
      <c r="A3" s="161" t="s">
        <v>314</v>
      </c>
      <c r="B3" s="161" t="s">
        <v>381</v>
      </c>
      <c r="C3" s="161" t="s">
        <v>382</v>
      </c>
      <c r="D3" s="161" t="s">
        <v>383</v>
      </c>
      <c r="E3" s="161" t="s">
        <v>384</v>
      </c>
      <c r="F3" s="161" t="s">
        <v>385</v>
      </c>
      <c r="G3" s="161" t="s">
        <v>386</v>
      </c>
      <c r="H3" s="163" t="s">
        <v>385</v>
      </c>
      <c r="I3" s="165" t="s">
        <v>386</v>
      </c>
      <c r="J3" s="167" t="s">
        <v>2508</v>
      </c>
      <c r="K3" s="167" t="s">
        <v>2508</v>
      </c>
      <c r="L3" s="163"/>
      <c r="M3" s="165"/>
      <c r="N3" s="163"/>
      <c r="O3" s="165"/>
      <c r="P3" s="161" t="s">
        <v>88</v>
      </c>
      <c r="Q3" s="161" t="s">
        <v>45</v>
      </c>
      <c r="R3" s="168" t="b">
        <v>1</v>
      </c>
      <c r="S3" s="168" t="b">
        <v>1</v>
      </c>
      <c r="T3" s="168" t="b">
        <v>1</v>
      </c>
      <c r="U3" s="168" t="b">
        <v>0</v>
      </c>
      <c r="V3" s="168" t="b">
        <v>0</v>
      </c>
      <c r="W3" s="168" t="b">
        <v>1</v>
      </c>
      <c r="X3" s="168" t="b">
        <v>1</v>
      </c>
      <c r="Y3" s="168" t="b">
        <v>0</v>
      </c>
      <c r="Z3" s="168" t="b">
        <v>0</v>
      </c>
      <c r="AA3" s="161"/>
      <c r="AB3" s="161" t="s">
        <v>387</v>
      </c>
      <c r="AC3" s="161"/>
      <c r="AD3" s="161" t="s">
        <v>387</v>
      </c>
      <c r="AE3" s="161" t="s">
        <v>387</v>
      </c>
      <c r="AF3" s="161"/>
      <c r="AG3" s="117" t="s">
        <v>2825</v>
      </c>
      <c r="AH3" s="161">
        <v>3275050312790010</v>
      </c>
      <c r="AI3" s="161" t="s">
        <v>68</v>
      </c>
      <c r="AJ3" s="161"/>
      <c r="AK3" s="161"/>
      <c r="AL3" s="161">
        <v>628567620678</v>
      </c>
      <c r="AM3" s="161"/>
      <c r="AN3" s="168"/>
      <c r="AO3" s="168" t="s">
        <v>390</v>
      </c>
      <c r="AP3" s="160"/>
      <c r="AQ3" s="160" t="s">
        <v>383</v>
      </c>
      <c r="AR3" s="160" t="s">
        <v>1906</v>
      </c>
      <c r="AS3" s="160" t="s">
        <v>384</v>
      </c>
      <c r="AT3" s="160" t="s">
        <v>1925</v>
      </c>
      <c r="AU3" s="160" t="b">
        <v>1</v>
      </c>
      <c r="AV3" s="160" t="b">
        <v>1</v>
      </c>
      <c r="AW3" s="160" t="s">
        <v>385</v>
      </c>
      <c r="AX3" s="160" t="s">
        <v>386</v>
      </c>
      <c r="AY3" s="160" t="s">
        <v>2092</v>
      </c>
      <c r="AZ3" s="160" t="s">
        <v>2093</v>
      </c>
      <c r="BA3" s="160" t="b">
        <v>1</v>
      </c>
      <c r="BB3" s="160" t="b">
        <v>1</v>
      </c>
      <c r="BC3" s="160"/>
      <c r="BD3" s="160"/>
      <c r="BE3" s="160">
        <v>0</v>
      </c>
    </row>
    <row r="4" spans="1:57" ht="16">
      <c r="A4" s="160"/>
      <c r="B4" s="160"/>
      <c r="C4" s="160"/>
      <c r="D4" s="160"/>
      <c r="E4" s="160"/>
      <c r="F4" s="160"/>
      <c r="G4" s="160"/>
      <c r="H4" s="162"/>
      <c r="I4" s="164"/>
      <c r="J4" s="166"/>
      <c r="K4" s="166"/>
      <c r="L4" s="162"/>
      <c r="M4" s="164"/>
      <c r="N4" s="162"/>
      <c r="O4" s="164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17" t="s">
        <v>2826</v>
      </c>
      <c r="AH4" s="160"/>
      <c r="AI4" s="160"/>
      <c r="AJ4" s="160"/>
      <c r="AK4" s="160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160"/>
      <c r="AZ4" s="160"/>
      <c r="BA4" s="160"/>
      <c r="BB4" s="160"/>
      <c r="BC4" s="160"/>
      <c r="BD4" s="160"/>
      <c r="BE4" s="160"/>
    </row>
    <row r="5" spans="1:57" ht="16">
      <c r="A5" s="117" t="s">
        <v>314</v>
      </c>
      <c r="B5" s="117" t="s">
        <v>381</v>
      </c>
      <c r="C5" s="117" t="s">
        <v>382</v>
      </c>
      <c r="D5" s="117" t="s">
        <v>383</v>
      </c>
      <c r="E5" s="117" t="s">
        <v>384</v>
      </c>
      <c r="F5" s="117" t="s">
        <v>391</v>
      </c>
      <c r="G5" s="117" t="s">
        <v>392</v>
      </c>
      <c r="H5" s="118" t="s">
        <v>391</v>
      </c>
      <c r="I5" s="119" t="s">
        <v>392</v>
      </c>
      <c r="J5" s="120" t="s">
        <v>2508</v>
      </c>
      <c r="K5" s="120" t="s">
        <v>2508</v>
      </c>
      <c r="L5" s="118"/>
      <c r="M5" s="119"/>
      <c r="N5" s="118"/>
      <c r="O5" s="119"/>
      <c r="P5" s="117" t="s">
        <v>88</v>
      </c>
      <c r="Q5" s="117" t="s">
        <v>45</v>
      </c>
      <c r="R5" s="117" t="b">
        <v>1</v>
      </c>
      <c r="S5" s="117" t="b">
        <v>1</v>
      </c>
      <c r="T5" s="117" t="b">
        <v>1</v>
      </c>
      <c r="U5" s="117" t="b">
        <v>0</v>
      </c>
      <c r="V5" s="117" t="b">
        <v>0</v>
      </c>
      <c r="W5" s="117" t="b">
        <v>1</v>
      </c>
      <c r="X5" s="117" t="b">
        <v>1</v>
      </c>
      <c r="Y5" s="117" t="b">
        <v>0</v>
      </c>
      <c r="Z5" s="117" t="b">
        <v>0</v>
      </c>
      <c r="AA5" s="117"/>
      <c r="AB5" s="117" t="s">
        <v>393</v>
      </c>
      <c r="AC5" s="117"/>
      <c r="AD5" s="117" t="s">
        <v>393</v>
      </c>
      <c r="AE5" s="117" t="s">
        <v>393</v>
      </c>
      <c r="AF5" s="117"/>
      <c r="AG5" s="117" t="s">
        <v>394</v>
      </c>
      <c r="AH5" s="117">
        <v>3216020401940010</v>
      </c>
      <c r="AI5" s="117" t="s">
        <v>68</v>
      </c>
      <c r="AJ5" s="117"/>
      <c r="AK5" s="117"/>
      <c r="AL5" s="117">
        <v>6280086422485</v>
      </c>
      <c r="AM5" s="117"/>
      <c r="AN5" s="117"/>
      <c r="AO5" s="117" t="s">
        <v>396</v>
      </c>
      <c r="AP5" s="117"/>
      <c r="AQ5" s="117" t="s">
        <v>383</v>
      </c>
      <c r="AR5" s="117" t="s">
        <v>1906</v>
      </c>
      <c r="AS5" s="117" t="s">
        <v>384</v>
      </c>
      <c r="AT5" s="117" t="s">
        <v>1925</v>
      </c>
      <c r="AU5" s="117" t="b">
        <v>1</v>
      </c>
      <c r="AV5" s="117" t="b">
        <v>1</v>
      </c>
      <c r="AW5" s="117" t="s">
        <v>391</v>
      </c>
      <c r="AX5" s="117" t="s">
        <v>392</v>
      </c>
      <c r="AY5" s="117" t="s">
        <v>2094</v>
      </c>
      <c r="AZ5" s="117" t="s">
        <v>2095</v>
      </c>
      <c r="BA5" s="117" t="b">
        <v>1</v>
      </c>
      <c r="BB5" s="117" t="b">
        <v>1</v>
      </c>
      <c r="BC5" s="117"/>
      <c r="BD5" s="117"/>
      <c r="BE5" s="117">
        <v>0</v>
      </c>
    </row>
    <row r="6" spans="1:57" ht="16">
      <c r="A6" s="117" t="s">
        <v>314</v>
      </c>
      <c r="B6" s="117" t="s">
        <v>381</v>
      </c>
      <c r="C6" s="117" t="s">
        <v>382</v>
      </c>
      <c r="D6" s="117" t="s">
        <v>383</v>
      </c>
      <c r="E6" s="117" t="s">
        <v>384</v>
      </c>
      <c r="F6" s="117" t="s">
        <v>408</v>
      </c>
      <c r="G6" s="117" t="s">
        <v>409</v>
      </c>
      <c r="H6" s="118" t="s">
        <v>408</v>
      </c>
      <c r="I6" s="119" t="s">
        <v>409</v>
      </c>
      <c r="J6" s="120" t="s">
        <v>2508</v>
      </c>
      <c r="K6" s="120" t="s">
        <v>2508</v>
      </c>
      <c r="L6" s="118"/>
      <c r="M6" s="119"/>
      <c r="N6" s="118"/>
      <c r="O6" s="119"/>
      <c r="P6" s="117" t="s">
        <v>88</v>
      </c>
      <c r="Q6" s="117" t="s">
        <v>44</v>
      </c>
      <c r="R6" s="117" t="b">
        <v>1</v>
      </c>
      <c r="S6" s="117" t="b">
        <v>1</v>
      </c>
      <c r="T6" s="117" t="b">
        <v>1</v>
      </c>
      <c r="U6" s="117" t="b">
        <v>0</v>
      </c>
      <c r="V6" s="117" t="b">
        <v>0</v>
      </c>
      <c r="W6" s="117" t="b">
        <v>1</v>
      </c>
      <c r="X6" s="117" t="b">
        <v>1</v>
      </c>
      <c r="Y6" s="117" t="b">
        <v>0</v>
      </c>
      <c r="Z6" s="117" t="b">
        <v>0</v>
      </c>
      <c r="AA6" s="117"/>
      <c r="AB6" s="117" t="s">
        <v>410</v>
      </c>
      <c r="AC6" s="117"/>
      <c r="AD6" s="117" t="s">
        <v>410</v>
      </c>
      <c r="AE6" s="117" t="s">
        <v>410</v>
      </c>
      <c r="AF6" s="117" t="b">
        <v>0</v>
      </c>
      <c r="AG6" s="117" t="s">
        <v>411</v>
      </c>
      <c r="AH6" s="117">
        <v>3275100503920010</v>
      </c>
      <c r="AI6" s="117" t="s">
        <v>68</v>
      </c>
      <c r="AJ6" s="117" t="s">
        <v>32</v>
      </c>
      <c r="AK6" s="117">
        <v>85591021413</v>
      </c>
      <c r="AL6" s="117">
        <v>6280086422482</v>
      </c>
      <c r="AM6" s="117" t="s">
        <v>413</v>
      </c>
      <c r="AN6" s="117"/>
      <c r="AO6" s="117" t="s">
        <v>414</v>
      </c>
      <c r="AP6" s="117" t="s">
        <v>373</v>
      </c>
      <c r="AQ6" s="117" t="s">
        <v>383</v>
      </c>
      <c r="AR6" s="117" t="s">
        <v>1906</v>
      </c>
      <c r="AS6" s="117" t="s">
        <v>384</v>
      </c>
      <c r="AT6" s="117" t="s">
        <v>1925</v>
      </c>
      <c r="AU6" s="117" t="b">
        <v>1</v>
      </c>
      <c r="AV6" s="117" t="b">
        <v>1</v>
      </c>
      <c r="AW6" s="117" t="s">
        <v>408</v>
      </c>
      <c r="AX6" s="117" t="s">
        <v>409</v>
      </c>
      <c r="AY6" s="117" t="s">
        <v>2098</v>
      </c>
      <c r="AZ6" s="117" t="s">
        <v>2099</v>
      </c>
      <c r="BA6" s="117" t="b">
        <v>1</v>
      </c>
      <c r="BB6" s="117" t="b">
        <v>1</v>
      </c>
      <c r="BC6" s="117"/>
      <c r="BD6" s="117"/>
      <c r="BE6" s="117">
        <v>0</v>
      </c>
    </row>
    <row r="7" spans="1:57" ht="16">
      <c r="A7" s="117" t="s">
        <v>314</v>
      </c>
      <c r="B7" s="117" t="s">
        <v>381</v>
      </c>
      <c r="C7" s="117" t="s">
        <v>382</v>
      </c>
      <c r="D7" s="117" t="s">
        <v>383</v>
      </c>
      <c r="E7" s="117" t="s">
        <v>384</v>
      </c>
      <c r="F7" s="117" t="s">
        <v>1453</v>
      </c>
      <c r="G7" s="117" t="s">
        <v>1452</v>
      </c>
      <c r="H7" s="118" t="s">
        <v>1453</v>
      </c>
      <c r="I7" s="119" t="s">
        <v>1452</v>
      </c>
      <c r="J7" s="120" t="s">
        <v>2508</v>
      </c>
      <c r="K7" s="120" t="s">
        <v>2508</v>
      </c>
      <c r="L7" s="118"/>
      <c r="M7" s="119"/>
      <c r="N7" s="118"/>
      <c r="O7" s="119"/>
      <c r="P7" s="117" t="s">
        <v>88</v>
      </c>
      <c r="Q7" s="117" t="s">
        <v>45</v>
      </c>
      <c r="R7" s="117" t="b">
        <v>1</v>
      </c>
      <c r="S7" s="117" t="b">
        <v>1</v>
      </c>
      <c r="T7" s="117" t="b">
        <v>1</v>
      </c>
      <c r="U7" s="117" t="b">
        <v>0</v>
      </c>
      <c r="V7" s="117" t="b">
        <v>0</v>
      </c>
      <c r="W7" s="117" t="b">
        <v>1</v>
      </c>
      <c r="X7" s="117" t="b">
        <v>1</v>
      </c>
      <c r="Y7" s="117" t="b">
        <v>0</v>
      </c>
      <c r="Z7" s="117" t="b">
        <v>0</v>
      </c>
      <c r="AA7" s="117"/>
      <c r="AB7" s="117" t="s">
        <v>1454</v>
      </c>
      <c r="AC7" s="117"/>
      <c r="AD7" s="117" t="s">
        <v>1454</v>
      </c>
      <c r="AE7" s="117" t="s">
        <v>1454</v>
      </c>
      <c r="AF7" s="117"/>
      <c r="AG7" s="117">
        <v>0</v>
      </c>
      <c r="AH7" s="117">
        <v>3275030101890050</v>
      </c>
      <c r="AI7" s="117" t="s">
        <v>68</v>
      </c>
      <c r="AJ7" s="117" t="s">
        <v>32</v>
      </c>
      <c r="AK7" s="117"/>
      <c r="AL7" s="117">
        <v>6289602778059</v>
      </c>
      <c r="AM7" s="117"/>
      <c r="AN7" s="117"/>
      <c r="AO7" s="117" t="s">
        <v>1456</v>
      </c>
      <c r="AP7" s="117"/>
      <c r="AQ7" s="117" t="s">
        <v>383</v>
      </c>
      <c r="AR7" s="117" t="s">
        <v>1906</v>
      </c>
      <c r="AS7" s="117" t="s">
        <v>384</v>
      </c>
      <c r="AT7" s="117" t="s">
        <v>1925</v>
      </c>
      <c r="AU7" s="117" t="b">
        <v>1</v>
      </c>
      <c r="AV7" s="117" t="b">
        <v>1</v>
      </c>
      <c r="AW7" s="117" t="s">
        <v>1453</v>
      </c>
      <c r="AX7" s="117" t="s">
        <v>1452</v>
      </c>
      <c r="AY7" s="117" t="s">
        <v>2376</v>
      </c>
      <c r="AZ7" s="117" t="s">
        <v>2377</v>
      </c>
      <c r="BA7" s="117" t="b">
        <v>1</v>
      </c>
      <c r="BB7" s="117" t="b">
        <v>1</v>
      </c>
      <c r="BC7" s="117"/>
      <c r="BD7" s="117"/>
      <c r="BE7" s="117">
        <v>0</v>
      </c>
    </row>
    <row r="8" spans="1:57" ht="16">
      <c r="A8" s="117" t="s">
        <v>314</v>
      </c>
      <c r="B8" s="117" t="s">
        <v>381</v>
      </c>
      <c r="C8" s="117" t="s">
        <v>382</v>
      </c>
      <c r="D8" s="117" t="s">
        <v>383</v>
      </c>
      <c r="E8" s="117" t="s">
        <v>384</v>
      </c>
      <c r="F8" s="117" t="s">
        <v>1470</v>
      </c>
      <c r="G8" s="117" t="s">
        <v>1469</v>
      </c>
      <c r="H8" s="118" t="s">
        <v>1470</v>
      </c>
      <c r="I8" s="119" t="s">
        <v>1469</v>
      </c>
      <c r="J8" s="120" t="s">
        <v>2508</v>
      </c>
      <c r="K8" s="120" t="s">
        <v>2508</v>
      </c>
      <c r="L8" s="118"/>
      <c r="M8" s="119"/>
      <c r="N8" s="118"/>
      <c r="O8" s="119"/>
      <c r="P8" s="117" t="s">
        <v>88</v>
      </c>
      <c r="Q8" s="117" t="s">
        <v>45</v>
      </c>
      <c r="R8" s="117" t="b">
        <v>1</v>
      </c>
      <c r="S8" s="117" t="b">
        <v>1</v>
      </c>
      <c r="T8" s="117" t="b">
        <v>1</v>
      </c>
      <c r="U8" s="117" t="b">
        <v>0</v>
      </c>
      <c r="V8" s="117" t="b">
        <v>0</v>
      </c>
      <c r="W8" s="117" t="b">
        <v>1</v>
      </c>
      <c r="X8" s="117" t="b">
        <v>1</v>
      </c>
      <c r="Y8" s="117" t="b">
        <v>0</v>
      </c>
      <c r="Z8" s="117" t="b">
        <v>0</v>
      </c>
      <c r="AA8" s="117"/>
      <c r="AB8" s="117" t="s">
        <v>1471</v>
      </c>
      <c r="AC8" s="117"/>
      <c r="AD8" s="117" t="s">
        <v>1471</v>
      </c>
      <c r="AE8" s="117" t="s">
        <v>1471</v>
      </c>
      <c r="AF8" s="117"/>
      <c r="AG8" s="117" t="s">
        <v>1472</v>
      </c>
      <c r="AH8" s="117">
        <v>3216021507950010</v>
      </c>
      <c r="AI8" s="117" t="s">
        <v>68</v>
      </c>
      <c r="AJ8" s="117"/>
      <c r="AK8" s="117"/>
      <c r="AL8" s="117">
        <v>6289602778055</v>
      </c>
      <c r="AM8" s="117"/>
      <c r="AN8" s="117"/>
      <c r="AO8" s="117" t="s">
        <v>1474</v>
      </c>
      <c r="AP8" s="117"/>
      <c r="AQ8" s="117" t="s">
        <v>383</v>
      </c>
      <c r="AR8" s="117" t="s">
        <v>1906</v>
      </c>
      <c r="AS8" s="117" t="s">
        <v>384</v>
      </c>
      <c r="AT8" s="117" t="s">
        <v>1925</v>
      </c>
      <c r="AU8" s="117" t="b">
        <v>1</v>
      </c>
      <c r="AV8" s="117" t="b">
        <v>1</v>
      </c>
      <c r="AW8" s="117" t="s">
        <v>1470</v>
      </c>
      <c r="AX8" s="117" t="s">
        <v>1469</v>
      </c>
      <c r="AY8" s="117" t="s">
        <v>2382</v>
      </c>
      <c r="AZ8" s="117" t="s">
        <v>2383</v>
      </c>
      <c r="BA8" s="117" t="b">
        <v>1</v>
      </c>
      <c r="BB8" s="117" t="b">
        <v>1</v>
      </c>
      <c r="BC8" s="117"/>
      <c r="BD8" s="117"/>
      <c r="BE8" s="117">
        <v>0</v>
      </c>
    </row>
    <row r="9" spans="1:57" ht="16">
      <c r="A9" s="117" t="s">
        <v>314</v>
      </c>
      <c r="B9" s="117" t="s">
        <v>381</v>
      </c>
      <c r="C9" s="117" t="s">
        <v>382</v>
      </c>
      <c r="D9" s="117" t="s">
        <v>383</v>
      </c>
      <c r="E9" s="117" t="s">
        <v>384</v>
      </c>
      <c r="F9" s="117" t="s">
        <v>1476</v>
      </c>
      <c r="G9" s="117" t="s">
        <v>1475</v>
      </c>
      <c r="H9" s="118" t="s">
        <v>1476</v>
      </c>
      <c r="I9" s="119" t="s">
        <v>1475</v>
      </c>
      <c r="J9" s="120" t="s">
        <v>2508</v>
      </c>
      <c r="K9" s="120" t="s">
        <v>2508</v>
      </c>
      <c r="L9" s="118"/>
      <c r="M9" s="119"/>
      <c r="N9" s="118"/>
      <c r="O9" s="119"/>
      <c r="P9" s="117" t="s">
        <v>88</v>
      </c>
      <c r="Q9" s="117" t="s">
        <v>44</v>
      </c>
      <c r="R9" s="117" t="b">
        <v>1</v>
      </c>
      <c r="S9" s="117" t="b">
        <v>1</v>
      </c>
      <c r="T9" s="117" t="b">
        <v>1</v>
      </c>
      <c r="U9" s="117" t="b">
        <v>0</v>
      </c>
      <c r="V9" s="117" t="b">
        <v>0</v>
      </c>
      <c r="W9" s="117" t="b">
        <v>1</v>
      </c>
      <c r="X9" s="117" t="b">
        <v>1</v>
      </c>
      <c r="Y9" s="117" t="b">
        <v>0</v>
      </c>
      <c r="Z9" s="117" t="b">
        <v>0</v>
      </c>
      <c r="AA9" s="117"/>
      <c r="AB9" s="117" t="s">
        <v>1477</v>
      </c>
      <c r="AC9" s="117"/>
      <c r="AD9" s="117" t="s">
        <v>1478</v>
      </c>
      <c r="AE9" s="117" t="s">
        <v>1477</v>
      </c>
      <c r="AF9" s="117" t="b">
        <v>0</v>
      </c>
      <c r="AG9" s="117" t="s">
        <v>1479</v>
      </c>
      <c r="AH9" s="117">
        <v>3275042905890010</v>
      </c>
      <c r="AI9" s="117" t="s">
        <v>68</v>
      </c>
      <c r="AJ9" s="117" t="s">
        <v>32</v>
      </c>
      <c r="AK9" s="117">
        <v>8985561822</v>
      </c>
      <c r="AL9" s="117">
        <v>628985561822</v>
      </c>
      <c r="AM9" s="117" t="s">
        <v>1482</v>
      </c>
      <c r="AN9" s="117"/>
      <c r="AO9" s="117" t="s">
        <v>1483</v>
      </c>
      <c r="AP9" s="117" t="s">
        <v>373</v>
      </c>
      <c r="AQ9" s="117" t="s">
        <v>383</v>
      </c>
      <c r="AR9" s="117" t="s">
        <v>1906</v>
      </c>
      <c r="AS9" s="117" t="s">
        <v>384</v>
      </c>
      <c r="AT9" s="117" t="s">
        <v>1925</v>
      </c>
      <c r="AU9" s="117" t="b">
        <v>1</v>
      </c>
      <c r="AV9" s="117" t="b">
        <v>1</v>
      </c>
      <c r="AW9" s="117" t="s">
        <v>1476</v>
      </c>
      <c r="AX9" s="117" t="s">
        <v>1475</v>
      </c>
      <c r="AY9" s="117" t="s">
        <v>2384</v>
      </c>
      <c r="AZ9" s="117" t="s">
        <v>2385</v>
      </c>
      <c r="BA9" s="117" t="b">
        <v>1</v>
      </c>
      <c r="BB9" s="117" t="b">
        <v>1</v>
      </c>
      <c r="BC9" s="117"/>
      <c r="BD9" s="117"/>
      <c r="BE9" s="117">
        <v>0</v>
      </c>
    </row>
    <row r="10" spans="1:57" ht="16">
      <c r="A10" s="117" t="s">
        <v>314</v>
      </c>
      <c r="B10" s="117" t="s">
        <v>381</v>
      </c>
      <c r="C10" s="117" t="s">
        <v>382</v>
      </c>
      <c r="D10" s="117" t="s">
        <v>383</v>
      </c>
      <c r="E10" s="117" t="s">
        <v>384</v>
      </c>
      <c r="F10" s="117" t="s">
        <v>1556</v>
      </c>
      <c r="G10" s="117" t="s">
        <v>1555</v>
      </c>
      <c r="H10" s="118" t="s">
        <v>1556</v>
      </c>
      <c r="I10" s="119" t="s">
        <v>1555</v>
      </c>
      <c r="J10" s="120" t="s">
        <v>2508</v>
      </c>
      <c r="K10" s="120" t="s">
        <v>2508</v>
      </c>
      <c r="L10" s="118"/>
      <c r="M10" s="119"/>
      <c r="N10" s="118"/>
      <c r="O10" s="119"/>
      <c r="P10" s="117" t="s">
        <v>88</v>
      </c>
      <c r="Q10" s="117" t="s">
        <v>45</v>
      </c>
      <c r="R10" s="117" t="b">
        <v>1</v>
      </c>
      <c r="S10" s="117" t="b">
        <v>1</v>
      </c>
      <c r="T10" s="117" t="b">
        <v>1</v>
      </c>
      <c r="U10" s="117" t="b">
        <v>0</v>
      </c>
      <c r="V10" s="117" t="b">
        <v>0</v>
      </c>
      <c r="W10" s="117" t="b">
        <v>1</v>
      </c>
      <c r="X10" s="117" t="b">
        <v>1</v>
      </c>
      <c r="Y10" s="117" t="b">
        <v>0</v>
      </c>
      <c r="Z10" s="117" t="b">
        <v>0</v>
      </c>
      <c r="AA10" s="117"/>
      <c r="AB10" s="117" t="s">
        <v>1557</v>
      </c>
      <c r="AC10" s="117"/>
      <c r="AD10" s="117" t="s">
        <v>1557</v>
      </c>
      <c r="AE10" s="117" t="s">
        <v>1557</v>
      </c>
      <c r="AF10" s="117"/>
      <c r="AG10" s="117" t="s">
        <v>1558</v>
      </c>
      <c r="AH10" s="117">
        <v>3175071003880020</v>
      </c>
      <c r="AI10" s="117" t="s">
        <v>68</v>
      </c>
      <c r="AJ10" s="117"/>
      <c r="AK10" s="117"/>
      <c r="AL10" s="117">
        <v>6289602778072</v>
      </c>
      <c r="AM10" s="117"/>
      <c r="AN10" s="117"/>
      <c r="AO10" s="117" t="s">
        <v>1560</v>
      </c>
      <c r="AP10" s="117"/>
      <c r="AQ10" s="117" t="s">
        <v>383</v>
      </c>
      <c r="AR10" s="117" t="s">
        <v>1906</v>
      </c>
      <c r="AS10" s="117" t="s">
        <v>384</v>
      </c>
      <c r="AT10" s="117" t="s">
        <v>1925</v>
      </c>
      <c r="AU10" s="117" t="b">
        <v>1</v>
      </c>
      <c r="AV10" s="117" t="b">
        <v>1</v>
      </c>
      <c r="AW10" s="117" t="s">
        <v>1556</v>
      </c>
      <c r="AX10" s="117" t="s">
        <v>1555</v>
      </c>
      <c r="AY10" s="117" t="s">
        <v>2404</v>
      </c>
      <c r="AZ10" s="117" t="s">
        <v>2405</v>
      </c>
      <c r="BA10" s="117" t="b">
        <v>1</v>
      </c>
      <c r="BB10" s="117" t="b">
        <v>1</v>
      </c>
      <c r="BC10" s="117"/>
      <c r="BD10" s="117"/>
      <c r="BE10" s="117">
        <v>0</v>
      </c>
    </row>
    <row r="11" spans="1:57" ht="16">
      <c r="A11" s="117" t="s">
        <v>314</v>
      </c>
      <c r="B11" s="117" t="s">
        <v>381</v>
      </c>
      <c r="C11" s="117" t="s">
        <v>382</v>
      </c>
      <c r="D11" s="117" t="s">
        <v>383</v>
      </c>
      <c r="E11" s="117" t="s">
        <v>384</v>
      </c>
      <c r="F11" s="117" t="s">
        <v>1562</v>
      </c>
      <c r="G11" s="117" t="s">
        <v>1561</v>
      </c>
      <c r="H11" s="118" t="s">
        <v>1562</v>
      </c>
      <c r="I11" s="119" t="s">
        <v>1561</v>
      </c>
      <c r="J11" s="120" t="s">
        <v>2508</v>
      </c>
      <c r="K11" s="120" t="s">
        <v>2508</v>
      </c>
      <c r="L11" s="118"/>
      <c r="M11" s="119"/>
      <c r="N11" s="118"/>
      <c r="O11" s="119"/>
      <c r="P11" s="117" t="s">
        <v>88</v>
      </c>
      <c r="Q11" s="117" t="s">
        <v>44</v>
      </c>
      <c r="R11" s="117" t="b">
        <v>1</v>
      </c>
      <c r="S11" s="117" t="b">
        <v>1</v>
      </c>
      <c r="T11" s="117" t="b">
        <v>1</v>
      </c>
      <c r="U11" s="117" t="b">
        <v>0</v>
      </c>
      <c r="V11" s="117" t="b">
        <v>0</v>
      </c>
      <c r="W11" s="117" t="b">
        <v>1</v>
      </c>
      <c r="X11" s="117" t="b">
        <v>1</v>
      </c>
      <c r="Y11" s="117" t="b">
        <v>0</v>
      </c>
      <c r="Z11" s="117" t="b">
        <v>0</v>
      </c>
      <c r="AA11" s="117"/>
      <c r="AB11" s="117" t="s">
        <v>1563</v>
      </c>
      <c r="AC11" s="117"/>
      <c r="AD11" s="117" t="s">
        <v>1563</v>
      </c>
      <c r="AE11" s="117" t="s">
        <v>1564</v>
      </c>
      <c r="AF11" s="117" t="b">
        <v>0</v>
      </c>
      <c r="AG11" s="117" t="s">
        <v>1565</v>
      </c>
      <c r="AH11" s="117">
        <v>3275032801030010</v>
      </c>
      <c r="AI11" s="117" t="s">
        <v>68</v>
      </c>
      <c r="AJ11" s="117" t="s">
        <v>32</v>
      </c>
      <c r="AK11" s="117">
        <v>895326103063</v>
      </c>
      <c r="AL11" s="117">
        <v>628985560095</v>
      </c>
      <c r="AM11" s="117" t="s">
        <v>1568</v>
      </c>
      <c r="AN11" s="117"/>
      <c r="AO11" s="117" t="s">
        <v>1569</v>
      </c>
      <c r="AP11" s="117" t="s">
        <v>373</v>
      </c>
      <c r="AQ11" s="117" t="s">
        <v>383</v>
      </c>
      <c r="AR11" s="117" t="s">
        <v>1906</v>
      </c>
      <c r="AS11" s="117" t="s">
        <v>384</v>
      </c>
      <c r="AT11" s="117" t="s">
        <v>1925</v>
      </c>
      <c r="AU11" s="117" t="b">
        <v>1</v>
      </c>
      <c r="AV11" s="117" t="b">
        <v>1</v>
      </c>
      <c r="AW11" s="117" t="s">
        <v>1562</v>
      </c>
      <c r="AX11" s="117" t="s">
        <v>1561</v>
      </c>
      <c r="AY11" s="117" t="s">
        <v>2406</v>
      </c>
      <c r="AZ11" s="117" t="s">
        <v>2407</v>
      </c>
      <c r="BA11" s="117" t="b">
        <v>1</v>
      </c>
      <c r="BB11" s="117" t="b">
        <v>1</v>
      </c>
      <c r="BC11" s="117"/>
      <c r="BD11" s="117"/>
      <c r="BE11" s="117">
        <v>0</v>
      </c>
    </row>
    <row r="12" spans="1:57" ht="16">
      <c r="A12" s="117" t="s">
        <v>314</v>
      </c>
      <c r="B12" s="117" t="s">
        <v>381</v>
      </c>
      <c r="C12" s="117" t="s">
        <v>382</v>
      </c>
      <c r="D12" s="117" t="s">
        <v>383</v>
      </c>
      <c r="E12" s="117" t="s">
        <v>384</v>
      </c>
      <c r="F12" s="117" t="s">
        <v>1611</v>
      </c>
      <c r="G12" s="117" t="s">
        <v>1610</v>
      </c>
      <c r="H12" s="118" t="s">
        <v>1611</v>
      </c>
      <c r="I12" s="119" t="s">
        <v>1610</v>
      </c>
      <c r="J12" s="120" t="s">
        <v>2508</v>
      </c>
      <c r="K12" s="120" t="s">
        <v>2508</v>
      </c>
      <c r="L12" s="118"/>
      <c r="M12" s="119"/>
      <c r="N12" s="118"/>
      <c r="O12" s="119"/>
      <c r="P12" s="117" t="s">
        <v>88</v>
      </c>
      <c r="Q12" s="117" t="s">
        <v>44</v>
      </c>
      <c r="R12" s="117" t="b">
        <v>1</v>
      </c>
      <c r="S12" s="117" t="b">
        <v>1</v>
      </c>
      <c r="T12" s="117" t="b">
        <v>1</v>
      </c>
      <c r="U12" s="117" t="b">
        <v>0</v>
      </c>
      <c r="V12" s="117" t="b">
        <v>0</v>
      </c>
      <c r="W12" s="117" t="b">
        <v>1</v>
      </c>
      <c r="X12" s="117" t="b">
        <v>1</v>
      </c>
      <c r="Y12" s="117" t="b">
        <v>0</v>
      </c>
      <c r="Z12" s="117" t="b">
        <v>0</v>
      </c>
      <c r="AA12" s="117"/>
      <c r="AB12" s="117" t="s">
        <v>1564</v>
      </c>
      <c r="AC12" s="117"/>
      <c r="AD12" s="117" t="s">
        <v>1564</v>
      </c>
      <c r="AE12" s="117" t="s">
        <v>1563</v>
      </c>
      <c r="AF12" s="117" t="b">
        <v>0</v>
      </c>
      <c r="AG12" s="117" t="s">
        <v>1612</v>
      </c>
      <c r="AH12" s="117">
        <v>1204041805940000</v>
      </c>
      <c r="AI12" s="117" t="s">
        <v>68</v>
      </c>
      <c r="AJ12" s="117" t="s">
        <v>32</v>
      </c>
      <c r="AK12" s="117">
        <v>8985561832</v>
      </c>
      <c r="AL12" s="117">
        <v>628985561832</v>
      </c>
      <c r="AM12" s="117" t="s">
        <v>1615</v>
      </c>
      <c r="AN12" s="117"/>
      <c r="AO12" s="117" t="s">
        <v>1616</v>
      </c>
      <c r="AP12" s="117" t="s">
        <v>373</v>
      </c>
      <c r="AQ12" s="117" t="s">
        <v>383</v>
      </c>
      <c r="AR12" s="117" t="s">
        <v>1906</v>
      </c>
      <c r="AS12" s="117" t="s">
        <v>384</v>
      </c>
      <c r="AT12" s="117" t="s">
        <v>1925</v>
      </c>
      <c r="AU12" s="117" t="b">
        <v>1</v>
      </c>
      <c r="AV12" s="117" t="b">
        <v>1</v>
      </c>
      <c r="AW12" s="117" t="s">
        <v>1611</v>
      </c>
      <c r="AX12" s="117" t="s">
        <v>1610</v>
      </c>
      <c r="AY12" s="117" t="s">
        <v>2416</v>
      </c>
      <c r="AZ12" s="117" t="s">
        <v>2417</v>
      </c>
      <c r="BA12" s="117" t="b">
        <v>1</v>
      </c>
      <c r="BB12" s="117" t="b">
        <v>1</v>
      </c>
      <c r="BC12" s="117"/>
      <c r="BD12" s="117"/>
      <c r="BE12" s="117">
        <v>0</v>
      </c>
    </row>
    <row r="13" spans="1:57" ht="16">
      <c r="A13" s="117" t="s">
        <v>314</v>
      </c>
      <c r="B13" s="117" t="s">
        <v>381</v>
      </c>
      <c r="C13" s="117" t="s">
        <v>382</v>
      </c>
      <c r="D13" s="117" t="s">
        <v>383</v>
      </c>
      <c r="E13" s="117" t="s">
        <v>384</v>
      </c>
      <c r="F13" s="117" t="s">
        <v>1677</v>
      </c>
      <c r="G13" s="117" t="s">
        <v>1676</v>
      </c>
      <c r="H13" s="118" t="s">
        <v>1677</v>
      </c>
      <c r="I13" s="119" t="s">
        <v>1676</v>
      </c>
      <c r="J13" s="120" t="s">
        <v>2508</v>
      </c>
      <c r="K13" s="120" t="s">
        <v>2508</v>
      </c>
      <c r="L13" s="118"/>
      <c r="M13" s="119"/>
      <c r="N13" s="118"/>
      <c r="O13" s="119"/>
      <c r="P13" s="117" t="s">
        <v>88</v>
      </c>
      <c r="Q13" s="117" t="s">
        <v>45</v>
      </c>
      <c r="R13" s="117" t="b">
        <v>1</v>
      </c>
      <c r="S13" s="117" t="b">
        <v>1</v>
      </c>
      <c r="T13" s="117" t="b">
        <v>1</v>
      </c>
      <c r="U13" s="117" t="b">
        <v>0</v>
      </c>
      <c r="V13" s="117" t="b">
        <v>0</v>
      </c>
      <c r="W13" s="117" t="b">
        <v>1</v>
      </c>
      <c r="X13" s="117" t="b">
        <v>1</v>
      </c>
      <c r="Y13" s="117" t="b">
        <v>0</v>
      </c>
      <c r="Z13" s="117" t="b">
        <v>0</v>
      </c>
      <c r="AA13" s="117"/>
      <c r="AB13" s="117" t="s">
        <v>1678</v>
      </c>
      <c r="AC13" s="117"/>
      <c r="AD13" s="117" t="s">
        <v>1678</v>
      </c>
      <c r="AE13" s="117" t="s">
        <v>1678</v>
      </c>
      <c r="AF13" s="117"/>
      <c r="AG13" s="117" t="s">
        <v>1679</v>
      </c>
      <c r="AH13" s="117">
        <v>3327111612890000</v>
      </c>
      <c r="AI13" s="117" t="s">
        <v>68</v>
      </c>
      <c r="AJ13" s="117" t="s">
        <v>32</v>
      </c>
      <c r="AK13" s="117"/>
      <c r="AL13" s="117">
        <v>6289607902966</v>
      </c>
      <c r="AM13" s="117"/>
      <c r="AN13" s="117"/>
      <c r="AO13" s="117" t="s">
        <v>1681</v>
      </c>
      <c r="AP13" s="117"/>
      <c r="AQ13" s="117" t="s">
        <v>383</v>
      </c>
      <c r="AR13" s="117" t="s">
        <v>1906</v>
      </c>
      <c r="AS13" s="117" t="s">
        <v>384</v>
      </c>
      <c r="AT13" s="117" t="s">
        <v>1925</v>
      </c>
      <c r="AU13" s="117" t="b">
        <v>1</v>
      </c>
      <c r="AV13" s="117" t="b">
        <v>1</v>
      </c>
      <c r="AW13" s="117" t="s">
        <v>1677</v>
      </c>
      <c r="AX13" s="117" t="s">
        <v>1676</v>
      </c>
      <c r="AY13" s="117" t="s">
        <v>2436</v>
      </c>
      <c r="AZ13" s="117" t="s">
        <v>2437</v>
      </c>
      <c r="BA13" s="117" t="b">
        <v>1</v>
      </c>
      <c r="BB13" s="117" t="b">
        <v>1</v>
      </c>
      <c r="BC13" s="117"/>
      <c r="BD13" s="117"/>
      <c r="BE13" s="117">
        <v>0</v>
      </c>
    </row>
    <row r="14" spans="1:57" ht="16">
      <c r="A14" s="117" t="s">
        <v>314</v>
      </c>
      <c r="B14" s="117" t="s">
        <v>397</v>
      </c>
      <c r="C14" s="117" t="s">
        <v>398</v>
      </c>
      <c r="D14" s="117" t="s">
        <v>399</v>
      </c>
      <c r="E14" s="117" t="s">
        <v>400</v>
      </c>
      <c r="F14" s="117" t="s">
        <v>401</v>
      </c>
      <c r="G14" s="117" t="s">
        <v>402</v>
      </c>
      <c r="H14" s="118" t="s">
        <v>401</v>
      </c>
      <c r="I14" s="119" t="s">
        <v>402</v>
      </c>
      <c r="J14" s="120" t="s">
        <v>2508</v>
      </c>
      <c r="K14" s="120" t="s">
        <v>2508</v>
      </c>
      <c r="L14" s="118"/>
      <c r="M14" s="119"/>
      <c r="N14" s="118"/>
      <c r="O14" s="119"/>
      <c r="P14" s="117" t="s">
        <v>88</v>
      </c>
      <c r="Q14" s="117" t="s">
        <v>44</v>
      </c>
      <c r="R14" s="117" t="b">
        <v>1</v>
      </c>
      <c r="S14" s="117" t="b">
        <v>1</v>
      </c>
      <c r="T14" s="117" t="b">
        <v>1</v>
      </c>
      <c r="U14" s="117" t="b">
        <v>0</v>
      </c>
      <c r="V14" s="117" t="b">
        <v>0</v>
      </c>
      <c r="W14" s="117" t="b">
        <v>1</v>
      </c>
      <c r="X14" s="117" t="b">
        <v>1</v>
      </c>
      <c r="Y14" s="117" t="b">
        <v>0</v>
      </c>
      <c r="Z14" s="117" t="b">
        <v>0</v>
      </c>
      <c r="AA14" s="117"/>
      <c r="AB14" s="117" t="s">
        <v>403</v>
      </c>
      <c r="AC14" s="117"/>
      <c r="AD14" s="117" t="s">
        <v>403</v>
      </c>
      <c r="AE14" s="117" t="s">
        <v>403</v>
      </c>
      <c r="AF14" s="117" t="b">
        <v>0</v>
      </c>
      <c r="AG14" s="117" t="s">
        <v>404</v>
      </c>
      <c r="AH14" s="117">
        <v>3275032209740010</v>
      </c>
      <c r="AI14" s="117" t="s">
        <v>68</v>
      </c>
      <c r="AJ14" s="117" t="s">
        <v>32</v>
      </c>
      <c r="AK14" s="117">
        <v>8568810881</v>
      </c>
      <c r="AL14" s="117">
        <v>6280086422487</v>
      </c>
      <c r="AM14" s="117" t="s">
        <v>406</v>
      </c>
      <c r="AN14" s="117"/>
      <c r="AO14" s="117" t="s">
        <v>407</v>
      </c>
      <c r="AP14" s="117" t="s">
        <v>373</v>
      </c>
      <c r="AQ14" s="117" t="s">
        <v>399</v>
      </c>
      <c r="AR14" s="117" t="s">
        <v>1906</v>
      </c>
      <c r="AS14" s="117" t="s">
        <v>400</v>
      </c>
      <c r="AT14" s="117" t="s">
        <v>1925</v>
      </c>
      <c r="AU14" s="117" t="b">
        <v>1</v>
      </c>
      <c r="AV14" s="117" t="b">
        <v>1</v>
      </c>
      <c r="AW14" s="117" t="s">
        <v>401</v>
      </c>
      <c r="AX14" s="117" t="s">
        <v>402</v>
      </c>
      <c r="AY14" s="117" t="s">
        <v>2096</v>
      </c>
      <c r="AZ14" s="117" t="s">
        <v>2097</v>
      </c>
      <c r="BA14" s="117" t="b">
        <v>1</v>
      </c>
      <c r="BB14" s="117" t="b">
        <v>1</v>
      </c>
      <c r="BC14" s="117"/>
      <c r="BD14" s="117"/>
      <c r="BE14" s="117">
        <v>0</v>
      </c>
    </row>
    <row r="15" spans="1:57" ht="16">
      <c r="A15" s="117" t="s">
        <v>314</v>
      </c>
      <c r="B15" s="117" t="s">
        <v>397</v>
      </c>
      <c r="C15" s="117" t="s">
        <v>398</v>
      </c>
      <c r="D15" s="117" t="s">
        <v>399</v>
      </c>
      <c r="E15" s="117" t="s">
        <v>400</v>
      </c>
      <c r="F15" s="117" t="s">
        <v>415</v>
      </c>
      <c r="G15" s="117" t="s">
        <v>416</v>
      </c>
      <c r="H15" s="118" t="s">
        <v>415</v>
      </c>
      <c r="I15" s="119" t="s">
        <v>416</v>
      </c>
      <c r="J15" s="120" t="s">
        <v>2508</v>
      </c>
      <c r="K15" s="120" t="s">
        <v>2508</v>
      </c>
      <c r="L15" s="118"/>
      <c r="M15" s="119"/>
      <c r="N15" s="118"/>
      <c r="O15" s="119"/>
      <c r="P15" s="117" t="s">
        <v>88</v>
      </c>
      <c r="Q15" s="117" t="s">
        <v>44</v>
      </c>
      <c r="R15" s="117" t="b">
        <v>1</v>
      </c>
      <c r="S15" s="117" t="b">
        <v>1</v>
      </c>
      <c r="T15" s="117" t="b">
        <v>1</v>
      </c>
      <c r="U15" s="117" t="b">
        <v>0</v>
      </c>
      <c r="V15" s="117" t="b">
        <v>0</v>
      </c>
      <c r="W15" s="117" t="b">
        <v>1</v>
      </c>
      <c r="X15" s="117" t="b">
        <v>1</v>
      </c>
      <c r="Y15" s="117" t="b">
        <v>0</v>
      </c>
      <c r="Z15" s="117" t="b">
        <v>0</v>
      </c>
      <c r="AA15" s="117"/>
      <c r="AB15" s="117" t="s">
        <v>417</v>
      </c>
      <c r="AC15" s="117"/>
      <c r="AD15" s="117" t="s">
        <v>417</v>
      </c>
      <c r="AE15" s="117" t="s">
        <v>417</v>
      </c>
      <c r="AF15" s="117" t="b">
        <v>0</v>
      </c>
      <c r="AG15" s="117" t="s">
        <v>418</v>
      </c>
      <c r="AH15" s="117">
        <v>3328051710820000</v>
      </c>
      <c r="AI15" s="117" t="s">
        <v>68</v>
      </c>
      <c r="AJ15" s="117" t="s">
        <v>32</v>
      </c>
      <c r="AK15" s="117">
        <v>85717040506</v>
      </c>
      <c r="AL15" s="117">
        <v>6280086422488</v>
      </c>
      <c r="AM15" s="117" t="s">
        <v>420</v>
      </c>
      <c r="AN15" s="117"/>
      <c r="AO15" s="117" t="s">
        <v>421</v>
      </c>
      <c r="AP15" s="117" t="s">
        <v>373</v>
      </c>
      <c r="AQ15" s="117" t="s">
        <v>399</v>
      </c>
      <c r="AR15" s="117" t="s">
        <v>1906</v>
      </c>
      <c r="AS15" s="117" t="s">
        <v>400</v>
      </c>
      <c r="AT15" s="117" t="s">
        <v>1925</v>
      </c>
      <c r="AU15" s="117" t="b">
        <v>1</v>
      </c>
      <c r="AV15" s="117" t="b">
        <v>1</v>
      </c>
      <c r="AW15" s="117" t="s">
        <v>415</v>
      </c>
      <c r="AX15" s="117" t="s">
        <v>416</v>
      </c>
      <c r="AY15" s="117" t="s">
        <v>2100</v>
      </c>
      <c r="AZ15" s="117" t="s">
        <v>2101</v>
      </c>
      <c r="BA15" s="117" t="b">
        <v>1</v>
      </c>
      <c r="BB15" s="117" t="b">
        <v>1</v>
      </c>
      <c r="BC15" s="117"/>
      <c r="BD15" s="117"/>
      <c r="BE15" s="117">
        <v>0</v>
      </c>
    </row>
    <row r="16" spans="1:57" ht="16">
      <c r="A16" s="117" t="s">
        <v>314</v>
      </c>
      <c r="B16" s="117" t="s">
        <v>397</v>
      </c>
      <c r="C16" s="117" t="s">
        <v>398</v>
      </c>
      <c r="D16" s="117" t="s">
        <v>399</v>
      </c>
      <c r="E16" s="117" t="s">
        <v>400</v>
      </c>
      <c r="F16" s="117" t="s">
        <v>422</v>
      </c>
      <c r="G16" s="117" t="s">
        <v>423</v>
      </c>
      <c r="H16" s="118" t="s">
        <v>422</v>
      </c>
      <c r="I16" s="119" t="s">
        <v>423</v>
      </c>
      <c r="J16" s="120" t="s">
        <v>2508</v>
      </c>
      <c r="K16" s="120" t="s">
        <v>2508</v>
      </c>
      <c r="L16" s="118"/>
      <c r="M16" s="119"/>
      <c r="N16" s="118"/>
      <c r="O16" s="119"/>
      <c r="P16" s="117" t="s">
        <v>88</v>
      </c>
      <c r="Q16" s="117" t="s">
        <v>44</v>
      </c>
      <c r="R16" s="117" t="b">
        <v>1</v>
      </c>
      <c r="S16" s="117" t="b">
        <v>1</v>
      </c>
      <c r="T16" s="117" t="b">
        <v>1</v>
      </c>
      <c r="U16" s="117" t="b">
        <v>0</v>
      </c>
      <c r="V16" s="117" t="b">
        <v>0</v>
      </c>
      <c r="W16" s="117" t="b">
        <v>1</v>
      </c>
      <c r="X16" s="117" t="b">
        <v>1</v>
      </c>
      <c r="Y16" s="117" t="b">
        <v>0</v>
      </c>
      <c r="Z16" s="117" t="b">
        <v>0</v>
      </c>
      <c r="AA16" s="117"/>
      <c r="AB16" s="117" t="s">
        <v>424</v>
      </c>
      <c r="AC16" s="117"/>
      <c r="AD16" s="117" t="s">
        <v>424</v>
      </c>
      <c r="AE16" s="117" t="s">
        <v>424</v>
      </c>
      <c r="AF16" s="117" t="b">
        <v>0</v>
      </c>
      <c r="AG16" s="117" t="s">
        <v>425</v>
      </c>
      <c r="AH16" s="117">
        <v>3275032505940030</v>
      </c>
      <c r="AI16" s="117" t="s">
        <v>68</v>
      </c>
      <c r="AJ16" s="117" t="s">
        <v>32</v>
      </c>
      <c r="AK16" s="117">
        <v>85717185678</v>
      </c>
      <c r="AL16" s="117">
        <v>6280086422483</v>
      </c>
      <c r="AM16" s="117" t="s">
        <v>427</v>
      </c>
      <c r="AN16" s="117"/>
      <c r="AO16" s="117" t="s">
        <v>428</v>
      </c>
      <c r="AP16" s="117" t="s">
        <v>373</v>
      </c>
      <c r="AQ16" s="117" t="s">
        <v>399</v>
      </c>
      <c r="AR16" s="117" t="s">
        <v>1906</v>
      </c>
      <c r="AS16" s="117" t="s">
        <v>400</v>
      </c>
      <c r="AT16" s="117" t="s">
        <v>1925</v>
      </c>
      <c r="AU16" s="117" t="b">
        <v>1</v>
      </c>
      <c r="AV16" s="117" t="b">
        <v>1</v>
      </c>
      <c r="AW16" s="117" t="s">
        <v>422</v>
      </c>
      <c r="AX16" s="117" t="s">
        <v>423</v>
      </c>
      <c r="AY16" s="117" t="s">
        <v>2102</v>
      </c>
      <c r="AZ16" s="117" t="s">
        <v>2103</v>
      </c>
      <c r="BA16" s="117" t="b">
        <v>1</v>
      </c>
      <c r="BB16" s="117" t="b">
        <v>1</v>
      </c>
      <c r="BC16" s="117"/>
      <c r="BD16" s="117"/>
      <c r="BE16" s="117">
        <v>0</v>
      </c>
    </row>
    <row r="17" spans="1:57" ht="16">
      <c r="A17" s="117" t="s">
        <v>314</v>
      </c>
      <c r="B17" s="117" t="s">
        <v>397</v>
      </c>
      <c r="C17" s="117" t="s">
        <v>398</v>
      </c>
      <c r="D17" s="117" t="s">
        <v>399</v>
      </c>
      <c r="E17" s="117" t="s">
        <v>400</v>
      </c>
      <c r="F17" s="117" t="s">
        <v>1630</v>
      </c>
      <c r="G17" s="117" t="s">
        <v>1629</v>
      </c>
      <c r="H17" s="118" t="s">
        <v>1630</v>
      </c>
      <c r="I17" s="119" t="s">
        <v>1629</v>
      </c>
      <c r="J17" s="120" t="s">
        <v>2508</v>
      </c>
      <c r="K17" s="120" t="s">
        <v>2508</v>
      </c>
      <c r="L17" s="118"/>
      <c r="M17" s="119"/>
      <c r="N17" s="118"/>
      <c r="O17" s="119"/>
      <c r="P17" s="117" t="s">
        <v>88</v>
      </c>
      <c r="Q17" s="117" t="s">
        <v>45</v>
      </c>
      <c r="R17" s="117" t="b">
        <v>1</v>
      </c>
      <c r="S17" s="117" t="b">
        <v>1</v>
      </c>
      <c r="T17" s="117" t="b">
        <v>1</v>
      </c>
      <c r="U17" s="117" t="b">
        <v>0</v>
      </c>
      <c r="V17" s="117" t="b">
        <v>0</v>
      </c>
      <c r="W17" s="117" t="b">
        <v>1</v>
      </c>
      <c r="X17" s="117" t="b">
        <v>1</v>
      </c>
      <c r="Y17" s="117" t="b">
        <v>0</v>
      </c>
      <c r="Z17" s="117" t="b">
        <v>0</v>
      </c>
      <c r="AA17" s="117"/>
      <c r="AB17" s="117" t="s">
        <v>1631</v>
      </c>
      <c r="AC17" s="117"/>
      <c r="AD17" s="117" t="s">
        <v>1631</v>
      </c>
      <c r="AE17" s="117" t="s">
        <v>1631</v>
      </c>
      <c r="AF17" s="117"/>
      <c r="AG17" s="117" t="s">
        <v>1632</v>
      </c>
      <c r="AH17" s="117">
        <v>3215061012880000</v>
      </c>
      <c r="AI17" s="117" t="s">
        <v>68</v>
      </c>
      <c r="AJ17" s="117"/>
      <c r="AK17" s="117"/>
      <c r="AL17" s="117">
        <v>6289602778054</v>
      </c>
      <c r="AM17" s="117"/>
      <c r="AN17" s="117"/>
      <c r="AO17" s="117" t="s">
        <v>1634</v>
      </c>
      <c r="AP17" s="117"/>
      <c r="AQ17" s="117" t="s">
        <v>399</v>
      </c>
      <c r="AR17" s="117" t="s">
        <v>1906</v>
      </c>
      <c r="AS17" s="117" t="s">
        <v>400</v>
      </c>
      <c r="AT17" s="117" t="s">
        <v>1925</v>
      </c>
      <c r="AU17" s="117" t="b">
        <v>1</v>
      </c>
      <c r="AV17" s="117" t="b">
        <v>1</v>
      </c>
      <c r="AW17" s="117" t="s">
        <v>1630</v>
      </c>
      <c r="AX17" s="117" t="s">
        <v>1629</v>
      </c>
      <c r="AY17" s="117" t="s">
        <v>2422</v>
      </c>
      <c r="AZ17" s="117" t="s">
        <v>2423</v>
      </c>
      <c r="BA17" s="117" t="b">
        <v>1</v>
      </c>
      <c r="BB17" s="117" t="b">
        <v>1</v>
      </c>
      <c r="BC17" s="117"/>
      <c r="BD17" s="117"/>
      <c r="BE17" s="117">
        <v>0</v>
      </c>
    </row>
    <row r="18" spans="1:57" ht="16">
      <c r="A18" s="117" t="s">
        <v>314</v>
      </c>
      <c r="B18" s="117" t="s">
        <v>397</v>
      </c>
      <c r="C18" s="117" t="s">
        <v>398</v>
      </c>
      <c r="D18" s="117" t="s">
        <v>399</v>
      </c>
      <c r="E18" s="117" t="s">
        <v>400</v>
      </c>
      <c r="F18" s="117" t="s">
        <v>1690</v>
      </c>
      <c r="G18" s="117" t="s">
        <v>1689</v>
      </c>
      <c r="H18" s="118" t="s">
        <v>1690</v>
      </c>
      <c r="I18" s="119" t="s">
        <v>1689</v>
      </c>
      <c r="J18" s="120" t="s">
        <v>2508</v>
      </c>
      <c r="K18" s="120" t="s">
        <v>2508</v>
      </c>
      <c r="L18" s="118"/>
      <c r="M18" s="119"/>
      <c r="N18" s="118"/>
      <c r="O18" s="119"/>
      <c r="P18" s="117" t="s">
        <v>88</v>
      </c>
      <c r="Q18" s="117" t="s">
        <v>45</v>
      </c>
      <c r="R18" s="117" t="b">
        <v>1</v>
      </c>
      <c r="S18" s="117" t="b">
        <v>1</v>
      </c>
      <c r="T18" s="117" t="b">
        <v>1</v>
      </c>
      <c r="U18" s="117" t="b">
        <v>0</v>
      </c>
      <c r="V18" s="117" t="b">
        <v>0</v>
      </c>
      <c r="W18" s="117" t="b">
        <v>1</v>
      </c>
      <c r="X18" s="117" t="b">
        <v>1</v>
      </c>
      <c r="Y18" s="117" t="b">
        <v>0</v>
      </c>
      <c r="Z18" s="117" t="b">
        <v>0</v>
      </c>
      <c r="AA18" s="117"/>
      <c r="AB18" s="117" t="s">
        <v>1691</v>
      </c>
      <c r="AC18" s="117"/>
      <c r="AD18" s="117" t="s">
        <v>1691</v>
      </c>
      <c r="AE18" s="117" t="s">
        <v>1691</v>
      </c>
      <c r="AF18" s="117"/>
      <c r="AG18" s="117" t="s">
        <v>1692</v>
      </c>
      <c r="AH18" s="117">
        <v>3518081405940000</v>
      </c>
      <c r="AI18" s="117" t="s">
        <v>68</v>
      </c>
      <c r="AJ18" s="117"/>
      <c r="AK18" s="117"/>
      <c r="AL18" s="117">
        <v>6289602778053</v>
      </c>
      <c r="AM18" s="117"/>
      <c r="AN18" s="117"/>
      <c r="AO18" s="117" t="s">
        <v>1694</v>
      </c>
      <c r="AP18" s="117"/>
      <c r="AQ18" s="117" t="s">
        <v>399</v>
      </c>
      <c r="AR18" s="117" t="s">
        <v>1906</v>
      </c>
      <c r="AS18" s="117" t="s">
        <v>400</v>
      </c>
      <c r="AT18" s="117" t="s">
        <v>1925</v>
      </c>
      <c r="AU18" s="117" t="b">
        <v>1</v>
      </c>
      <c r="AV18" s="117" t="b">
        <v>1</v>
      </c>
      <c r="AW18" s="117" t="s">
        <v>1690</v>
      </c>
      <c r="AX18" s="117" t="s">
        <v>1689</v>
      </c>
      <c r="AY18" s="117" t="s">
        <v>2440</v>
      </c>
      <c r="AZ18" s="117" t="s">
        <v>2441</v>
      </c>
      <c r="BA18" s="117" t="b">
        <v>1</v>
      </c>
      <c r="BB18" s="117" t="b">
        <v>1</v>
      </c>
      <c r="BC18" s="117"/>
      <c r="BD18" s="117"/>
      <c r="BE18" s="117">
        <v>0</v>
      </c>
    </row>
    <row r="19" spans="1:57" ht="16">
      <c r="A19" s="117" t="s">
        <v>314</v>
      </c>
      <c r="B19" s="117" t="s">
        <v>397</v>
      </c>
      <c r="C19" s="117" t="s">
        <v>398</v>
      </c>
      <c r="D19" s="117" t="s">
        <v>399</v>
      </c>
      <c r="E19" s="117" t="s">
        <v>400</v>
      </c>
      <c r="F19" s="117" t="s">
        <v>1696</v>
      </c>
      <c r="G19" s="117" t="s">
        <v>1695</v>
      </c>
      <c r="H19" s="118" t="s">
        <v>1696</v>
      </c>
      <c r="I19" s="119" t="s">
        <v>1695</v>
      </c>
      <c r="J19" s="120" t="s">
        <v>2508</v>
      </c>
      <c r="K19" s="120" t="s">
        <v>2508</v>
      </c>
      <c r="L19" s="118"/>
      <c r="M19" s="119"/>
      <c r="N19" s="118"/>
      <c r="O19" s="119"/>
      <c r="P19" s="117" t="s">
        <v>88</v>
      </c>
      <c r="Q19" s="117" t="s">
        <v>45</v>
      </c>
      <c r="R19" s="117" t="b">
        <v>1</v>
      </c>
      <c r="S19" s="117" t="b">
        <v>1</v>
      </c>
      <c r="T19" s="117" t="b">
        <v>1</v>
      </c>
      <c r="U19" s="117" t="b">
        <v>0</v>
      </c>
      <c r="V19" s="117" t="b">
        <v>0</v>
      </c>
      <c r="W19" s="117" t="b">
        <v>1</v>
      </c>
      <c r="X19" s="117" t="b">
        <v>1</v>
      </c>
      <c r="Y19" s="117" t="b">
        <v>0</v>
      </c>
      <c r="Z19" s="117" t="b">
        <v>0</v>
      </c>
      <c r="AA19" s="117"/>
      <c r="AB19" s="117" t="s">
        <v>1697</v>
      </c>
      <c r="AC19" s="117"/>
      <c r="AD19" s="117"/>
      <c r="AE19" s="117"/>
      <c r="AF19" s="117"/>
      <c r="AG19" s="117" t="s">
        <v>1698</v>
      </c>
      <c r="AH19" s="117">
        <v>3275020503900010</v>
      </c>
      <c r="AI19" s="117" t="s">
        <v>68</v>
      </c>
      <c r="AJ19" s="117" t="s">
        <v>32</v>
      </c>
      <c r="AK19" s="117"/>
      <c r="AL19" s="117">
        <v>0</v>
      </c>
      <c r="AM19" s="117"/>
      <c r="AN19" s="117"/>
      <c r="AO19" s="117" t="s">
        <v>1700</v>
      </c>
      <c r="AP19" s="117"/>
      <c r="AQ19" s="117" t="s">
        <v>399</v>
      </c>
      <c r="AR19" s="117" t="s">
        <v>1906</v>
      </c>
      <c r="AS19" s="117" t="s">
        <v>400</v>
      </c>
      <c r="AT19" s="117" t="s">
        <v>1925</v>
      </c>
      <c r="AU19" s="117" t="b">
        <v>1</v>
      </c>
      <c r="AV19" s="117" t="b">
        <v>1</v>
      </c>
      <c r="AW19" s="117" t="s">
        <v>1696</v>
      </c>
      <c r="AX19" s="117" t="s">
        <v>1695</v>
      </c>
      <c r="AY19" s="117" t="s">
        <v>2442</v>
      </c>
      <c r="AZ19" s="117" t="s">
        <v>2443</v>
      </c>
      <c r="BA19" s="117" t="b">
        <v>1</v>
      </c>
      <c r="BB19" s="117" t="b">
        <v>1</v>
      </c>
      <c r="BC19" s="117"/>
      <c r="BD19" s="117"/>
      <c r="BE19" s="117">
        <v>0</v>
      </c>
    </row>
    <row r="20" spans="1:57" ht="16">
      <c r="A20" s="117" t="s">
        <v>314</v>
      </c>
      <c r="B20" s="117" t="s">
        <v>356</v>
      </c>
      <c r="C20" s="117" t="s">
        <v>357</v>
      </c>
      <c r="D20" s="117" t="s">
        <v>358</v>
      </c>
      <c r="E20" s="117" t="s">
        <v>359</v>
      </c>
      <c r="F20" s="117" t="s">
        <v>436</v>
      </c>
      <c r="G20" s="117" t="s">
        <v>437</v>
      </c>
      <c r="H20" s="118" t="s">
        <v>436</v>
      </c>
      <c r="I20" s="119" t="s">
        <v>437</v>
      </c>
      <c r="J20" s="120" t="s">
        <v>2508</v>
      </c>
      <c r="K20" s="120" t="s">
        <v>2508</v>
      </c>
      <c r="L20" s="118"/>
      <c r="M20" s="119"/>
      <c r="N20" s="118"/>
      <c r="O20" s="119"/>
      <c r="P20" s="117" t="s">
        <v>88</v>
      </c>
      <c r="Q20" s="117" t="s">
        <v>44</v>
      </c>
      <c r="R20" s="117" t="b">
        <v>1</v>
      </c>
      <c r="S20" s="117" t="b">
        <v>1</v>
      </c>
      <c r="T20" s="117" t="b">
        <v>1</v>
      </c>
      <c r="U20" s="117" t="b">
        <v>0</v>
      </c>
      <c r="V20" s="117" t="b">
        <v>0</v>
      </c>
      <c r="W20" s="117" t="b">
        <v>1</v>
      </c>
      <c r="X20" s="117" t="b">
        <v>1</v>
      </c>
      <c r="Y20" s="117" t="b">
        <v>0</v>
      </c>
      <c r="Z20" s="117" t="b">
        <v>0</v>
      </c>
      <c r="AA20" s="117"/>
      <c r="AB20" s="117" t="s">
        <v>438</v>
      </c>
      <c r="AC20" s="117"/>
      <c r="AD20" s="117" t="s">
        <v>438</v>
      </c>
      <c r="AE20" s="117" t="s">
        <v>438</v>
      </c>
      <c r="AF20" s="117" t="b">
        <v>0</v>
      </c>
      <c r="AG20" s="117" t="s">
        <v>439</v>
      </c>
      <c r="AH20" s="117">
        <v>3201131912890000</v>
      </c>
      <c r="AI20" s="117" t="s">
        <v>68</v>
      </c>
      <c r="AJ20" s="117" t="s">
        <v>32</v>
      </c>
      <c r="AK20" s="117">
        <v>85777510051</v>
      </c>
      <c r="AL20" s="117">
        <v>62857177749007</v>
      </c>
      <c r="AM20" s="117" t="s">
        <v>441</v>
      </c>
      <c r="AN20" s="117"/>
      <c r="AO20" s="117" t="s">
        <v>442</v>
      </c>
      <c r="AP20" s="117" t="s">
        <v>373</v>
      </c>
      <c r="AQ20" s="117" t="s">
        <v>358</v>
      </c>
      <c r="AR20" s="117" t="s">
        <v>1907</v>
      </c>
      <c r="AS20" s="117" t="s">
        <v>359</v>
      </c>
      <c r="AT20" s="117" t="s">
        <v>1924</v>
      </c>
      <c r="AU20" s="117" t="b">
        <v>1</v>
      </c>
      <c r="AV20" s="117" t="b">
        <v>1</v>
      </c>
      <c r="AW20" s="117" t="s">
        <v>436</v>
      </c>
      <c r="AX20" s="117" t="s">
        <v>437</v>
      </c>
      <c r="AY20" s="117" t="s">
        <v>2106</v>
      </c>
      <c r="AZ20" s="117" t="s">
        <v>2107</v>
      </c>
      <c r="BA20" s="117" t="b">
        <v>1</v>
      </c>
      <c r="BB20" s="117" t="b">
        <v>1</v>
      </c>
      <c r="BC20" s="117"/>
      <c r="BD20" s="117"/>
      <c r="BE20" s="117">
        <v>0</v>
      </c>
    </row>
    <row r="21" spans="1:57" ht="16">
      <c r="A21" s="117" t="s">
        <v>314</v>
      </c>
      <c r="B21" s="117" t="s">
        <v>356</v>
      </c>
      <c r="C21" s="117" t="s">
        <v>357</v>
      </c>
      <c r="D21" s="117" t="s">
        <v>358</v>
      </c>
      <c r="E21" s="117" t="s">
        <v>359</v>
      </c>
      <c r="F21" s="117" t="s">
        <v>360</v>
      </c>
      <c r="G21" s="117" t="s">
        <v>361</v>
      </c>
      <c r="H21" s="118" t="s">
        <v>360</v>
      </c>
      <c r="I21" s="119" t="s">
        <v>361</v>
      </c>
      <c r="J21" s="120" t="s">
        <v>2508</v>
      </c>
      <c r="K21" s="120" t="s">
        <v>2508</v>
      </c>
      <c r="L21" s="118"/>
      <c r="M21" s="119"/>
      <c r="N21" s="118"/>
      <c r="O21" s="119"/>
      <c r="P21" s="117" t="s">
        <v>88</v>
      </c>
      <c r="Q21" s="117" t="s">
        <v>45</v>
      </c>
      <c r="R21" s="117" t="b">
        <v>1</v>
      </c>
      <c r="S21" s="117" t="b">
        <v>1</v>
      </c>
      <c r="T21" s="117" t="b">
        <v>1</v>
      </c>
      <c r="U21" s="117" t="b">
        <v>0</v>
      </c>
      <c r="V21" s="117" t="b">
        <v>0</v>
      </c>
      <c r="W21" s="117" t="b">
        <v>1</v>
      </c>
      <c r="X21" s="117" t="b">
        <v>1</v>
      </c>
      <c r="Y21" s="117" t="b">
        <v>0</v>
      </c>
      <c r="Z21" s="117" t="b">
        <v>0</v>
      </c>
      <c r="AA21" s="117"/>
      <c r="AB21" s="117" t="s">
        <v>362</v>
      </c>
      <c r="AC21" s="117"/>
      <c r="AD21" s="117" t="s">
        <v>362</v>
      </c>
      <c r="AE21" s="117" t="s">
        <v>362</v>
      </c>
      <c r="AF21" s="117"/>
      <c r="AG21" s="117" t="s">
        <v>363</v>
      </c>
      <c r="AH21" s="117">
        <v>3275081602940020</v>
      </c>
      <c r="AI21" s="117" t="s">
        <v>68</v>
      </c>
      <c r="AJ21" s="117"/>
      <c r="AK21" s="117"/>
      <c r="AL21" s="117">
        <v>6280086422484</v>
      </c>
      <c r="AM21" s="117"/>
      <c r="AN21" s="117"/>
      <c r="AO21" s="117" t="s">
        <v>365</v>
      </c>
      <c r="AP21" s="117"/>
      <c r="AQ21" s="117" t="s">
        <v>358</v>
      </c>
      <c r="AR21" s="117" t="s">
        <v>1907</v>
      </c>
      <c r="AS21" s="117" t="s">
        <v>359</v>
      </c>
      <c r="AT21" s="117" t="s">
        <v>1924</v>
      </c>
      <c r="AU21" s="117" t="b">
        <v>1</v>
      </c>
      <c r="AV21" s="117" t="b">
        <v>1</v>
      </c>
      <c r="AW21" s="117" t="s">
        <v>360</v>
      </c>
      <c r="AX21" s="117" t="s">
        <v>361</v>
      </c>
      <c r="AY21" s="117" t="s">
        <v>2086</v>
      </c>
      <c r="AZ21" s="117" t="s">
        <v>2087</v>
      </c>
      <c r="BA21" s="117" t="b">
        <v>1</v>
      </c>
      <c r="BB21" s="117" t="b">
        <v>1</v>
      </c>
      <c r="BC21" s="117"/>
      <c r="BD21" s="117"/>
      <c r="BE21" s="117">
        <v>0</v>
      </c>
    </row>
    <row r="22" spans="1:57" ht="16">
      <c r="A22" s="117" t="s">
        <v>314</v>
      </c>
      <c r="B22" s="117" t="s">
        <v>356</v>
      </c>
      <c r="C22" s="117" t="s">
        <v>357</v>
      </c>
      <c r="D22" s="117" t="s">
        <v>358</v>
      </c>
      <c r="E22" s="117" t="s">
        <v>359</v>
      </c>
      <c r="F22" s="117" t="s">
        <v>366</v>
      </c>
      <c r="G22" s="117" t="s">
        <v>367</v>
      </c>
      <c r="H22" s="118" t="s">
        <v>366</v>
      </c>
      <c r="I22" s="119" t="s">
        <v>367</v>
      </c>
      <c r="J22" s="120" t="s">
        <v>2508</v>
      </c>
      <c r="K22" s="120" t="s">
        <v>2508</v>
      </c>
      <c r="L22" s="118"/>
      <c r="M22" s="119"/>
      <c r="N22" s="118"/>
      <c r="O22" s="119"/>
      <c r="P22" s="117" t="s">
        <v>88</v>
      </c>
      <c r="Q22" s="117" t="s">
        <v>44</v>
      </c>
      <c r="R22" s="117" t="b">
        <v>1</v>
      </c>
      <c r="S22" s="117" t="b">
        <v>1</v>
      </c>
      <c r="T22" s="117" t="b">
        <v>1</v>
      </c>
      <c r="U22" s="117" t="b">
        <v>0</v>
      </c>
      <c r="V22" s="117" t="b">
        <v>0</v>
      </c>
      <c r="W22" s="117" t="b">
        <v>1</v>
      </c>
      <c r="X22" s="117" t="b">
        <v>1</v>
      </c>
      <c r="Y22" s="117" t="b">
        <v>0</v>
      </c>
      <c r="Z22" s="117" t="b">
        <v>0</v>
      </c>
      <c r="AA22" s="117"/>
      <c r="AB22" s="117" t="s">
        <v>368</v>
      </c>
      <c r="AC22" s="117"/>
      <c r="AD22" s="117" t="s">
        <v>368</v>
      </c>
      <c r="AE22" s="117" t="s">
        <v>368</v>
      </c>
      <c r="AF22" s="117" t="b">
        <v>0</v>
      </c>
      <c r="AG22" s="117" t="s">
        <v>369</v>
      </c>
      <c r="AH22" s="117">
        <v>3275082608810000</v>
      </c>
      <c r="AI22" s="117" t="s">
        <v>68</v>
      </c>
      <c r="AJ22" s="117" t="s">
        <v>32</v>
      </c>
      <c r="AK22" s="117">
        <v>85711177778</v>
      </c>
      <c r="AL22" s="117">
        <v>62857111777787</v>
      </c>
      <c r="AM22" s="117" t="s">
        <v>371</v>
      </c>
      <c r="AN22" s="117"/>
      <c r="AO22" s="117" t="s">
        <v>372</v>
      </c>
      <c r="AP22" s="117" t="s">
        <v>373</v>
      </c>
      <c r="AQ22" s="117" t="s">
        <v>358</v>
      </c>
      <c r="AR22" s="117" t="s">
        <v>1907</v>
      </c>
      <c r="AS22" s="117" t="s">
        <v>359</v>
      </c>
      <c r="AT22" s="117" t="s">
        <v>1924</v>
      </c>
      <c r="AU22" s="117" t="b">
        <v>1</v>
      </c>
      <c r="AV22" s="117" t="b">
        <v>1</v>
      </c>
      <c r="AW22" s="117" t="s">
        <v>366</v>
      </c>
      <c r="AX22" s="117" t="s">
        <v>367</v>
      </c>
      <c r="AY22" s="117" t="s">
        <v>2088</v>
      </c>
      <c r="AZ22" s="117" t="s">
        <v>2089</v>
      </c>
      <c r="BA22" s="117" t="b">
        <v>1</v>
      </c>
      <c r="BB22" s="117" t="b">
        <v>1</v>
      </c>
      <c r="BC22" s="117"/>
      <c r="BD22" s="117"/>
      <c r="BE22" s="117">
        <v>0</v>
      </c>
    </row>
    <row r="23" spans="1:57" ht="16">
      <c r="A23" s="117" t="s">
        <v>314</v>
      </c>
      <c r="B23" s="117" t="s">
        <v>356</v>
      </c>
      <c r="C23" s="117" t="s">
        <v>357</v>
      </c>
      <c r="D23" s="117" t="s">
        <v>358</v>
      </c>
      <c r="E23" s="117" t="s">
        <v>359</v>
      </c>
      <c r="F23" s="117" t="s">
        <v>374</v>
      </c>
      <c r="G23" s="117" t="s">
        <v>375</v>
      </c>
      <c r="H23" s="118" t="s">
        <v>374</v>
      </c>
      <c r="I23" s="119" t="s">
        <v>375</v>
      </c>
      <c r="J23" s="120" t="s">
        <v>2508</v>
      </c>
      <c r="K23" s="120" t="s">
        <v>2508</v>
      </c>
      <c r="L23" s="118"/>
      <c r="M23" s="119"/>
      <c r="N23" s="118"/>
      <c r="O23" s="119"/>
      <c r="P23" s="117" t="s">
        <v>88</v>
      </c>
      <c r="Q23" s="117" t="s">
        <v>44</v>
      </c>
      <c r="R23" s="117" t="b">
        <v>1</v>
      </c>
      <c r="S23" s="117" t="b">
        <v>1</v>
      </c>
      <c r="T23" s="117" t="b">
        <v>1</v>
      </c>
      <c r="U23" s="117" t="b">
        <v>0</v>
      </c>
      <c r="V23" s="117" t="b">
        <v>0</v>
      </c>
      <c r="W23" s="117" t="b">
        <v>1</v>
      </c>
      <c r="X23" s="117" t="b">
        <v>1</v>
      </c>
      <c r="Y23" s="117" t="b">
        <v>0</v>
      </c>
      <c r="Z23" s="117" t="b">
        <v>0</v>
      </c>
      <c r="AA23" s="117"/>
      <c r="AB23" s="117" t="s">
        <v>376</v>
      </c>
      <c r="AC23" s="117"/>
      <c r="AD23" s="117" t="s">
        <v>376</v>
      </c>
      <c r="AE23" s="117" t="s">
        <v>376</v>
      </c>
      <c r="AF23" s="117" t="b">
        <v>0</v>
      </c>
      <c r="AG23" s="117" t="s">
        <v>377</v>
      </c>
      <c r="AH23" s="117">
        <v>3175081507900000</v>
      </c>
      <c r="AI23" s="117" t="s">
        <v>68</v>
      </c>
      <c r="AJ23" s="117" t="s">
        <v>32</v>
      </c>
      <c r="AK23" s="117">
        <v>85711116669</v>
      </c>
      <c r="AL23" s="117">
        <v>62857111166697</v>
      </c>
      <c r="AM23" s="117" t="s">
        <v>379</v>
      </c>
      <c r="AN23" s="117"/>
      <c r="AO23" s="117" t="s">
        <v>380</v>
      </c>
      <c r="AP23" s="117" t="s">
        <v>373</v>
      </c>
      <c r="AQ23" s="117" t="s">
        <v>358</v>
      </c>
      <c r="AR23" s="117" t="s">
        <v>1907</v>
      </c>
      <c r="AS23" s="117" t="s">
        <v>359</v>
      </c>
      <c r="AT23" s="117" t="s">
        <v>1924</v>
      </c>
      <c r="AU23" s="117" t="b">
        <v>1</v>
      </c>
      <c r="AV23" s="117" t="b">
        <v>1</v>
      </c>
      <c r="AW23" s="117" t="s">
        <v>374</v>
      </c>
      <c r="AX23" s="117" t="s">
        <v>375</v>
      </c>
      <c r="AY23" s="117" t="s">
        <v>2090</v>
      </c>
      <c r="AZ23" s="117" t="s">
        <v>2091</v>
      </c>
      <c r="BA23" s="117" t="b">
        <v>1</v>
      </c>
      <c r="BB23" s="117" t="b">
        <v>1</v>
      </c>
      <c r="BC23" s="117"/>
      <c r="BD23" s="117"/>
      <c r="BE23" s="117">
        <v>0</v>
      </c>
    </row>
    <row r="24" spans="1:57" ht="16">
      <c r="A24" s="117" t="s">
        <v>314</v>
      </c>
      <c r="B24" s="117" t="s">
        <v>356</v>
      </c>
      <c r="C24" s="117" t="s">
        <v>357</v>
      </c>
      <c r="D24" s="117" t="s">
        <v>358</v>
      </c>
      <c r="E24" s="117" t="s">
        <v>359</v>
      </c>
      <c r="F24" s="117" t="s">
        <v>429</v>
      </c>
      <c r="G24" s="117" t="s">
        <v>430</v>
      </c>
      <c r="H24" s="118" t="s">
        <v>429</v>
      </c>
      <c r="I24" s="119" t="s">
        <v>430</v>
      </c>
      <c r="J24" s="120" t="s">
        <v>2508</v>
      </c>
      <c r="K24" s="120" t="s">
        <v>2508</v>
      </c>
      <c r="L24" s="118"/>
      <c r="M24" s="119"/>
      <c r="N24" s="118"/>
      <c r="O24" s="119"/>
      <c r="P24" s="117" t="s">
        <v>88</v>
      </c>
      <c r="Q24" s="117" t="s">
        <v>44</v>
      </c>
      <c r="R24" s="117" t="b">
        <v>1</v>
      </c>
      <c r="S24" s="117" t="b">
        <v>1</v>
      </c>
      <c r="T24" s="117" t="b">
        <v>1</v>
      </c>
      <c r="U24" s="117" t="b">
        <v>0</v>
      </c>
      <c r="V24" s="117" t="b">
        <v>0</v>
      </c>
      <c r="W24" s="117" t="b">
        <v>1</v>
      </c>
      <c r="X24" s="117" t="b">
        <v>1</v>
      </c>
      <c r="Y24" s="117" t="b">
        <v>0</v>
      </c>
      <c r="Z24" s="117" t="b">
        <v>0</v>
      </c>
      <c r="AA24" s="117"/>
      <c r="AB24" s="117" t="s">
        <v>431</v>
      </c>
      <c r="AC24" s="117"/>
      <c r="AD24" s="117" t="s">
        <v>431</v>
      </c>
      <c r="AE24" s="117" t="s">
        <v>431</v>
      </c>
      <c r="AF24" s="117" t="b">
        <v>0</v>
      </c>
      <c r="AG24" s="117" t="s">
        <v>432</v>
      </c>
      <c r="AH24" s="117">
        <v>3275091111900030</v>
      </c>
      <c r="AI24" s="117" t="s">
        <v>68</v>
      </c>
      <c r="AJ24" s="117" t="s">
        <v>32</v>
      </c>
      <c r="AK24" s="117">
        <v>85770070006</v>
      </c>
      <c r="AL24" s="117">
        <v>6285770070006</v>
      </c>
      <c r="AM24" s="117" t="s">
        <v>434</v>
      </c>
      <c r="AN24" s="117"/>
      <c r="AO24" s="117" t="s">
        <v>435</v>
      </c>
      <c r="AP24" s="117" t="s">
        <v>373</v>
      </c>
      <c r="AQ24" s="117" t="s">
        <v>358</v>
      </c>
      <c r="AR24" s="117" t="s">
        <v>1907</v>
      </c>
      <c r="AS24" s="117" t="s">
        <v>359</v>
      </c>
      <c r="AT24" s="117" t="s">
        <v>1924</v>
      </c>
      <c r="AU24" s="117" t="b">
        <v>1</v>
      </c>
      <c r="AV24" s="117" t="b">
        <v>1</v>
      </c>
      <c r="AW24" s="117" t="s">
        <v>429</v>
      </c>
      <c r="AX24" s="117" t="s">
        <v>430</v>
      </c>
      <c r="AY24" s="117" t="s">
        <v>2104</v>
      </c>
      <c r="AZ24" s="117" t="s">
        <v>2105</v>
      </c>
      <c r="BA24" s="117" t="b">
        <v>1</v>
      </c>
      <c r="BB24" s="117" t="b">
        <v>1</v>
      </c>
      <c r="BC24" s="117"/>
      <c r="BD24" s="117"/>
      <c r="BE24" s="117">
        <v>0</v>
      </c>
    </row>
    <row r="25" spans="1:57" ht="16">
      <c r="A25" s="117" t="s">
        <v>314</v>
      </c>
      <c r="B25" s="117" t="s">
        <v>356</v>
      </c>
      <c r="C25" s="117" t="s">
        <v>357</v>
      </c>
      <c r="D25" s="117" t="s">
        <v>358</v>
      </c>
      <c r="E25" s="117" t="s">
        <v>359</v>
      </c>
      <c r="F25" s="117" t="s">
        <v>1447</v>
      </c>
      <c r="G25" s="117" t="s">
        <v>1446</v>
      </c>
      <c r="H25" s="118" t="s">
        <v>1447</v>
      </c>
      <c r="I25" s="119" t="s">
        <v>1446</v>
      </c>
      <c r="J25" s="120" t="s">
        <v>2508</v>
      </c>
      <c r="K25" s="120" t="s">
        <v>2508</v>
      </c>
      <c r="L25" s="118"/>
      <c r="M25" s="119"/>
      <c r="N25" s="118"/>
      <c r="O25" s="119"/>
      <c r="P25" s="117" t="s">
        <v>88</v>
      </c>
      <c r="Q25" s="117" t="s">
        <v>45</v>
      </c>
      <c r="R25" s="117" t="b">
        <v>1</v>
      </c>
      <c r="S25" s="117" t="b">
        <v>1</v>
      </c>
      <c r="T25" s="117" t="b">
        <v>1</v>
      </c>
      <c r="U25" s="117" t="b">
        <v>0</v>
      </c>
      <c r="V25" s="117" t="b">
        <v>0</v>
      </c>
      <c r="W25" s="117" t="b">
        <v>1</v>
      </c>
      <c r="X25" s="117" t="b">
        <v>1</v>
      </c>
      <c r="Y25" s="117" t="b">
        <v>0</v>
      </c>
      <c r="Z25" s="117" t="b">
        <v>0</v>
      </c>
      <c r="AA25" s="117"/>
      <c r="AB25" s="117" t="s">
        <v>1448</v>
      </c>
      <c r="AC25" s="117"/>
      <c r="AD25" s="117" t="s">
        <v>1448</v>
      </c>
      <c r="AE25" s="117" t="s">
        <v>1448</v>
      </c>
      <c r="AF25" s="117"/>
      <c r="AG25" s="117" t="s">
        <v>1449</v>
      </c>
      <c r="AH25" s="117">
        <v>3275092707870010</v>
      </c>
      <c r="AI25" s="117" t="s">
        <v>68</v>
      </c>
      <c r="AJ25" s="117"/>
      <c r="AK25" s="117"/>
      <c r="AL25" s="117">
        <v>6289602778073</v>
      </c>
      <c r="AM25" s="117"/>
      <c r="AN25" s="117"/>
      <c r="AO25" s="117" t="s">
        <v>1451</v>
      </c>
      <c r="AP25" s="117"/>
      <c r="AQ25" s="117" t="s">
        <v>358</v>
      </c>
      <c r="AR25" s="117" t="s">
        <v>1907</v>
      </c>
      <c r="AS25" s="117" t="s">
        <v>359</v>
      </c>
      <c r="AT25" s="117" t="s">
        <v>1924</v>
      </c>
      <c r="AU25" s="117" t="b">
        <v>1</v>
      </c>
      <c r="AV25" s="117" t="b">
        <v>1</v>
      </c>
      <c r="AW25" s="117" t="s">
        <v>1447</v>
      </c>
      <c r="AX25" s="117" t="s">
        <v>1446</v>
      </c>
      <c r="AY25" s="117" t="s">
        <v>2374</v>
      </c>
      <c r="AZ25" s="117" t="s">
        <v>2375</v>
      </c>
      <c r="BA25" s="117" t="b">
        <v>1</v>
      </c>
      <c r="BB25" s="117" t="b">
        <v>1</v>
      </c>
      <c r="BC25" s="117"/>
      <c r="BD25" s="117"/>
      <c r="BE25" s="117">
        <v>0</v>
      </c>
    </row>
    <row r="26" spans="1:57" ht="16">
      <c r="A26" s="117" t="s">
        <v>314</v>
      </c>
      <c r="B26" s="117" t="s">
        <v>356</v>
      </c>
      <c r="C26" s="117" t="s">
        <v>357</v>
      </c>
      <c r="D26" s="117" t="s">
        <v>358</v>
      </c>
      <c r="E26" s="117" t="s">
        <v>359</v>
      </c>
      <c r="F26" s="117" t="s">
        <v>1548</v>
      </c>
      <c r="G26" s="117" t="s">
        <v>1547</v>
      </c>
      <c r="H26" s="118" t="s">
        <v>1548</v>
      </c>
      <c r="I26" s="119" t="s">
        <v>1547</v>
      </c>
      <c r="J26" s="120" t="s">
        <v>2508</v>
      </c>
      <c r="K26" s="120" t="s">
        <v>2508</v>
      </c>
      <c r="L26" s="118"/>
      <c r="M26" s="119"/>
      <c r="N26" s="118"/>
      <c r="O26" s="119"/>
      <c r="P26" s="117" t="s">
        <v>88</v>
      </c>
      <c r="Q26" s="117" t="s">
        <v>44</v>
      </c>
      <c r="R26" s="117" t="b">
        <v>1</v>
      </c>
      <c r="S26" s="117" t="b">
        <v>1</v>
      </c>
      <c r="T26" s="117" t="b">
        <v>1</v>
      </c>
      <c r="U26" s="117" t="b">
        <v>0</v>
      </c>
      <c r="V26" s="117" t="b">
        <v>0</v>
      </c>
      <c r="W26" s="117" t="b">
        <v>1</v>
      </c>
      <c r="X26" s="117" t="b">
        <v>1</v>
      </c>
      <c r="Y26" s="117" t="b">
        <v>0</v>
      </c>
      <c r="Z26" s="117" t="b">
        <v>0</v>
      </c>
      <c r="AA26" s="117"/>
      <c r="AB26" s="117" t="s">
        <v>1549</v>
      </c>
      <c r="AC26" s="117"/>
      <c r="AD26" s="117" t="s">
        <v>1549</v>
      </c>
      <c r="AE26" s="117" t="s">
        <v>1549</v>
      </c>
      <c r="AF26" s="117" t="b">
        <v>0</v>
      </c>
      <c r="AG26" s="117" t="s">
        <v>1550</v>
      </c>
      <c r="AH26" s="117">
        <v>3275091902840010</v>
      </c>
      <c r="AI26" s="117" t="s">
        <v>68</v>
      </c>
      <c r="AJ26" s="117" t="s">
        <v>32</v>
      </c>
      <c r="AK26" s="117">
        <v>8985560042</v>
      </c>
      <c r="AL26" s="117">
        <v>628985560042</v>
      </c>
      <c r="AM26" s="117" t="s">
        <v>1553</v>
      </c>
      <c r="AN26" s="117"/>
      <c r="AO26" s="117" t="s">
        <v>1554</v>
      </c>
      <c r="AP26" s="117" t="s">
        <v>373</v>
      </c>
      <c r="AQ26" s="117" t="s">
        <v>358</v>
      </c>
      <c r="AR26" s="117" t="s">
        <v>1907</v>
      </c>
      <c r="AS26" s="117" t="s">
        <v>359</v>
      </c>
      <c r="AT26" s="117" t="s">
        <v>1924</v>
      </c>
      <c r="AU26" s="117" t="b">
        <v>1</v>
      </c>
      <c r="AV26" s="117" t="b">
        <v>1</v>
      </c>
      <c r="AW26" s="117" t="s">
        <v>1548</v>
      </c>
      <c r="AX26" s="117" t="s">
        <v>1547</v>
      </c>
      <c r="AY26" s="117" t="s">
        <v>2402</v>
      </c>
      <c r="AZ26" s="117" t="s">
        <v>2403</v>
      </c>
      <c r="BA26" s="117" t="b">
        <v>1</v>
      </c>
      <c r="BB26" s="117" t="b">
        <v>1</v>
      </c>
      <c r="BC26" s="117"/>
      <c r="BD26" s="117"/>
      <c r="BE26" s="117">
        <v>0</v>
      </c>
    </row>
    <row r="27" spans="1:57" ht="16">
      <c r="A27" s="117" t="s">
        <v>314</v>
      </c>
      <c r="B27" s="117" t="s">
        <v>356</v>
      </c>
      <c r="C27" s="117" t="s">
        <v>357</v>
      </c>
      <c r="D27" s="117" t="s">
        <v>358</v>
      </c>
      <c r="E27" s="117" t="s">
        <v>359</v>
      </c>
      <c r="F27" s="117" t="s">
        <v>1618</v>
      </c>
      <c r="G27" s="117" t="s">
        <v>1617</v>
      </c>
      <c r="H27" s="118" t="s">
        <v>1618</v>
      </c>
      <c r="I27" s="119" t="s">
        <v>1617</v>
      </c>
      <c r="J27" s="120" t="s">
        <v>2508</v>
      </c>
      <c r="K27" s="120" t="s">
        <v>2508</v>
      </c>
      <c r="L27" s="118"/>
      <c r="M27" s="119"/>
      <c r="N27" s="118"/>
      <c r="O27" s="119"/>
      <c r="P27" s="117" t="s">
        <v>88</v>
      </c>
      <c r="Q27" s="117" t="s">
        <v>45</v>
      </c>
      <c r="R27" s="117" t="b">
        <v>1</v>
      </c>
      <c r="S27" s="117" t="b">
        <v>1</v>
      </c>
      <c r="T27" s="117" t="b">
        <v>1</v>
      </c>
      <c r="U27" s="117" t="b">
        <v>0</v>
      </c>
      <c r="V27" s="117" t="b">
        <v>0</v>
      </c>
      <c r="W27" s="117" t="b">
        <v>1</v>
      </c>
      <c r="X27" s="117" t="b">
        <v>1</v>
      </c>
      <c r="Y27" s="117" t="b">
        <v>0</v>
      </c>
      <c r="Z27" s="117" t="b">
        <v>0</v>
      </c>
      <c r="AA27" s="117"/>
      <c r="AB27" s="117" t="s">
        <v>1619</v>
      </c>
      <c r="AC27" s="117"/>
      <c r="AD27" s="117" t="s">
        <v>1619</v>
      </c>
      <c r="AE27" s="117" t="s">
        <v>1619</v>
      </c>
      <c r="AF27" s="117"/>
      <c r="AG27" s="117" t="s">
        <v>1620</v>
      </c>
      <c r="AH27" s="117">
        <v>3275082707960020</v>
      </c>
      <c r="AI27" s="117" t="s">
        <v>68</v>
      </c>
      <c r="AJ27" s="117"/>
      <c r="AK27" s="117"/>
      <c r="AL27" s="117">
        <v>6289602778079</v>
      </c>
      <c r="AM27" s="117"/>
      <c r="AN27" s="117"/>
      <c r="AO27" s="117" t="s">
        <v>1622</v>
      </c>
      <c r="AP27" s="117"/>
      <c r="AQ27" s="117" t="s">
        <v>358</v>
      </c>
      <c r="AR27" s="117" t="s">
        <v>1907</v>
      </c>
      <c r="AS27" s="117" t="s">
        <v>359</v>
      </c>
      <c r="AT27" s="117" t="s">
        <v>1924</v>
      </c>
      <c r="AU27" s="117" t="b">
        <v>1</v>
      </c>
      <c r="AV27" s="117" t="b">
        <v>1</v>
      </c>
      <c r="AW27" s="117" t="s">
        <v>1618</v>
      </c>
      <c r="AX27" s="117" t="s">
        <v>1617</v>
      </c>
      <c r="AY27" s="117" t="s">
        <v>2418</v>
      </c>
      <c r="AZ27" s="117" t="s">
        <v>2419</v>
      </c>
      <c r="BA27" s="117" t="b">
        <v>1</v>
      </c>
      <c r="BB27" s="117" t="b">
        <v>1</v>
      </c>
      <c r="BC27" s="117"/>
      <c r="BD27" s="117"/>
      <c r="BE27" s="117">
        <v>0</v>
      </c>
    </row>
    <row r="28" spans="1:57" ht="16">
      <c r="A28" s="117" t="s">
        <v>314</v>
      </c>
      <c r="B28" s="117" t="s">
        <v>315</v>
      </c>
      <c r="C28" s="117" t="s">
        <v>316</v>
      </c>
      <c r="D28" s="117" t="s">
        <v>317</v>
      </c>
      <c r="E28" s="117" t="s">
        <v>318</v>
      </c>
      <c r="F28" s="117" t="s">
        <v>320</v>
      </c>
      <c r="G28" s="117" t="s">
        <v>321</v>
      </c>
      <c r="H28" s="118" t="s">
        <v>320</v>
      </c>
      <c r="I28" s="119" t="s">
        <v>321</v>
      </c>
      <c r="J28" s="120" t="s">
        <v>2508</v>
      </c>
      <c r="K28" s="120" t="s">
        <v>2508</v>
      </c>
      <c r="L28" s="118"/>
      <c r="M28" s="119"/>
      <c r="N28" s="118"/>
      <c r="O28" s="119"/>
      <c r="P28" s="117" t="s">
        <v>88</v>
      </c>
      <c r="Q28" s="117" t="s">
        <v>45</v>
      </c>
      <c r="R28" s="117" t="b">
        <v>1</v>
      </c>
      <c r="S28" s="117" t="b">
        <v>1</v>
      </c>
      <c r="T28" s="117" t="b">
        <v>1</v>
      </c>
      <c r="U28" s="117" t="b">
        <v>0</v>
      </c>
      <c r="V28" s="117" t="b">
        <v>0</v>
      </c>
      <c r="W28" s="117" t="b">
        <v>1</v>
      </c>
      <c r="X28" s="117" t="b">
        <v>1</v>
      </c>
      <c r="Y28" s="117" t="b">
        <v>0</v>
      </c>
      <c r="Z28" s="117" t="b">
        <v>0</v>
      </c>
      <c r="AA28" s="117"/>
      <c r="AB28" s="117" t="s">
        <v>322</v>
      </c>
      <c r="AC28" s="117"/>
      <c r="AD28" s="117" t="s">
        <v>322</v>
      </c>
      <c r="AE28" s="117" t="s">
        <v>322</v>
      </c>
      <c r="AF28" s="117"/>
      <c r="AG28" s="117" t="s">
        <v>323</v>
      </c>
      <c r="AH28" s="117">
        <v>3201170809850000</v>
      </c>
      <c r="AI28" s="117" t="s">
        <v>68</v>
      </c>
      <c r="AJ28" s="117"/>
      <c r="AK28" s="117"/>
      <c r="AL28" s="117">
        <v>628166333327</v>
      </c>
      <c r="AM28" s="117"/>
      <c r="AN28" s="117"/>
      <c r="AO28" s="117" t="s">
        <v>325</v>
      </c>
      <c r="AP28" s="117"/>
      <c r="AQ28" s="117" t="s">
        <v>317</v>
      </c>
      <c r="AR28" s="117" t="s">
        <v>1907</v>
      </c>
      <c r="AS28" s="117" t="s">
        <v>318</v>
      </c>
      <c r="AT28" s="117" t="s">
        <v>1923</v>
      </c>
      <c r="AU28" s="117" t="b">
        <v>1</v>
      </c>
      <c r="AV28" s="117" t="b">
        <v>1</v>
      </c>
      <c r="AW28" s="117" t="s">
        <v>320</v>
      </c>
      <c r="AX28" s="117" t="s">
        <v>321</v>
      </c>
      <c r="AY28" s="117" t="s">
        <v>2074</v>
      </c>
      <c r="AZ28" s="117" t="s">
        <v>2075</v>
      </c>
      <c r="BA28" s="117" t="b">
        <v>1</v>
      </c>
      <c r="BB28" s="117" t="b">
        <v>1</v>
      </c>
      <c r="BC28" s="117"/>
      <c r="BD28" s="117"/>
      <c r="BE28" s="117">
        <v>0</v>
      </c>
    </row>
    <row r="29" spans="1:57" ht="16">
      <c r="A29" s="117" t="s">
        <v>314</v>
      </c>
      <c r="B29" s="117" t="s">
        <v>315</v>
      </c>
      <c r="C29" s="117" t="s">
        <v>316</v>
      </c>
      <c r="D29" s="117" t="s">
        <v>317</v>
      </c>
      <c r="E29" s="117" t="s">
        <v>318</v>
      </c>
      <c r="F29" s="117" t="s">
        <v>326</v>
      </c>
      <c r="G29" s="117" t="s">
        <v>327</v>
      </c>
      <c r="H29" s="118" t="s">
        <v>326</v>
      </c>
      <c r="I29" s="119" t="s">
        <v>327</v>
      </c>
      <c r="J29" s="120" t="s">
        <v>2508</v>
      </c>
      <c r="K29" s="120" t="s">
        <v>2508</v>
      </c>
      <c r="L29" s="118"/>
      <c r="M29" s="119"/>
      <c r="N29" s="118"/>
      <c r="O29" s="119"/>
      <c r="P29" s="117" t="s">
        <v>88</v>
      </c>
      <c r="Q29" s="117" t="s">
        <v>45</v>
      </c>
      <c r="R29" s="117" t="b">
        <v>1</v>
      </c>
      <c r="S29" s="117" t="b">
        <v>1</v>
      </c>
      <c r="T29" s="117" t="b">
        <v>1</v>
      </c>
      <c r="U29" s="117" t="b">
        <v>0</v>
      </c>
      <c r="V29" s="117" t="b">
        <v>0</v>
      </c>
      <c r="W29" s="117" t="b">
        <v>1</v>
      </c>
      <c r="X29" s="117" t="b">
        <v>1</v>
      </c>
      <c r="Y29" s="117" t="b">
        <v>0</v>
      </c>
      <c r="Z29" s="117" t="b">
        <v>0</v>
      </c>
      <c r="AA29" s="117"/>
      <c r="AB29" s="117" t="s">
        <v>328</v>
      </c>
      <c r="AC29" s="117"/>
      <c r="AD29" s="117" t="s">
        <v>328</v>
      </c>
      <c r="AE29" s="117" t="s">
        <v>328</v>
      </c>
      <c r="AF29" s="117"/>
      <c r="AG29" s="117" t="s">
        <v>329</v>
      </c>
      <c r="AH29" s="117">
        <v>3275081611870010</v>
      </c>
      <c r="AI29" s="117" t="s">
        <v>68</v>
      </c>
      <c r="AJ29" s="117"/>
      <c r="AK29" s="117"/>
      <c r="AL29" s="117">
        <v>628165671777</v>
      </c>
      <c r="AM29" s="117"/>
      <c r="AN29" s="117"/>
      <c r="AO29" s="117" t="s">
        <v>331</v>
      </c>
      <c r="AP29" s="117"/>
      <c r="AQ29" s="117" t="s">
        <v>317</v>
      </c>
      <c r="AR29" s="117" t="s">
        <v>1907</v>
      </c>
      <c r="AS29" s="117" t="s">
        <v>318</v>
      </c>
      <c r="AT29" s="117" t="s">
        <v>1923</v>
      </c>
      <c r="AU29" s="117" t="b">
        <v>1</v>
      </c>
      <c r="AV29" s="117" t="b">
        <v>1</v>
      </c>
      <c r="AW29" s="117" t="s">
        <v>326</v>
      </c>
      <c r="AX29" s="117" t="s">
        <v>327</v>
      </c>
      <c r="AY29" s="117" t="s">
        <v>2076</v>
      </c>
      <c r="AZ29" s="117" t="s">
        <v>2077</v>
      </c>
      <c r="BA29" s="117" t="b">
        <v>1</v>
      </c>
      <c r="BB29" s="117" t="b">
        <v>1</v>
      </c>
      <c r="BC29" s="117"/>
      <c r="BD29" s="117"/>
      <c r="BE29" s="117">
        <v>0</v>
      </c>
    </row>
    <row r="30" spans="1:57" ht="16">
      <c r="A30" s="117" t="s">
        <v>314</v>
      </c>
      <c r="B30" s="117" t="s">
        <v>315</v>
      </c>
      <c r="C30" s="117" t="s">
        <v>316</v>
      </c>
      <c r="D30" s="117" t="s">
        <v>317</v>
      </c>
      <c r="E30" s="117" t="s">
        <v>318</v>
      </c>
      <c r="F30" s="117" t="s">
        <v>332</v>
      </c>
      <c r="G30" s="117" t="s">
        <v>333</v>
      </c>
      <c r="H30" s="118" t="s">
        <v>332</v>
      </c>
      <c r="I30" s="119" t="s">
        <v>333</v>
      </c>
      <c r="J30" s="120" t="s">
        <v>2508</v>
      </c>
      <c r="K30" s="120" t="s">
        <v>2508</v>
      </c>
      <c r="L30" s="118"/>
      <c r="M30" s="119"/>
      <c r="N30" s="118"/>
      <c r="O30" s="119"/>
      <c r="P30" s="117" t="s">
        <v>88</v>
      </c>
      <c r="Q30" s="117" t="s">
        <v>45</v>
      </c>
      <c r="R30" s="117" t="b">
        <v>1</v>
      </c>
      <c r="S30" s="117" t="b">
        <v>1</v>
      </c>
      <c r="T30" s="117" t="b">
        <v>1</v>
      </c>
      <c r="U30" s="117" t="b">
        <v>0</v>
      </c>
      <c r="V30" s="117" t="b">
        <v>0</v>
      </c>
      <c r="W30" s="117" t="b">
        <v>1</v>
      </c>
      <c r="X30" s="117" t="b">
        <v>1</v>
      </c>
      <c r="Y30" s="117" t="b">
        <v>0</v>
      </c>
      <c r="Z30" s="117" t="b">
        <v>0</v>
      </c>
      <c r="AA30" s="117"/>
      <c r="AB30" s="117" t="s">
        <v>334</v>
      </c>
      <c r="AC30" s="117"/>
      <c r="AD30" s="117" t="s">
        <v>334</v>
      </c>
      <c r="AE30" s="117" t="s">
        <v>334</v>
      </c>
      <c r="AF30" s="117"/>
      <c r="AG30" s="117" t="s">
        <v>335</v>
      </c>
      <c r="AH30" s="117">
        <v>3175071504820010</v>
      </c>
      <c r="AI30" s="117" t="s">
        <v>68</v>
      </c>
      <c r="AJ30" s="117"/>
      <c r="AK30" s="117"/>
      <c r="AL30" s="117">
        <v>62858940940827</v>
      </c>
      <c r="AM30" s="117"/>
      <c r="AN30" s="117"/>
      <c r="AO30" s="117" t="s">
        <v>337</v>
      </c>
      <c r="AP30" s="117"/>
      <c r="AQ30" s="117" t="s">
        <v>317</v>
      </c>
      <c r="AR30" s="117" t="s">
        <v>1907</v>
      </c>
      <c r="AS30" s="117" t="s">
        <v>318</v>
      </c>
      <c r="AT30" s="117" t="s">
        <v>1923</v>
      </c>
      <c r="AU30" s="117" t="b">
        <v>1</v>
      </c>
      <c r="AV30" s="117" t="b">
        <v>1</v>
      </c>
      <c r="AW30" s="117" t="s">
        <v>332</v>
      </c>
      <c r="AX30" s="117" t="s">
        <v>333</v>
      </c>
      <c r="AY30" s="117" t="s">
        <v>2078</v>
      </c>
      <c r="AZ30" s="117" t="s">
        <v>2079</v>
      </c>
      <c r="BA30" s="117" t="b">
        <v>1</v>
      </c>
      <c r="BB30" s="117" t="b">
        <v>1</v>
      </c>
      <c r="BC30" s="117"/>
      <c r="BD30" s="117"/>
      <c r="BE30" s="117">
        <v>0</v>
      </c>
    </row>
    <row r="31" spans="1:57" ht="16">
      <c r="A31" s="117" t="s">
        <v>314</v>
      </c>
      <c r="B31" s="117" t="s">
        <v>315</v>
      </c>
      <c r="C31" s="117" t="s">
        <v>316</v>
      </c>
      <c r="D31" s="117" t="s">
        <v>317</v>
      </c>
      <c r="E31" s="117" t="s">
        <v>318</v>
      </c>
      <c r="F31" s="117" t="s">
        <v>338</v>
      </c>
      <c r="G31" s="117" t="s">
        <v>339</v>
      </c>
      <c r="H31" s="118" t="s">
        <v>338</v>
      </c>
      <c r="I31" s="119" t="s">
        <v>339</v>
      </c>
      <c r="J31" s="120" t="s">
        <v>2508</v>
      </c>
      <c r="K31" s="120" t="s">
        <v>2508</v>
      </c>
      <c r="L31" s="118"/>
      <c r="M31" s="119"/>
      <c r="N31" s="118"/>
      <c r="O31" s="119"/>
      <c r="P31" s="117" t="s">
        <v>88</v>
      </c>
      <c r="Q31" s="117" t="s">
        <v>45</v>
      </c>
      <c r="R31" s="117" t="b">
        <v>1</v>
      </c>
      <c r="S31" s="117" t="b">
        <v>1</v>
      </c>
      <c r="T31" s="117" t="b">
        <v>1</v>
      </c>
      <c r="U31" s="117" t="b">
        <v>0</v>
      </c>
      <c r="V31" s="117" t="b">
        <v>0</v>
      </c>
      <c r="W31" s="117" t="b">
        <v>1</v>
      </c>
      <c r="X31" s="117" t="b">
        <v>1</v>
      </c>
      <c r="Y31" s="117" t="b">
        <v>0</v>
      </c>
      <c r="Z31" s="117" t="b">
        <v>0</v>
      </c>
      <c r="AA31" s="117"/>
      <c r="AB31" s="117" t="s">
        <v>340</v>
      </c>
      <c r="AC31" s="117"/>
      <c r="AD31" s="117" t="s">
        <v>340</v>
      </c>
      <c r="AE31" s="117" t="s">
        <v>340</v>
      </c>
      <c r="AF31" s="117"/>
      <c r="AG31" s="117" t="s">
        <v>341</v>
      </c>
      <c r="AH31" s="117">
        <v>3175072710880010</v>
      </c>
      <c r="AI31" s="117" t="s">
        <v>68</v>
      </c>
      <c r="AJ31" s="117"/>
      <c r="AK31" s="117"/>
      <c r="AL31" s="117">
        <v>62857765555347</v>
      </c>
      <c r="AM31" s="117"/>
      <c r="AN31" s="117"/>
      <c r="AO31" s="117" t="s">
        <v>343</v>
      </c>
      <c r="AP31" s="117"/>
      <c r="AQ31" s="117" t="s">
        <v>317</v>
      </c>
      <c r="AR31" s="117" t="s">
        <v>1907</v>
      </c>
      <c r="AS31" s="117" t="s">
        <v>318</v>
      </c>
      <c r="AT31" s="117" t="s">
        <v>1923</v>
      </c>
      <c r="AU31" s="117" t="b">
        <v>1</v>
      </c>
      <c r="AV31" s="117" t="b">
        <v>1</v>
      </c>
      <c r="AW31" s="117" t="s">
        <v>338</v>
      </c>
      <c r="AX31" s="117" t="s">
        <v>339</v>
      </c>
      <c r="AY31" s="117" t="s">
        <v>2080</v>
      </c>
      <c r="AZ31" s="117" t="s">
        <v>2081</v>
      </c>
      <c r="BA31" s="117" t="b">
        <v>1</v>
      </c>
      <c r="BB31" s="117" t="b">
        <v>1</v>
      </c>
      <c r="BC31" s="117"/>
      <c r="BD31" s="117"/>
      <c r="BE31" s="117">
        <v>0</v>
      </c>
    </row>
    <row r="32" spans="1:57" ht="16">
      <c r="A32" s="117" t="s">
        <v>314</v>
      </c>
      <c r="B32" s="117" t="s">
        <v>315</v>
      </c>
      <c r="C32" s="117" t="s">
        <v>316</v>
      </c>
      <c r="D32" s="117" t="s">
        <v>317</v>
      </c>
      <c r="E32" s="117" t="s">
        <v>318</v>
      </c>
      <c r="F32" s="117" t="s">
        <v>344</v>
      </c>
      <c r="G32" s="117" t="s">
        <v>345</v>
      </c>
      <c r="H32" s="118" t="s">
        <v>344</v>
      </c>
      <c r="I32" s="119" t="s">
        <v>345</v>
      </c>
      <c r="J32" s="120" t="s">
        <v>2508</v>
      </c>
      <c r="K32" s="120" t="s">
        <v>2508</v>
      </c>
      <c r="L32" s="118"/>
      <c r="M32" s="119"/>
      <c r="N32" s="118"/>
      <c r="O32" s="119"/>
      <c r="P32" s="117" t="s">
        <v>88</v>
      </c>
      <c r="Q32" s="117" t="s">
        <v>45</v>
      </c>
      <c r="R32" s="117" t="b">
        <v>1</v>
      </c>
      <c r="S32" s="117" t="b">
        <v>1</v>
      </c>
      <c r="T32" s="117" t="b">
        <v>1</v>
      </c>
      <c r="U32" s="117" t="b">
        <v>0</v>
      </c>
      <c r="V32" s="117" t="b">
        <v>0</v>
      </c>
      <c r="W32" s="117" t="b">
        <v>1</v>
      </c>
      <c r="X32" s="117" t="b">
        <v>1</v>
      </c>
      <c r="Y32" s="117" t="b">
        <v>0</v>
      </c>
      <c r="Z32" s="117" t="b">
        <v>0</v>
      </c>
      <c r="AA32" s="117"/>
      <c r="AB32" s="117" t="s">
        <v>346</v>
      </c>
      <c r="AC32" s="117"/>
      <c r="AD32" s="117" t="s">
        <v>346</v>
      </c>
      <c r="AE32" s="117" t="s">
        <v>346</v>
      </c>
      <c r="AF32" s="117"/>
      <c r="AG32" s="117" t="s">
        <v>347</v>
      </c>
      <c r="AH32" s="117">
        <v>3175100901780000</v>
      </c>
      <c r="AI32" s="117" t="s">
        <v>68</v>
      </c>
      <c r="AJ32" s="117"/>
      <c r="AK32" s="117"/>
      <c r="AL32" s="117">
        <v>62856970280217</v>
      </c>
      <c r="AM32" s="117"/>
      <c r="AN32" s="117"/>
      <c r="AO32" s="117" t="s">
        <v>349</v>
      </c>
      <c r="AP32" s="117"/>
      <c r="AQ32" s="117" t="s">
        <v>317</v>
      </c>
      <c r="AR32" s="117" t="s">
        <v>1907</v>
      </c>
      <c r="AS32" s="117" t="s">
        <v>318</v>
      </c>
      <c r="AT32" s="117" t="s">
        <v>1923</v>
      </c>
      <c r="AU32" s="117" t="b">
        <v>1</v>
      </c>
      <c r="AV32" s="117" t="b">
        <v>1</v>
      </c>
      <c r="AW32" s="117" t="s">
        <v>344</v>
      </c>
      <c r="AX32" s="117" t="s">
        <v>345</v>
      </c>
      <c r="AY32" s="117" t="s">
        <v>2082</v>
      </c>
      <c r="AZ32" s="117" t="s">
        <v>2083</v>
      </c>
      <c r="BA32" s="117" t="b">
        <v>1</v>
      </c>
      <c r="BB32" s="117" t="b">
        <v>1</v>
      </c>
      <c r="BC32" s="117"/>
      <c r="BD32" s="117"/>
      <c r="BE32" s="117">
        <v>0</v>
      </c>
    </row>
    <row r="33" spans="1:57" ht="16">
      <c r="A33" s="117" t="s">
        <v>314</v>
      </c>
      <c r="B33" s="117" t="s">
        <v>315</v>
      </c>
      <c r="C33" s="117" t="s">
        <v>316</v>
      </c>
      <c r="D33" s="117" t="s">
        <v>317</v>
      </c>
      <c r="E33" s="117" t="s">
        <v>318</v>
      </c>
      <c r="F33" s="117" t="s">
        <v>350</v>
      </c>
      <c r="G33" s="117" t="s">
        <v>351</v>
      </c>
      <c r="H33" s="118" t="s">
        <v>350</v>
      </c>
      <c r="I33" s="119" t="s">
        <v>351</v>
      </c>
      <c r="J33" s="120" t="s">
        <v>2508</v>
      </c>
      <c r="K33" s="120" t="s">
        <v>2508</v>
      </c>
      <c r="L33" s="118"/>
      <c r="M33" s="119"/>
      <c r="N33" s="118"/>
      <c r="O33" s="119"/>
      <c r="P33" s="117" t="s">
        <v>88</v>
      </c>
      <c r="Q33" s="117" t="s">
        <v>45</v>
      </c>
      <c r="R33" s="117" t="b">
        <v>1</v>
      </c>
      <c r="S33" s="117" t="b">
        <v>1</v>
      </c>
      <c r="T33" s="117" t="b">
        <v>1</v>
      </c>
      <c r="U33" s="117" t="b">
        <v>0</v>
      </c>
      <c r="V33" s="117" t="b">
        <v>0</v>
      </c>
      <c r="W33" s="117" t="b">
        <v>1</v>
      </c>
      <c r="X33" s="117" t="b">
        <v>1</v>
      </c>
      <c r="Y33" s="117" t="b">
        <v>0</v>
      </c>
      <c r="Z33" s="117" t="b">
        <v>0</v>
      </c>
      <c r="AA33" s="117"/>
      <c r="AB33" s="117" t="s">
        <v>352</v>
      </c>
      <c r="AC33" s="117"/>
      <c r="AD33" s="117" t="s">
        <v>352</v>
      </c>
      <c r="AE33" s="117" t="s">
        <v>352</v>
      </c>
      <c r="AF33" s="117"/>
      <c r="AG33" s="117" t="s">
        <v>353</v>
      </c>
      <c r="AH33" s="117">
        <v>3275082107920000</v>
      </c>
      <c r="AI33" s="117" t="s">
        <v>68</v>
      </c>
      <c r="AJ33" s="117"/>
      <c r="AK33" s="117"/>
      <c r="AL33" s="117">
        <v>62815746723287</v>
      </c>
      <c r="AM33" s="117"/>
      <c r="AN33" s="117"/>
      <c r="AO33" s="117" t="s">
        <v>355</v>
      </c>
      <c r="AP33" s="117"/>
      <c r="AQ33" s="117" t="s">
        <v>317</v>
      </c>
      <c r="AR33" s="117" t="s">
        <v>1907</v>
      </c>
      <c r="AS33" s="117" t="s">
        <v>318</v>
      </c>
      <c r="AT33" s="117" t="s">
        <v>1923</v>
      </c>
      <c r="AU33" s="117" t="b">
        <v>1</v>
      </c>
      <c r="AV33" s="117" t="b">
        <v>1</v>
      </c>
      <c r="AW33" s="117" t="s">
        <v>350</v>
      </c>
      <c r="AX33" s="117" t="s">
        <v>351</v>
      </c>
      <c r="AY33" s="117" t="s">
        <v>2084</v>
      </c>
      <c r="AZ33" s="117" t="s">
        <v>2085</v>
      </c>
      <c r="BA33" s="117" t="b">
        <v>1</v>
      </c>
      <c r="BB33" s="117" t="b">
        <v>1</v>
      </c>
      <c r="BC33" s="117"/>
      <c r="BD33" s="117"/>
      <c r="BE33" s="117">
        <v>0</v>
      </c>
    </row>
    <row r="34" spans="1:57" ht="16">
      <c r="A34" s="160" t="s">
        <v>314</v>
      </c>
      <c r="B34" s="160" t="s">
        <v>315</v>
      </c>
      <c r="C34" s="160" t="s">
        <v>316</v>
      </c>
      <c r="D34" s="160" t="s">
        <v>317</v>
      </c>
      <c r="E34" s="160" t="s">
        <v>318</v>
      </c>
      <c r="F34" s="160" t="s">
        <v>1438</v>
      </c>
      <c r="G34" s="160" t="s">
        <v>1437</v>
      </c>
      <c r="H34" s="162" t="s">
        <v>1438</v>
      </c>
      <c r="I34" s="164" t="s">
        <v>1437</v>
      </c>
      <c r="J34" s="166" t="s">
        <v>2508</v>
      </c>
      <c r="K34" s="166" t="s">
        <v>2508</v>
      </c>
      <c r="L34" s="162"/>
      <c r="M34" s="164"/>
      <c r="N34" s="162"/>
      <c r="O34" s="164"/>
      <c r="P34" s="160" t="s">
        <v>88</v>
      </c>
      <c r="Q34" s="160" t="s">
        <v>44</v>
      </c>
      <c r="R34" s="160" t="b">
        <v>1</v>
      </c>
      <c r="S34" s="160" t="b">
        <v>1</v>
      </c>
      <c r="T34" s="160" t="b">
        <v>1</v>
      </c>
      <c r="U34" s="160" t="b">
        <v>0</v>
      </c>
      <c r="V34" s="160" t="b">
        <v>0</v>
      </c>
      <c r="W34" s="160" t="b">
        <v>1</v>
      </c>
      <c r="X34" s="160" t="b">
        <v>1</v>
      </c>
      <c r="Y34" s="160" t="b">
        <v>0</v>
      </c>
      <c r="Z34" s="160" t="b">
        <v>0</v>
      </c>
      <c r="AA34" s="160"/>
      <c r="AB34" s="160" t="s">
        <v>1440</v>
      </c>
      <c r="AC34" s="160"/>
      <c r="AD34" s="160" t="s">
        <v>1440</v>
      </c>
      <c r="AE34" s="160"/>
      <c r="AF34" s="160" t="b">
        <v>0</v>
      </c>
      <c r="AG34" s="117" t="s">
        <v>2827</v>
      </c>
      <c r="AH34" s="160">
        <v>3275022305800020</v>
      </c>
      <c r="AI34" s="160" t="s">
        <v>68</v>
      </c>
      <c r="AJ34" s="160" t="s">
        <v>32</v>
      </c>
      <c r="AK34" s="160">
        <v>8985560045</v>
      </c>
      <c r="AL34" s="160">
        <v>628985560045</v>
      </c>
      <c r="AM34" s="160" t="s">
        <v>1444</v>
      </c>
      <c r="AN34" s="160"/>
      <c r="AO34" s="160" t="s">
        <v>1445</v>
      </c>
      <c r="AP34" s="160" t="s">
        <v>609</v>
      </c>
      <c r="AQ34" s="160" t="s">
        <v>317</v>
      </c>
      <c r="AR34" s="160" t="s">
        <v>1907</v>
      </c>
      <c r="AS34" s="160" t="s">
        <v>318</v>
      </c>
      <c r="AT34" s="160" t="s">
        <v>1923</v>
      </c>
      <c r="AU34" s="160" t="b">
        <v>1</v>
      </c>
      <c r="AV34" s="160" t="b">
        <v>1</v>
      </c>
      <c r="AW34" s="160" t="s">
        <v>1438</v>
      </c>
      <c r="AX34" s="160" t="s">
        <v>1437</v>
      </c>
      <c r="AY34" s="160" t="s">
        <v>2372</v>
      </c>
      <c r="AZ34" s="160" t="s">
        <v>2373</v>
      </c>
      <c r="BA34" s="160" t="b">
        <v>1</v>
      </c>
      <c r="BB34" s="160" t="b">
        <v>1</v>
      </c>
      <c r="BC34" s="160"/>
      <c r="BD34" s="160"/>
      <c r="BE34" s="160">
        <v>0</v>
      </c>
    </row>
    <row r="35" spans="1:57" ht="16">
      <c r="A35" s="160"/>
      <c r="B35" s="160"/>
      <c r="C35" s="160"/>
      <c r="D35" s="160"/>
      <c r="E35" s="160"/>
      <c r="F35" s="160"/>
      <c r="G35" s="160"/>
      <c r="H35" s="162"/>
      <c r="I35" s="164"/>
      <c r="J35" s="166"/>
      <c r="K35" s="166"/>
      <c r="L35" s="162"/>
      <c r="M35" s="164"/>
      <c r="N35" s="162"/>
      <c r="O35" s="164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17" t="s">
        <v>2828</v>
      </c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</row>
    <row r="36" spans="1:57" ht="16">
      <c r="A36" s="160"/>
      <c r="B36" s="160"/>
      <c r="C36" s="160"/>
      <c r="D36" s="160"/>
      <c r="E36" s="160"/>
      <c r="F36" s="160"/>
      <c r="G36" s="160"/>
      <c r="H36" s="162"/>
      <c r="I36" s="164"/>
      <c r="J36" s="166"/>
      <c r="K36" s="166"/>
      <c r="L36" s="162"/>
      <c r="M36" s="164"/>
      <c r="N36" s="162"/>
      <c r="O36" s="164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17" t="s">
        <v>2829</v>
      </c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</row>
    <row r="37" spans="1:57" ht="16">
      <c r="A37" s="160"/>
      <c r="B37" s="160"/>
      <c r="C37" s="160"/>
      <c r="D37" s="160"/>
      <c r="E37" s="160"/>
      <c r="F37" s="160"/>
      <c r="G37" s="160"/>
      <c r="H37" s="162"/>
      <c r="I37" s="164"/>
      <c r="J37" s="166"/>
      <c r="K37" s="166"/>
      <c r="L37" s="162"/>
      <c r="M37" s="164"/>
      <c r="N37" s="162"/>
      <c r="O37" s="164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17" t="s">
        <v>2830</v>
      </c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0"/>
      <c r="BB37" s="160"/>
      <c r="BC37" s="160"/>
      <c r="BD37" s="160"/>
      <c r="BE37" s="160"/>
    </row>
    <row r="38" spans="1:57" ht="16">
      <c r="A38" s="160"/>
      <c r="B38" s="160"/>
      <c r="C38" s="160"/>
      <c r="D38" s="160"/>
      <c r="E38" s="160"/>
      <c r="F38" s="160"/>
      <c r="G38" s="160"/>
      <c r="H38" s="162"/>
      <c r="I38" s="164"/>
      <c r="J38" s="166"/>
      <c r="K38" s="166"/>
      <c r="L38" s="162"/>
      <c r="M38" s="164"/>
      <c r="N38" s="162"/>
      <c r="O38" s="164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17" t="s">
        <v>2831</v>
      </c>
      <c r="AH38" s="160"/>
      <c r="AI38" s="160"/>
      <c r="AJ38" s="160"/>
      <c r="AK38" s="160"/>
      <c r="AL38" s="160"/>
      <c r="AM38" s="160"/>
      <c r="AN38" s="160"/>
      <c r="AO38" s="160"/>
      <c r="AP38" s="160"/>
      <c r="AQ38" s="160"/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</row>
    <row r="39" spans="1:57" ht="16">
      <c r="A39" s="160"/>
      <c r="B39" s="160"/>
      <c r="C39" s="160"/>
      <c r="D39" s="160"/>
      <c r="E39" s="160"/>
      <c r="F39" s="160"/>
      <c r="G39" s="160"/>
      <c r="H39" s="162"/>
      <c r="I39" s="164"/>
      <c r="J39" s="166"/>
      <c r="K39" s="166"/>
      <c r="L39" s="162"/>
      <c r="M39" s="164"/>
      <c r="N39" s="162"/>
      <c r="O39" s="164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17" t="s">
        <v>2832</v>
      </c>
      <c r="AH39" s="160"/>
      <c r="AI39" s="160"/>
      <c r="AJ39" s="160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</row>
    <row r="40" spans="1:57" ht="16">
      <c r="A40" s="117" t="s">
        <v>314</v>
      </c>
      <c r="B40" s="117" t="s">
        <v>315</v>
      </c>
      <c r="C40" s="117" t="s">
        <v>316</v>
      </c>
      <c r="D40" s="117" t="s">
        <v>317</v>
      </c>
      <c r="E40" s="117" t="s">
        <v>318</v>
      </c>
      <c r="F40" s="117" t="s">
        <v>1458</v>
      </c>
      <c r="G40" s="117" t="s">
        <v>1457</v>
      </c>
      <c r="H40" s="118" t="s">
        <v>1458</v>
      </c>
      <c r="I40" s="119" t="s">
        <v>1457</v>
      </c>
      <c r="J40" s="120" t="s">
        <v>2508</v>
      </c>
      <c r="K40" s="120" t="s">
        <v>2508</v>
      </c>
      <c r="L40" s="118"/>
      <c r="M40" s="119"/>
      <c r="N40" s="118"/>
      <c r="O40" s="119"/>
      <c r="P40" s="117" t="s">
        <v>88</v>
      </c>
      <c r="Q40" s="117" t="s">
        <v>45</v>
      </c>
      <c r="R40" s="117" t="b">
        <v>1</v>
      </c>
      <c r="S40" s="117" t="b">
        <v>1</v>
      </c>
      <c r="T40" s="117" t="b">
        <v>1</v>
      </c>
      <c r="U40" s="117" t="b">
        <v>0</v>
      </c>
      <c r="V40" s="117" t="b">
        <v>0</v>
      </c>
      <c r="W40" s="117" t="b">
        <v>1</v>
      </c>
      <c r="X40" s="117" t="b">
        <v>1</v>
      </c>
      <c r="Y40" s="117" t="b">
        <v>0</v>
      </c>
      <c r="Z40" s="117" t="b">
        <v>0</v>
      </c>
      <c r="AA40" s="117"/>
      <c r="AB40" s="117" t="s">
        <v>1459</v>
      </c>
      <c r="AC40" s="117"/>
      <c r="AD40" s="117" t="s">
        <v>1459</v>
      </c>
      <c r="AE40" s="117" t="s">
        <v>1459</v>
      </c>
      <c r="AF40" s="117"/>
      <c r="AG40" s="117" t="s">
        <v>1460</v>
      </c>
      <c r="AH40" s="117">
        <v>3275042511870010</v>
      </c>
      <c r="AI40" s="117" t="s">
        <v>68</v>
      </c>
      <c r="AJ40" s="117"/>
      <c r="AK40" s="117"/>
      <c r="AL40" s="117">
        <v>6289602778076</v>
      </c>
      <c r="AM40" s="117"/>
      <c r="AN40" s="117"/>
      <c r="AO40" s="117" t="s">
        <v>1462</v>
      </c>
      <c r="AP40" s="117"/>
      <c r="AQ40" s="117" t="s">
        <v>317</v>
      </c>
      <c r="AR40" s="117" t="s">
        <v>1907</v>
      </c>
      <c r="AS40" s="117" t="s">
        <v>318</v>
      </c>
      <c r="AT40" s="117" t="s">
        <v>1923</v>
      </c>
      <c r="AU40" s="117" t="b">
        <v>1</v>
      </c>
      <c r="AV40" s="117" t="b">
        <v>1</v>
      </c>
      <c r="AW40" s="117" t="s">
        <v>1458</v>
      </c>
      <c r="AX40" s="117" t="s">
        <v>1457</v>
      </c>
      <c r="AY40" s="117" t="s">
        <v>2378</v>
      </c>
      <c r="AZ40" s="117" t="s">
        <v>2379</v>
      </c>
      <c r="BA40" s="117" t="b">
        <v>1</v>
      </c>
      <c r="BB40" s="117" t="b">
        <v>1</v>
      </c>
      <c r="BC40" s="117"/>
      <c r="BD40" s="117"/>
      <c r="BE40" s="117">
        <v>0</v>
      </c>
    </row>
    <row r="41" spans="1:57" ht="16">
      <c r="A41" s="117" t="s">
        <v>314</v>
      </c>
      <c r="B41" s="117" t="s">
        <v>315</v>
      </c>
      <c r="C41" s="117" t="s">
        <v>316</v>
      </c>
      <c r="D41" s="117" t="s">
        <v>317</v>
      </c>
      <c r="E41" s="117" t="s">
        <v>318</v>
      </c>
      <c r="F41" s="117" t="s">
        <v>1577</v>
      </c>
      <c r="G41" s="117" t="s">
        <v>1576</v>
      </c>
      <c r="H41" s="118" t="s">
        <v>1577</v>
      </c>
      <c r="I41" s="119" t="s">
        <v>1576</v>
      </c>
      <c r="J41" s="120" t="s">
        <v>2508</v>
      </c>
      <c r="K41" s="120" t="s">
        <v>2508</v>
      </c>
      <c r="L41" s="118"/>
      <c r="M41" s="119"/>
      <c r="N41" s="118"/>
      <c r="O41" s="119"/>
      <c r="P41" s="117" t="s">
        <v>88</v>
      </c>
      <c r="Q41" s="117" t="s">
        <v>44</v>
      </c>
      <c r="R41" s="117" t="b">
        <v>1</v>
      </c>
      <c r="S41" s="117" t="b">
        <v>1</v>
      </c>
      <c r="T41" s="117" t="b">
        <v>1</v>
      </c>
      <c r="U41" s="117" t="b">
        <v>0</v>
      </c>
      <c r="V41" s="117" t="b">
        <v>0</v>
      </c>
      <c r="W41" s="117" t="b">
        <v>1</v>
      </c>
      <c r="X41" s="117" t="b">
        <v>1</v>
      </c>
      <c r="Y41" s="117" t="b">
        <v>0</v>
      </c>
      <c r="Z41" s="117" t="b">
        <v>0</v>
      </c>
      <c r="AA41" s="117"/>
      <c r="AB41" s="117" t="s">
        <v>1578</v>
      </c>
      <c r="AC41" s="117"/>
      <c r="AD41" s="117" t="s">
        <v>1579</v>
      </c>
      <c r="AE41" s="117" t="s">
        <v>1578</v>
      </c>
      <c r="AF41" s="117" t="b">
        <v>0</v>
      </c>
      <c r="AG41" s="117" t="s">
        <v>1580</v>
      </c>
      <c r="AH41" s="117">
        <v>3175073108840000</v>
      </c>
      <c r="AI41" s="117" t="s">
        <v>68</v>
      </c>
      <c r="AJ41" s="117" t="s">
        <v>32</v>
      </c>
      <c r="AK41" s="117">
        <v>89602778077</v>
      </c>
      <c r="AL41" s="117">
        <v>6289602778077</v>
      </c>
      <c r="AM41" s="117" t="s">
        <v>1583</v>
      </c>
      <c r="AN41" s="117"/>
      <c r="AO41" s="117" t="s">
        <v>1584</v>
      </c>
      <c r="AP41" s="117" t="s">
        <v>373</v>
      </c>
      <c r="AQ41" s="117" t="s">
        <v>317</v>
      </c>
      <c r="AR41" s="117" t="s">
        <v>1907</v>
      </c>
      <c r="AS41" s="117" t="s">
        <v>318</v>
      </c>
      <c r="AT41" s="117" t="s">
        <v>1923</v>
      </c>
      <c r="AU41" s="117" t="b">
        <v>1</v>
      </c>
      <c r="AV41" s="117" t="b">
        <v>1</v>
      </c>
      <c r="AW41" s="117" t="s">
        <v>1577</v>
      </c>
      <c r="AX41" s="117" t="s">
        <v>1576</v>
      </c>
      <c r="AY41" s="117" t="s">
        <v>2410</v>
      </c>
      <c r="AZ41" s="117" t="s">
        <v>2411</v>
      </c>
      <c r="BA41" s="117" t="b">
        <v>1</v>
      </c>
      <c r="BB41" s="117" t="b">
        <v>1</v>
      </c>
      <c r="BC41" s="117"/>
      <c r="BD41" s="117"/>
      <c r="BE41" s="117">
        <v>0</v>
      </c>
    </row>
    <row r="42" spans="1:57" ht="16">
      <c r="A42" s="117" t="s">
        <v>314</v>
      </c>
      <c r="B42" s="117" t="s">
        <v>315</v>
      </c>
      <c r="C42" s="117" t="s">
        <v>316</v>
      </c>
      <c r="D42" s="117" t="s">
        <v>317</v>
      </c>
      <c r="E42" s="117" t="s">
        <v>318</v>
      </c>
      <c r="F42" s="117" t="s">
        <v>1671</v>
      </c>
      <c r="G42" s="117" t="s">
        <v>1670</v>
      </c>
      <c r="H42" s="118" t="s">
        <v>1671</v>
      </c>
      <c r="I42" s="119" t="s">
        <v>1670</v>
      </c>
      <c r="J42" s="120" t="s">
        <v>2508</v>
      </c>
      <c r="K42" s="120" t="s">
        <v>2508</v>
      </c>
      <c r="L42" s="118"/>
      <c r="M42" s="119"/>
      <c r="N42" s="118"/>
      <c r="O42" s="119"/>
      <c r="P42" s="117" t="s">
        <v>88</v>
      </c>
      <c r="Q42" s="117" t="s">
        <v>45</v>
      </c>
      <c r="R42" s="117" t="b">
        <v>1</v>
      </c>
      <c r="S42" s="117" t="b">
        <v>1</v>
      </c>
      <c r="T42" s="117" t="b">
        <v>1</v>
      </c>
      <c r="U42" s="117" t="b">
        <v>0</v>
      </c>
      <c r="V42" s="117" t="b">
        <v>0</v>
      </c>
      <c r="W42" s="117" t="b">
        <v>1</v>
      </c>
      <c r="X42" s="117" t="b">
        <v>1</v>
      </c>
      <c r="Y42" s="117" t="b">
        <v>0</v>
      </c>
      <c r="Z42" s="117" t="b">
        <v>0</v>
      </c>
      <c r="AA42" s="117"/>
      <c r="AB42" s="117" t="s">
        <v>1672</v>
      </c>
      <c r="AC42" s="117"/>
      <c r="AD42" s="117" t="s">
        <v>1672</v>
      </c>
      <c r="AE42" s="117" t="s">
        <v>1672</v>
      </c>
      <c r="AF42" s="117"/>
      <c r="AG42" s="117" t="s">
        <v>1673</v>
      </c>
      <c r="AH42" s="117">
        <v>3304020606950000</v>
      </c>
      <c r="AI42" s="117" t="s">
        <v>68</v>
      </c>
      <c r="AJ42" s="117"/>
      <c r="AK42" s="117"/>
      <c r="AL42" s="117">
        <v>6289602778078</v>
      </c>
      <c r="AM42" s="117"/>
      <c r="AN42" s="117"/>
      <c r="AO42" s="117" t="s">
        <v>1675</v>
      </c>
      <c r="AP42" s="117"/>
      <c r="AQ42" s="117" t="s">
        <v>317</v>
      </c>
      <c r="AR42" s="117" t="s">
        <v>1907</v>
      </c>
      <c r="AS42" s="117" t="s">
        <v>318</v>
      </c>
      <c r="AT42" s="117" t="s">
        <v>1923</v>
      </c>
      <c r="AU42" s="117" t="b">
        <v>1</v>
      </c>
      <c r="AV42" s="117" t="b">
        <v>1</v>
      </c>
      <c r="AW42" s="117" t="s">
        <v>1671</v>
      </c>
      <c r="AX42" s="117" t="s">
        <v>1670</v>
      </c>
      <c r="AY42" s="117" t="s">
        <v>2434</v>
      </c>
      <c r="AZ42" s="117" t="s">
        <v>2435</v>
      </c>
      <c r="BA42" s="117" t="b">
        <v>1</v>
      </c>
      <c r="BB42" s="117" t="b">
        <v>1</v>
      </c>
      <c r="BC42" s="117"/>
      <c r="BD42" s="117"/>
      <c r="BE42" s="117">
        <v>0</v>
      </c>
    </row>
    <row r="43" spans="1:57" ht="16">
      <c r="A43" s="117" t="s">
        <v>70</v>
      </c>
      <c r="B43" s="117" t="s">
        <v>121</v>
      </c>
      <c r="C43" s="117" t="s">
        <v>122</v>
      </c>
      <c r="D43" s="117" t="s">
        <v>123</v>
      </c>
      <c r="E43" s="117" t="s">
        <v>124</v>
      </c>
      <c r="F43" s="117">
        <v>2613050977</v>
      </c>
      <c r="G43" s="117" t="s">
        <v>125</v>
      </c>
      <c r="H43" s="118">
        <v>2613050977</v>
      </c>
      <c r="I43" s="119" t="s">
        <v>125</v>
      </c>
      <c r="J43" s="120" t="s">
        <v>2508</v>
      </c>
      <c r="K43" s="120" t="s">
        <v>2508</v>
      </c>
      <c r="L43" s="118"/>
      <c r="M43" s="119"/>
      <c r="N43" s="118"/>
      <c r="O43" s="119"/>
      <c r="P43" s="117" t="s">
        <v>28</v>
      </c>
      <c r="Q43" s="117" t="s">
        <v>45</v>
      </c>
      <c r="R43" s="117" t="b">
        <v>1</v>
      </c>
      <c r="S43" s="117" t="b">
        <v>1</v>
      </c>
      <c r="T43" s="117" t="b">
        <v>1</v>
      </c>
      <c r="U43" s="117" t="b">
        <v>0</v>
      </c>
      <c r="V43" s="117" t="b">
        <v>0</v>
      </c>
      <c r="W43" s="117" t="b">
        <v>1</v>
      </c>
      <c r="X43" s="117" t="b">
        <v>1</v>
      </c>
      <c r="Y43" s="117" t="b">
        <v>0</v>
      </c>
      <c r="Z43" s="117" t="b">
        <v>0</v>
      </c>
      <c r="AA43" s="117"/>
      <c r="AB43" s="117" t="s">
        <v>126</v>
      </c>
      <c r="AC43" s="117"/>
      <c r="AD43" s="117"/>
      <c r="AE43" s="117"/>
      <c r="AF43" s="117"/>
      <c r="AG43" s="117" t="s">
        <v>127</v>
      </c>
      <c r="AH43" s="117">
        <v>3172022209800010</v>
      </c>
      <c r="AI43" s="117" t="s">
        <v>68</v>
      </c>
      <c r="AJ43" s="117" t="s">
        <v>32</v>
      </c>
      <c r="AK43" s="117"/>
      <c r="AL43" s="117">
        <v>6285771315013</v>
      </c>
      <c r="AM43" s="117"/>
      <c r="AN43" s="117"/>
      <c r="AO43" s="117" t="s">
        <v>129</v>
      </c>
      <c r="AP43" s="117"/>
      <c r="AQ43" s="117" t="s">
        <v>123</v>
      </c>
      <c r="AR43" s="117" t="s">
        <v>1903</v>
      </c>
      <c r="AS43" s="117" t="s">
        <v>124</v>
      </c>
      <c r="AT43" s="117" t="s">
        <v>1915</v>
      </c>
      <c r="AU43" s="117" t="b">
        <v>1</v>
      </c>
      <c r="AV43" s="117" t="b">
        <v>1</v>
      </c>
      <c r="AW43" s="117">
        <v>2613050977</v>
      </c>
      <c r="AX43" s="117" t="s">
        <v>125</v>
      </c>
      <c r="AY43" s="117" t="s">
        <v>2016</v>
      </c>
      <c r="AZ43" s="117" t="s">
        <v>2017</v>
      </c>
      <c r="BA43" s="117" t="b">
        <v>1</v>
      </c>
      <c r="BB43" s="117" t="b">
        <v>1</v>
      </c>
      <c r="BC43" s="117"/>
      <c r="BD43" s="117"/>
      <c r="BE43" s="117">
        <v>0</v>
      </c>
    </row>
    <row r="44" spans="1:57" ht="16">
      <c r="A44" s="117" t="s">
        <v>70</v>
      </c>
      <c r="B44" s="117" t="s">
        <v>121</v>
      </c>
      <c r="C44" s="117" t="s">
        <v>122</v>
      </c>
      <c r="D44" s="117" t="s">
        <v>123</v>
      </c>
      <c r="E44" s="117" t="s">
        <v>124</v>
      </c>
      <c r="F44" s="117">
        <v>2613052398</v>
      </c>
      <c r="G44" s="117" t="s">
        <v>220</v>
      </c>
      <c r="H44" s="118">
        <v>2613052398</v>
      </c>
      <c r="I44" s="119" t="s">
        <v>220</v>
      </c>
      <c r="J44" s="120" t="s">
        <v>2508</v>
      </c>
      <c r="K44" s="120" t="s">
        <v>2508</v>
      </c>
      <c r="L44" s="118"/>
      <c r="M44" s="119"/>
      <c r="N44" s="118"/>
      <c r="O44" s="119"/>
      <c r="P44" s="117" t="s">
        <v>28</v>
      </c>
      <c r="Q44" s="117" t="s">
        <v>45</v>
      </c>
      <c r="R44" s="117" t="b">
        <v>1</v>
      </c>
      <c r="S44" s="117" t="b">
        <v>1</v>
      </c>
      <c r="T44" s="117" t="b">
        <v>1</v>
      </c>
      <c r="U44" s="117" t="b">
        <v>0</v>
      </c>
      <c r="V44" s="117" t="b">
        <v>0</v>
      </c>
      <c r="W44" s="117" t="b">
        <v>1</v>
      </c>
      <c r="X44" s="117" t="b">
        <v>1</v>
      </c>
      <c r="Y44" s="117" t="b">
        <v>0</v>
      </c>
      <c r="Z44" s="117" t="b">
        <v>0</v>
      </c>
      <c r="AA44" s="117"/>
      <c r="AB44" s="117" t="s">
        <v>221</v>
      </c>
      <c r="AC44" s="117"/>
      <c r="AD44" s="117"/>
      <c r="AE44" s="117"/>
      <c r="AF44" s="117"/>
      <c r="AG44" s="117" t="s">
        <v>222</v>
      </c>
      <c r="AH44" s="117">
        <v>3173080412921000</v>
      </c>
      <c r="AI44" s="117" t="s">
        <v>68</v>
      </c>
      <c r="AJ44" s="117" t="s">
        <v>32</v>
      </c>
      <c r="AK44" s="117"/>
      <c r="AL44" s="117">
        <v>6281511649202</v>
      </c>
      <c r="AM44" s="117"/>
      <c r="AN44" s="117"/>
      <c r="AO44" s="117" t="s">
        <v>224</v>
      </c>
      <c r="AP44" s="117"/>
      <c r="AQ44" s="117" t="s">
        <v>123</v>
      </c>
      <c r="AR44" s="117" t="s">
        <v>1903</v>
      </c>
      <c r="AS44" s="117" t="s">
        <v>124</v>
      </c>
      <c r="AT44" s="117" t="s">
        <v>1915</v>
      </c>
      <c r="AU44" s="117" t="b">
        <v>1</v>
      </c>
      <c r="AV44" s="117" t="b">
        <v>1</v>
      </c>
      <c r="AW44" s="117">
        <v>2613052398</v>
      </c>
      <c r="AX44" s="117" t="s">
        <v>220</v>
      </c>
      <c r="AY44" s="117" t="s">
        <v>2046</v>
      </c>
      <c r="AZ44" s="117" t="s">
        <v>2047</v>
      </c>
      <c r="BA44" s="117" t="b">
        <v>1</v>
      </c>
      <c r="BB44" s="117" t="b">
        <v>1</v>
      </c>
      <c r="BC44" s="117"/>
      <c r="BD44" s="117"/>
      <c r="BE44" s="117">
        <v>0</v>
      </c>
    </row>
    <row r="45" spans="1:57" ht="16">
      <c r="A45" s="117" t="s">
        <v>70</v>
      </c>
      <c r="B45" s="117" t="s">
        <v>121</v>
      </c>
      <c r="C45" s="117" t="s">
        <v>122</v>
      </c>
      <c r="D45" s="117" t="s">
        <v>123</v>
      </c>
      <c r="E45" s="117" t="s">
        <v>124</v>
      </c>
      <c r="F45" s="117" t="s">
        <v>548</v>
      </c>
      <c r="G45" s="117" t="s">
        <v>549</v>
      </c>
      <c r="H45" s="118" t="s">
        <v>548</v>
      </c>
      <c r="I45" s="119" t="s">
        <v>549</v>
      </c>
      <c r="J45" s="120" t="s">
        <v>2508</v>
      </c>
      <c r="K45" s="120" t="s">
        <v>2508</v>
      </c>
      <c r="L45" s="118"/>
      <c r="M45" s="119"/>
      <c r="N45" s="118"/>
      <c r="O45" s="119"/>
      <c r="P45" s="117" t="s">
        <v>28</v>
      </c>
      <c r="Q45" s="117" t="s">
        <v>45</v>
      </c>
      <c r="R45" s="117" t="b">
        <v>1</v>
      </c>
      <c r="S45" s="117" t="b">
        <v>1</v>
      </c>
      <c r="T45" s="117" t="b">
        <v>1</v>
      </c>
      <c r="U45" s="117" t="b">
        <v>0</v>
      </c>
      <c r="V45" s="117" t="b">
        <v>0</v>
      </c>
      <c r="W45" s="117" t="b">
        <v>1</v>
      </c>
      <c r="X45" s="117" t="b">
        <v>1</v>
      </c>
      <c r="Y45" s="117" t="b">
        <v>0</v>
      </c>
      <c r="Z45" s="117" t="b">
        <v>0</v>
      </c>
      <c r="AA45" s="117"/>
      <c r="AB45" s="117" t="s">
        <v>550</v>
      </c>
      <c r="AC45" s="117"/>
      <c r="AD45" s="117"/>
      <c r="AE45" s="117"/>
      <c r="AF45" s="117"/>
      <c r="AG45" s="117" t="s">
        <v>551</v>
      </c>
      <c r="AH45" s="117">
        <v>3171031901760000</v>
      </c>
      <c r="AI45" s="117" t="s">
        <v>68</v>
      </c>
      <c r="AJ45" s="117" t="s">
        <v>32</v>
      </c>
      <c r="AK45" s="117"/>
      <c r="AL45" s="117">
        <v>62857991691857</v>
      </c>
      <c r="AM45" s="117"/>
      <c r="AN45" s="117"/>
      <c r="AO45" s="117" t="s">
        <v>553</v>
      </c>
      <c r="AP45" s="117"/>
      <c r="AQ45" s="117" t="s">
        <v>123</v>
      </c>
      <c r="AR45" s="117" t="s">
        <v>1903</v>
      </c>
      <c r="AS45" s="117" t="s">
        <v>124</v>
      </c>
      <c r="AT45" s="117" t="s">
        <v>1915</v>
      </c>
      <c r="AU45" s="117" t="b">
        <v>1</v>
      </c>
      <c r="AV45" s="117" t="b">
        <v>1</v>
      </c>
      <c r="AW45" s="117" t="s">
        <v>548</v>
      </c>
      <c r="AX45" s="117" t="s">
        <v>549</v>
      </c>
      <c r="AY45" s="117" t="s">
        <v>2138</v>
      </c>
      <c r="AZ45" s="117" t="s">
        <v>2139</v>
      </c>
      <c r="BA45" s="117" t="b">
        <v>1</v>
      </c>
      <c r="BB45" s="117" t="b">
        <v>1</v>
      </c>
      <c r="BC45" s="117"/>
      <c r="BD45" s="117"/>
      <c r="BE45" s="117">
        <v>0</v>
      </c>
    </row>
    <row r="46" spans="1:57" ht="16">
      <c r="A46" s="117" t="s">
        <v>70</v>
      </c>
      <c r="B46" s="117" t="s">
        <v>121</v>
      </c>
      <c r="C46" s="117" t="s">
        <v>122</v>
      </c>
      <c r="D46" s="117" t="s">
        <v>123</v>
      </c>
      <c r="E46" s="117" t="s">
        <v>124</v>
      </c>
      <c r="F46" s="117" t="s">
        <v>560</v>
      </c>
      <c r="G46" s="117" t="s">
        <v>561</v>
      </c>
      <c r="H46" s="118" t="s">
        <v>560</v>
      </c>
      <c r="I46" s="119" t="s">
        <v>561</v>
      </c>
      <c r="J46" s="120" t="s">
        <v>2508</v>
      </c>
      <c r="K46" s="120" t="s">
        <v>2508</v>
      </c>
      <c r="L46" s="118"/>
      <c r="M46" s="119"/>
      <c r="N46" s="118"/>
      <c r="O46" s="119"/>
      <c r="P46" s="117" t="s">
        <v>28</v>
      </c>
      <c r="Q46" s="117" t="s">
        <v>45</v>
      </c>
      <c r="R46" s="117" t="b">
        <v>1</v>
      </c>
      <c r="S46" s="117" t="b">
        <v>1</v>
      </c>
      <c r="T46" s="117" t="b">
        <v>1</v>
      </c>
      <c r="U46" s="117" t="b">
        <v>0</v>
      </c>
      <c r="V46" s="117" t="b">
        <v>0</v>
      </c>
      <c r="W46" s="117" t="b">
        <v>1</v>
      </c>
      <c r="X46" s="117" t="b">
        <v>1</v>
      </c>
      <c r="Y46" s="117" t="b">
        <v>0</v>
      </c>
      <c r="Z46" s="117" t="b">
        <v>0</v>
      </c>
      <c r="AA46" s="117"/>
      <c r="AB46" s="117" t="s">
        <v>562</v>
      </c>
      <c r="AC46" s="117"/>
      <c r="AD46" s="117"/>
      <c r="AE46" s="117"/>
      <c r="AF46" s="117"/>
      <c r="AG46" s="117" t="s">
        <v>563</v>
      </c>
      <c r="AH46" s="117">
        <v>1802260801950000</v>
      </c>
      <c r="AI46" s="117" t="s">
        <v>68</v>
      </c>
      <c r="AJ46" s="117" t="s">
        <v>32</v>
      </c>
      <c r="AK46" s="117"/>
      <c r="AL46" s="117">
        <v>62858606096957</v>
      </c>
      <c r="AM46" s="117"/>
      <c r="AN46" s="117"/>
      <c r="AO46" s="117" t="s">
        <v>565</v>
      </c>
      <c r="AP46" s="117"/>
      <c r="AQ46" s="117" t="s">
        <v>123</v>
      </c>
      <c r="AR46" s="117" t="s">
        <v>1903</v>
      </c>
      <c r="AS46" s="117" t="s">
        <v>124</v>
      </c>
      <c r="AT46" s="117" t="s">
        <v>1915</v>
      </c>
      <c r="AU46" s="117" t="b">
        <v>1</v>
      </c>
      <c r="AV46" s="117" t="b">
        <v>1</v>
      </c>
      <c r="AW46" s="117" t="s">
        <v>560</v>
      </c>
      <c r="AX46" s="117" t="s">
        <v>561</v>
      </c>
      <c r="AY46" s="117" t="s">
        <v>2142</v>
      </c>
      <c r="AZ46" s="117" t="s">
        <v>2143</v>
      </c>
      <c r="BA46" s="117" t="b">
        <v>1</v>
      </c>
      <c r="BB46" s="117" t="b">
        <v>1</v>
      </c>
      <c r="BC46" s="117"/>
      <c r="BD46" s="117"/>
      <c r="BE46" s="117">
        <v>0</v>
      </c>
    </row>
    <row r="47" spans="1:57" ht="16">
      <c r="A47" s="117" t="s">
        <v>70</v>
      </c>
      <c r="B47" s="117" t="s">
        <v>121</v>
      </c>
      <c r="C47" s="117" t="s">
        <v>122</v>
      </c>
      <c r="D47" s="117" t="s">
        <v>123</v>
      </c>
      <c r="E47" s="117" t="s">
        <v>124</v>
      </c>
      <c r="F47" s="117" t="s">
        <v>566</v>
      </c>
      <c r="G47" s="117" t="s">
        <v>567</v>
      </c>
      <c r="H47" s="118" t="s">
        <v>566</v>
      </c>
      <c r="I47" s="119" t="s">
        <v>567</v>
      </c>
      <c r="J47" s="120" t="s">
        <v>2508</v>
      </c>
      <c r="K47" s="120" t="s">
        <v>2508</v>
      </c>
      <c r="L47" s="118"/>
      <c r="M47" s="119"/>
      <c r="N47" s="118"/>
      <c r="O47" s="119"/>
      <c r="P47" s="117" t="s">
        <v>28</v>
      </c>
      <c r="Q47" s="117" t="s">
        <v>45</v>
      </c>
      <c r="R47" s="117" t="b">
        <v>1</v>
      </c>
      <c r="S47" s="117" t="b">
        <v>1</v>
      </c>
      <c r="T47" s="117" t="b">
        <v>1</v>
      </c>
      <c r="U47" s="117" t="b">
        <v>0</v>
      </c>
      <c r="V47" s="117" t="b">
        <v>0</v>
      </c>
      <c r="W47" s="117" t="b">
        <v>1</v>
      </c>
      <c r="X47" s="117" t="b">
        <v>1</v>
      </c>
      <c r="Y47" s="117" t="b">
        <v>0</v>
      </c>
      <c r="Z47" s="117" t="b">
        <v>0</v>
      </c>
      <c r="AA47" s="117"/>
      <c r="AB47" s="117" t="s">
        <v>568</v>
      </c>
      <c r="AC47" s="117"/>
      <c r="AD47" s="117"/>
      <c r="AE47" s="117"/>
      <c r="AF47" s="117"/>
      <c r="AG47" s="117" t="s">
        <v>569</v>
      </c>
      <c r="AH47" s="117">
        <v>3171032703880000</v>
      </c>
      <c r="AI47" s="117" t="s">
        <v>68</v>
      </c>
      <c r="AJ47" s="117" t="s">
        <v>32</v>
      </c>
      <c r="AK47" s="117"/>
      <c r="AL47" s="117">
        <v>62857773555597</v>
      </c>
      <c r="AM47" s="117"/>
      <c r="AN47" s="117"/>
      <c r="AO47" s="117" t="s">
        <v>571</v>
      </c>
      <c r="AP47" s="117"/>
      <c r="AQ47" s="117" t="s">
        <v>123</v>
      </c>
      <c r="AR47" s="117" t="s">
        <v>1903</v>
      </c>
      <c r="AS47" s="117" t="s">
        <v>124</v>
      </c>
      <c r="AT47" s="117" t="s">
        <v>1915</v>
      </c>
      <c r="AU47" s="117" t="b">
        <v>1</v>
      </c>
      <c r="AV47" s="117" t="b">
        <v>1</v>
      </c>
      <c r="AW47" s="117" t="s">
        <v>566</v>
      </c>
      <c r="AX47" s="117" t="s">
        <v>567</v>
      </c>
      <c r="AY47" s="117" t="s">
        <v>2144</v>
      </c>
      <c r="AZ47" s="117" t="s">
        <v>2145</v>
      </c>
      <c r="BA47" s="117" t="b">
        <v>1</v>
      </c>
      <c r="BB47" s="117" t="b">
        <v>1</v>
      </c>
      <c r="BC47" s="117"/>
      <c r="BD47" s="117"/>
      <c r="BE47" s="117">
        <v>0</v>
      </c>
    </row>
    <row r="48" spans="1:57" ht="16">
      <c r="A48" s="117" t="s">
        <v>70</v>
      </c>
      <c r="B48" s="117" t="s">
        <v>121</v>
      </c>
      <c r="C48" s="117" t="s">
        <v>122</v>
      </c>
      <c r="D48" s="117" t="s">
        <v>123</v>
      </c>
      <c r="E48" s="117" t="s">
        <v>124</v>
      </c>
      <c r="F48" s="117" t="s">
        <v>572</v>
      </c>
      <c r="G48" s="117" t="s">
        <v>573</v>
      </c>
      <c r="H48" s="118" t="s">
        <v>572</v>
      </c>
      <c r="I48" s="119" t="s">
        <v>573</v>
      </c>
      <c r="J48" s="120" t="s">
        <v>2508</v>
      </c>
      <c r="K48" s="120" t="s">
        <v>2508</v>
      </c>
      <c r="L48" s="118"/>
      <c r="M48" s="119"/>
      <c r="N48" s="118"/>
      <c r="O48" s="119"/>
      <c r="P48" s="117" t="s">
        <v>28</v>
      </c>
      <c r="Q48" s="117" t="s">
        <v>45</v>
      </c>
      <c r="R48" s="117" t="b">
        <v>1</v>
      </c>
      <c r="S48" s="117" t="b">
        <v>1</v>
      </c>
      <c r="T48" s="117" t="b">
        <v>1</v>
      </c>
      <c r="U48" s="117" t="b">
        <v>0</v>
      </c>
      <c r="V48" s="117" t="b">
        <v>0</v>
      </c>
      <c r="W48" s="117" t="b">
        <v>1</v>
      </c>
      <c r="X48" s="117" t="b">
        <v>1</v>
      </c>
      <c r="Y48" s="117" t="b">
        <v>0</v>
      </c>
      <c r="Z48" s="117" t="b">
        <v>0</v>
      </c>
      <c r="AA48" s="117"/>
      <c r="AB48" s="117" t="s">
        <v>574</v>
      </c>
      <c r="AC48" s="117"/>
      <c r="AD48" s="117"/>
      <c r="AE48" s="117"/>
      <c r="AF48" s="117"/>
      <c r="AG48" s="117" t="s">
        <v>575</v>
      </c>
      <c r="AH48" s="117">
        <v>3175031101820010</v>
      </c>
      <c r="AI48" s="117" t="s">
        <v>68</v>
      </c>
      <c r="AJ48" s="117" t="s">
        <v>32</v>
      </c>
      <c r="AK48" s="117"/>
      <c r="AL48" s="117">
        <v>62858131344137</v>
      </c>
      <c r="AM48" s="117"/>
      <c r="AN48" s="117"/>
      <c r="AO48" s="117" t="s">
        <v>577</v>
      </c>
      <c r="AP48" s="117"/>
      <c r="AQ48" s="117" t="s">
        <v>123</v>
      </c>
      <c r="AR48" s="117" t="s">
        <v>1903</v>
      </c>
      <c r="AS48" s="117" t="s">
        <v>124</v>
      </c>
      <c r="AT48" s="117" t="s">
        <v>1915</v>
      </c>
      <c r="AU48" s="117" t="b">
        <v>1</v>
      </c>
      <c r="AV48" s="117" t="b">
        <v>1</v>
      </c>
      <c r="AW48" s="117" t="s">
        <v>572</v>
      </c>
      <c r="AX48" s="117" t="s">
        <v>573</v>
      </c>
      <c r="AY48" s="117" t="s">
        <v>2146</v>
      </c>
      <c r="AZ48" s="117" t="s">
        <v>2147</v>
      </c>
      <c r="BA48" s="117" t="b">
        <v>1</v>
      </c>
      <c r="BB48" s="117" t="b">
        <v>1</v>
      </c>
      <c r="BC48" s="117"/>
      <c r="BD48" s="117"/>
      <c r="BE48" s="117">
        <v>0</v>
      </c>
    </row>
    <row r="49" spans="1:57" ht="16">
      <c r="A49" s="117" t="s">
        <v>70</v>
      </c>
      <c r="B49" s="117" t="s">
        <v>121</v>
      </c>
      <c r="C49" s="117" t="s">
        <v>122</v>
      </c>
      <c r="D49" s="117" t="s">
        <v>123</v>
      </c>
      <c r="E49" s="117" t="s">
        <v>124</v>
      </c>
      <c r="F49" s="117" t="s">
        <v>578</v>
      </c>
      <c r="G49" s="117" t="s">
        <v>579</v>
      </c>
      <c r="H49" s="118" t="s">
        <v>578</v>
      </c>
      <c r="I49" s="119" t="s">
        <v>579</v>
      </c>
      <c r="J49" s="120" t="s">
        <v>2508</v>
      </c>
      <c r="K49" s="120" t="s">
        <v>2508</v>
      </c>
      <c r="L49" s="118"/>
      <c r="M49" s="119"/>
      <c r="N49" s="118"/>
      <c r="O49" s="119"/>
      <c r="P49" s="117" t="s">
        <v>28</v>
      </c>
      <c r="Q49" s="117" t="s">
        <v>45</v>
      </c>
      <c r="R49" s="117" t="b">
        <v>1</v>
      </c>
      <c r="S49" s="117" t="b">
        <v>1</v>
      </c>
      <c r="T49" s="117" t="b">
        <v>1</v>
      </c>
      <c r="U49" s="117" t="b">
        <v>0</v>
      </c>
      <c r="V49" s="117" t="b">
        <v>0</v>
      </c>
      <c r="W49" s="117" t="b">
        <v>1</v>
      </c>
      <c r="X49" s="117" t="b">
        <v>1</v>
      </c>
      <c r="Y49" s="117" t="b">
        <v>0</v>
      </c>
      <c r="Z49" s="117" t="b">
        <v>0</v>
      </c>
      <c r="AA49" s="117"/>
      <c r="AB49" s="117" t="s">
        <v>580</v>
      </c>
      <c r="AC49" s="117"/>
      <c r="AD49" s="117"/>
      <c r="AE49" s="117"/>
      <c r="AF49" s="117"/>
      <c r="AG49" s="117" t="s">
        <v>581</v>
      </c>
      <c r="AH49" s="117">
        <v>3323180205810000</v>
      </c>
      <c r="AI49" s="117" t="s">
        <v>68</v>
      </c>
      <c r="AJ49" s="117" t="s">
        <v>32</v>
      </c>
      <c r="AK49" s="117"/>
      <c r="AL49" s="117">
        <v>62858831083737</v>
      </c>
      <c r="AM49" s="117"/>
      <c r="AN49" s="117"/>
      <c r="AO49" s="117" t="s">
        <v>583</v>
      </c>
      <c r="AP49" s="117"/>
      <c r="AQ49" s="117" t="s">
        <v>123</v>
      </c>
      <c r="AR49" s="117" t="s">
        <v>1903</v>
      </c>
      <c r="AS49" s="117" t="s">
        <v>124</v>
      </c>
      <c r="AT49" s="117" t="s">
        <v>1915</v>
      </c>
      <c r="AU49" s="117" t="b">
        <v>1</v>
      </c>
      <c r="AV49" s="117" t="b">
        <v>1</v>
      </c>
      <c r="AW49" s="117" t="s">
        <v>578</v>
      </c>
      <c r="AX49" s="117" t="s">
        <v>579</v>
      </c>
      <c r="AY49" s="117" t="s">
        <v>2148</v>
      </c>
      <c r="AZ49" s="117" t="s">
        <v>2149</v>
      </c>
      <c r="BA49" s="117" t="b">
        <v>1</v>
      </c>
      <c r="BB49" s="117" t="b">
        <v>1</v>
      </c>
      <c r="BC49" s="117"/>
      <c r="BD49" s="117"/>
      <c r="BE49" s="117">
        <v>0</v>
      </c>
    </row>
    <row r="50" spans="1:57" ht="16">
      <c r="A50" s="117" t="s">
        <v>70</v>
      </c>
      <c r="B50" s="117" t="s">
        <v>121</v>
      </c>
      <c r="C50" s="117" t="s">
        <v>122</v>
      </c>
      <c r="D50" s="117" t="s">
        <v>123</v>
      </c>
      <c r="E50" s="117" t="s">
        <v>124</v>
      </c>
      <c r="F50" s="117" t="s">
        <v>584</v>
      </c>
      <c r="G50" s="117" t="s">
        <v>585</v>
      </c>
      <c r="H50" s="118" t="s">
        <v>584</v>
      </c>
      <c r="I50" s="119" t="s">
        <v>585</v>
      </c>
      <c r="J50" s="120" t="s">
        <v>2508</v>
      </c>
      <c r="K50" s="120" t="s">
        <v>2508</v>
      </c>
      <c r="L50" s="118"/>
      <c r="M50" s="119"/>
      <c r="N50" s="118"/>
      <c r="O50" s="119"/>
      <c r="P50" s="117" t="s">
        <v>28</v>
      </c>
      <c r="Q50" s="117" t="s">
        <v>45</v>
      </c>
      <c r="R50" s="117" t="b">
        <v>1</v>
      </c>
      <c r="S50" s="117" t="b">
        <v>1</v>
      </c>
      <c r="T50" s="117" t="b">
        <v>1</v>
      </c>
      <c r="U50" s="117" t="b">
        <v>0</v>
      </c>
      <c r="V50" s="117" t="b">
        <v>0</v>
      </c>
      <c r="W50" s="117" t="b">
        <v>1</v>
      </c>
      <c r="X50" s="117" t="b">
        <v>1</v>
      </c>
      <c r="Y50" s="117" t="b">
        <v>0</v>
      </c>
      <c r="Z50" s="117" t="b">
        <v>0</v>
      </c>
      <c r="AA50" s="117"/>
      <c r="AB50" s="117" t="s">
        <v>586</v>
      </c>
      <c r="AC50" s="117"/>
      <c r="AD50" s="117"/>
      <c r="AE50" s="117"/>
      <c r="AF50" s="117"/>
      <c r="AG50" s="117" t="s">
        <v>587</v>
      </c>
      <c r="AH50" s="117">
        <v>3171081905820000</v>
      </c>
      <c r="AI50" s="117" t="s">
        <v>68</v>
      </c>
      <c r="AJ50" s="117" t="s">
        <v>32</v>
      </c>
      <c r="AK50" s="117"/>
      <c r="AL50" s="117">
        <v>62857765271617</v>
      </c>
      <c r="AM50" s="117"/>
      <c r="AN50" s="117"/>
      <c r="AO50" s="117" t="s">
        <v>589</v>
      </c>
      <c r="AP50" s="117"/>
      <c r="AQ50" s="117" t="s">
        <v>123</v>
      </c>
      <c r="AR50" s="117" t="s">
        <v>1903</v>
      </c>
      <c r="AS50" s="117" t="s">
        <v>124</v>
      </c>
      <c r="AT50" s="117" t="s">
        <v>1915</v>
      </c>
      <c r="AU50" s="117" t="b">
        <v>1</v>
      </c>
      <c r="AV50" s="117" t="b">
        <v>1</v>
      </c>
      <c r="AW50" s="117" t="s">
        <v>584</v>
      </c>
      <c r="AX50" s="117" t="s">
        <v>585</v>
      </c>
      <c r="AY50" s="117" t="s">
        <v>2150</v>
      </c>
      <c r="AZ50" s="117" t="s">
        <v>2151</v>
      </c>
      <c r="BA50" s="117" t="b">
        <v>1</v>
      </c>
      <c r="BB50" s="117" t="b">
        <v>1</v>
      </c>
      <c r="BC50" s="117"/>
      <c r="BD50" s="117"/>
      <c r="BE50" s="117">
        <v>0</v>
      </c>
    </row>
    <row r="51" spans="1:57" ht="16">
      <c r="A51" s="117" t="s">
        <v>70</v>
      </c>
      <c r="B51" s="117" t="s">
        <v>121</v>
      </c>
      <c r="C51" s="117" t="s">
        <v>122</v>
      </c>
      <c r="D51" s="117" t="s">
        <v>123</v>
      </c>
      <c r="E51" s="117" t="s">
        <v>124</v>
      </c>
      <c r="F51" s="117" t="s">
        <v>596</v>
      </c>
      <c r="G51" s="117" t="s">
        <v>597</v>
      </c>
      <c r="H51" s="118" t="s">
        <v>596</v>
      </c>
      <c r="I51" s="119" t="s">
        <v>597</v>
      </c>
      <c r="J51" s="120" t="s">
        <v>2508</v>
      </c>
      <c r="K51" s="120" t="s">
        <v>2508</v>
      </c>
      <c r="L51" s="118"/>
      <c r="M51" s="119"/>
      <c r="N51" s="118"/>
      <c r="O51" s="119"/>
      <c r="P51" s="117" t="s">
        <v>28</v>
      </c>
      <c r="Q51" s="117" t="s">
        <v>45</v>
      </c>
      <c r="R51" s="117" t="b">
        <v>1</v>
      </c>
      <c r="S51" s="117" t="b">
        <v>1</v>
      </c>
      <c r="T51" s="117" t="b">
        <v>1</v>
      </c>
      <c r="U51" s="117" t="b">
        <v>0</v>
      </c>
      <c r="V51" s="117" t="b">
        <v>0</v>
      </c>
      <c r="W51" s="117" t="b">
        <v>1</v>
      </c>
      <c r="X51" s="117" t="b">
        <v>1</v>
      </c>
      <c r="Y51" s="117" t="b">
        <v>0</v>
      </c>
      <c r="Z51" s="117" t="b">
        <v>0</v>
      </c>
      <c r="AA51" s="117"/>
      <c r="AB51" s="117" t="s">
        <v>598</v>
      </c>
      <c r="AC51" s="117"/>
      <c r="AD51" s="117"/>
      <c r="AE51" s="117"/>
      <c r="AF51" s="117"/>
      <c r="AG51" s="117" t="s">
        <v>599</v>
      </c>
      <c r="AH51" s="117">
        <v>3175033010820000</v>
      </c>
      <c r="AI51" s="117" t="s">
        <v>68</v>
      </c>
      <c r="AJ51" s="117" t="s">
        <v>32</v>
      </c>
      <c r="AK51" s="117"/>
      <c r="AL51" s="117">
        <v>62858909225157</v>
      </c>
      <c r="AM51" s="117"/>
      <c r="AN51" s="117"/>
      <c r="AO51" s="117" t="s">
        <v>601</v>
      </c>
      <c r="AP51" s="117"/>
      <c r="AQ51" s="117" t="s">
        <v>123</v>
      </c>
      <c r="AR51" s="117" t="s">
        <v>1903</v>
      </c>
      <c r="AS51" s="117" t="s">
        <v>124</v>
      </c>
      <c r="AT51" s="117" t="s">
        <v>1915</v>
      </c>
      <c r="AU51" s="117" t="b">
        <v>1</v>
      </c>
      <c r="AV51" s="117" t="b">
        <v>1</v>
      </c>
      <c r="AW51" s="117" t="s">
        <v>596</v>
      </c>
      <c r="AX51" s="117" t="s">
        <v>597</v>
      </c>
      <c r="AY51" s="117" t="s">
        <v>2154</v>
      </c>
      <c r="AZ51" s="117" t="s">
        <v>2155</v>
      </c>
      <c r="BA51" s="117" t="b">
        <v>1</v>
      </c>
      <c r="BB51" s="117" t="b">
        <v>1</v>
      </c>
      <c r="BC51" s="117"/>
      <c r="BD51" s="117"/>
      <c r="BE51" s="117">
        <v>0</v>
      </c>
    </row>
    <row r="52" spans="1:57" ht="16">
      <c r="A52" s="117" t="s">
        <v>70</v>
      </c>
      <c r="B52" s="117" t="s">
        <v>71</v>
      </c>
      <c r="C52" s="117" t="s">
        <v>72</v>
      </c>
      <c r="D52" s="117" t="s">
        <v>73</v>
      </c>
      <c r="E52" s="117" t="s">
        <v>74</v>
      </c>
      <c r="F52" s="117">
        <v>2613050474</v>
      </c>
      <c r="G52" s="117" t="s">
        <v>76</v>
      </c>
      <c r="H52" s="118">
        <v>2613050474</v>
      </c>
      <c r="I52" s="119" t="s">
        <v>76</v>
      </c>
      <c r="J52" s="120" t="s">
        <v>2508</v>
      </c>
      <c r="K52" s="120" t="s">
        <v>2508</v>
      </c>
      <c r="L52" s="118"/>
      <c r="M52" s="119"/>
      <c r="N52" s="118"/>
      <c r="O52" s="119"/>
      <c r="P52" s="117" t="s">
        <v>28</v>
      </c>
      <c r="Q52" s="117" t="s">
        <v>45</v>
      </c>
      <c r="R52" s="117" t="b">
        <v>1</v>
      </c>
      <c r="S52" s="117" t="b">
        <v>1</v>
      </c>
      <c r="T52" s="117" t="b">
        <v>1</v>
      </c>
      <c r="U52" s="117" t="b">
        <v>0</v>
      </c>
      <c r="V52" s="117" t="b">
        <v>0</v>
      </c>
      <c r="W52" s="117" t="b">
        <v>1</v>
      </c>
      <c r="X52" s="117" t="b">
        <v>1</v>
      </c>
      <c r="Y52" s="117" t="b">
        <v>0</v>
      </c>
      <c r="Z52" s="117" t="b">
        <v>0</v>
      </c>
      <c r="AA52" s="117"/>
      <c r="AB52" s="117" t="s">
        <v>77</v>
      </c>
      <c r="AC52" s="117"/>
      <c r="AD52" s="117"/>
      <c r="AE52" s="117"/>
      <c r="AF52" s="117"/>
      <c r="AG52" s="117" t="s">
        <v>78</v>
      </c>
      <c r="AH52" s="117">
        <v>3175030306000000</v>
      </c>
      <c r="AI52" s="117" t="s">
        <v>68</v>
      </c>
      <c r="AJ52" s="117" t="s">
        <v>32</v>
      </c>
      <c r="AK52" s="117"/>
      <c r="AL52" s="117">
        <v>6285691354474</v>
      </c>
      <c r="AM52" s="117"/>
      <c r="AN52" s="117"/>
      <c r="AO52" s="117" t="s">
        <v>80</v>
      </c>
      <c r="AP52" s="117"/>
      <c r="AQ52" s="117" t="s">
        <v>73</v>
      </c>
      <c r="AR52" s="117" t="s">
        <v>1903</v>
      </c>
      <c r="AS52" s="117" t="s">
        <v>74</v>
      </c>
      <c r="AT52" s="117" t="s">
        <v>1912</v>
      </c>
      <c r="AU52" s="117" t="b">
        <v>1</v>
      </c>
      <c r="AV52" s="117" t="b">
        <v>1</v>
      </c>
      <c r="AW52" s="117">
        <v>2613050474</v>
      </c>
      <c r="AX52" s="117" t="s">
        <v>76</v>
      </c>
      <c r="AY52" s="117" t="s">
        <v>2006</v>
      </c>
      <c r="AZ52" s="117" t="s">
        <v>2007</v>
      </c>
      <c r="BA52" s="117" t="b">
        <v>1</v>
      </c>
      <c r="BB52" s="117" t="b">
        <v>1</v>
      </c>
      <c r="BC52" s="117"/>
      <c r="BD52" s="117"/>
      <c r="BE52" s="117">
        <v>0</v>
      </c>
    </row>
    <row r="53" spans="1:57" ht="16">
      <c r="A53" s="117" t="s">
        <v>70</v>
      </c>
      <c r="B53" s="117" t="s">
        <v>71</v>
      </c>
      <c r="C53" s="117" t="s">
        <v>72</v>
      </c>
      <c r="D53" s="117" t="s">
        <v>73</v>
      </c>
      <c r="E53" s="117" t="s">
        <v>74</v>
      </c>
      <c r="F53" s="117">
        <v>2613051092</v>
      </c>
      <c r="G53" s="117" t="s">
        <v>225</v>
      </c>
      <c r="H53" s="118">
        <v>2613051092</v>
      </c>
      <c r="I53" s="119" t="s">
        <v>225</v>
      </c>
      <c r="J53" s="120" t="s">
        <v>2508</v>
      </c>
      <c r="K53" s="120" t="s">
        <v>2508</v>
      </c>
      <c r="L53" s="118"/>
      <c r="M53" s="119"/>
      <c r="N53" s="118"/>
      <c r="O53" s="119"/>
      <c r="P53" s="117" t="s">
        <v>28</v>
      </c>
      <c r="Q53" s="117" t="s">
        <v>45</v>
      </c>
      <c r="R53" s="117" t="b">
        <v>1</v>
      </c>
      <c r="S53" s="117" t="b">
        <v>1</v>
      </c>
      <c r="T53" s="117" t="b">
        <v>1</v>
      </c>
      <c r="U53" s="117" t="b">
        <v>0</v>
      </c>
      <c r="V53" s="117" t="b">
        <v>0</v>
      </c>
      <c r="W53" s="117" t="b">
        <v>1</v>
      </c>
      <c r="X53" s="117" t="b">
        <v>1</v>
      </c>
      <c r="Y53" s="117" t="b">
        <v>0</v>
      </c>
      <c r="Z53" s="117" t="b">
        <v>0</v>
      </c>
      <c r="AA53" s="117"/>
      <c r="AB53" s="117" t="s">
        <v>226</v>
      </c>
      <c r="AC53" s="117"/>
      <c r="AD53" s="117"/>
      <c r="AE53" s="117"/>
      <c r="AF53" s="117"/>
      <c r="AG53" s="117" t="s">
        <v>227</v>
      </c>
      <c r="AH53" s="117">
        <v>3172042108970000</v>
      </c>
      <c r="AI53" s="117" t="s">
        <v>68</v>
      </c>
      <c r="AJ53" s="117" t="s">
        <v>32</v>
      </c>
      <c r="AK53" s="117"/>
      <c r="AL53" s="117">
        <v>6285781257152</v>
      </c>
      <c r="AM53" s="117"/>
      <c r="AN53" s="117"/>
      <c r="AO53" s="117" t="s">
        <v>229</v>
      </c>
      <c r="AP53" s="117"/>
      <c r="AQ53" s="117" t="s">
        <v>73</v>
      </c>
      <c r="AR53" s="117" t="s">
        <v>1903</v>
      </c>
      <c r="AS53" s="117" t="s">
        <v>74</v>
      </c>
      <c r="AT53" s="117" t="s">
        <v>1912</v>
      </c>
      <c r="AU53" s="117" t="b">
        <v>1</v>
      </c>
      <c r="AV53" s="117" t="b">
        <v>1</v>
      </c>
      <c r="AW53" s="117">
        <v>2613051092</v>
      </c>
      <c r="AX53" s="117" t="s">
        <v>225</v>
      </c>
      <c r="AY53" s="117" t="s">
        <v>2048</v>
      </c>
      <c r="AZ53" s="117" t="s">
        <v>2049</v>
      </c>
      <c r="BA53" s="117" t="b">
        <v>1</v>
      </c>
      <c r="BB53" s="117" t="b">
        <v>1</v>
      </c>
      <c r="BC53" s="117"/>
      <c r="BD53" s="117"/>
      <c r="BE53" s="117" t="s">
        <v>2505</v>
      </c>
    </row>
    <row r="54" spans="1:57" ht="16">
      <c r="A54" s="117" t="s">
        <v>70</v>
      </c>
      <c r="B54" s="117" t="s">
        <v>71</v>
      </c>
      <c r="C54" s="117" t="s">
        <v>72</v>
      </c>
      <c r="D54" s="117" t="s">
        <v>73</v>
      </c>
      <c r="E54" s="117" t="s">
        <v>74</v>
      </c>
      <c r="F54" s="117">
        <v>2613051872</v>
      </c>
      <c r="G54" s="117" t="s">
        <v>275</v>
      </c>
      <c r="H54" s="118">
        <v>2613051872</v>
      </c>
      <c r="I54" s="119" t="s">
        <v>275</v>
      </c>
      <c r="J54" s="120" t="s">
        <v>2508</v>
      </c>
      <c r="K54" s="120" t="s">
        <v>2508</v>
      </c>
      <c r="L54" s="118"/>
      <c r="M54" s="119"/>
      <c r="N54" s="118"/>
      <c r="O54" s="119"/>
      <c r="P54" s="117" t="s">
        <v>28</v>
      </c>
      <c r="Q54" s="117" t="s">
        <v>45</v>
      </c>
      <c r="R54" s="117" t="b">
        <v>1</v>
      </c>
      <c r="S54" s="117" t="b">
        <v>1</v>
      </c>
      <c r="T54" s="117" t="b">
        <v>1</v>
      </c>
      <c r="U54" s="117" t="b">
        <v>0</v>
      </c>
      <c r="V54" s="117" t="b">
        <v>0</v>
      </c>
      <c r="W54" s="117" t="b">
        <v>1</v>
      </c>
      <c r="X54" s="117" t="b">
        <v>1</v>
      </c>
      <c r="Y54" s="117" t="b">
        <v>0</v>
      </c>
      <c r="Z54" s="117" t="b">
        <v>0</v>
      </c>
      <c r="AA54" s="117"/>
      <c r="AB54" s="117" t="s">
        <v>276</v>
      </c>
      <c r="AC54" s="117"/>
      <c r="AD54" s="117"/>
      <c r="AE54" s="117"/>
      <c r="AF54" s="117"/>
      <c r="AG54" s="117" t="s">
        <v>277</v>
      </c>
      <c r="AH54" s="117">
        <v>3275031805840010</v>
      </c>
      <c r="AI54" s="117" t="s">
        <v>68</v>
      </c>
      <c r="AJ54" s="117" t="s">
        <v>32</v>
      </c>
      <c r="AK54" s="117"/>
      <c r="AL54" s="117">
        <v>6285888855077</v>
      </c>
      <c r="AM54" s="117"/>
      <c r="AN54" s="117"/>
      <c r="AO54" s="117" t="s">
        <v>279</v>
      </c>
      <c r="AP54" s="117" t="s">
        <v>280</v>
      </c>
      <c r="AQ54" s="117" t="s">
        <v>73</v>
      </c>
      <c r="AR54" s="117" t="s">
        <v>1903</v>
      </c>
      <c r="AS54" s="117" t="s">
        <v>74</v>
      </c>
      <c r="AT54" s="117" t="s">
        <v>1912</v>
      </c>
      <c r="AU54" s="117" t="b">
        <v>1</v>
      </c>
      <c r="AV54" s="117" t="b">
        <v>1</v>
      </c>
      <c r="AW54" s="117">
        <v>2613051872</v>
      </c>
      <c r="AX54" s="117" t="s">
        <v>275</v>
      </c>
      <c r="AY54" s="117" t="s">
        <v>2066</v>
      </c>
      <c r="AZ54" s="117" t="s">
        <v>2067</v>
      </c>
      <c r="BA54" s="117" t="b">
        <v>1</v>
      </c>
      <c r="BB54" s="117" t="b">
        <v>1</v>
      </c>
      <c r="BC54" s="117"/>
      <c r="BD54" s="117"/>
      <c r="BE54" s="117">
        <v>0</v>
      </c>
    </row>
    <row r="55" spans="1:57" ht="16">
      <c r="A55" s="117" t="s">
        <v>70</v>
      </c>
      <c r="B55" s="117" t="s">
        <v>71</v>
      </c>
      <c r="C55" s="117" t="s">
        <v>72</v>
      </c>
      <c r="D55" s="117" t="s">
        <v>73</v>
      </c>
      <c r="E55" s="117" t="s">
        <v>74</v>
      </c>
      <c r="F55" s="117" t="s">
        <v>941</v>
      </c>
      <c r="G55" s="117" t="s">
        <v>942</v>
      </c>
      <c r="H55" s="118" t="s">
        <v>941</v>
      </c>
      <c r="I55" s="119" t="s">
        <v>942</v>
      </c>
      <c r="J55" s="120" t="s">
        <v>2508</v>
      </c>
      <c r="K55" s="120" t="s">
        <v>2508</v>
      </c>
      <c r="L55" s="118"/>
      <c r="M55" s="119"/>
      <c r="N55" s="118"/>
      <c r="O55" s="119"/>
      <c r="P55" s="117" t="s">
        <v>28</v>
      </c>
      <c r="Q55" s="117" t="s">
        <v>45</v>
      </c>
      <c r="R55" s="117" t="b">
        <v>1</v>
      </c>
      <c r="S55" s="117" t="b">
        <v>1</v>
      </c>
      <c r="T55" s="117" t="b">
        <v>1</v>
      </c>
      <c r="U55" s="117" t="b">
        <v>0</v>
      </c>
      <c r="V55" s="117" t="b">
        <v>0</v>
      </c>
      <c r="W55" s="117" t="b">
        <v>1</v>
      </c>
      <c r="X55" s="117" t="b">
        <v>1</v>
      </c>
      <c r="Y55" s="117" t="b">
        <v>0</v>
      </c>
      <c r="Z55" s="117" t="b">
        <v>0</v>
      </c>
      <c r="AA55" s="117"/>
      <c r="AB55" s="117" t="s">
        <v>943</v>
      </c>
      <c r="AC55" s="117"/>
      <c r="AD55" s="117"/>
      <c r="AE55" s="117"/>
      <c r="AF55" s="117"/>
      <c r="AG55" s="117" t="s">
        <v>944</v>
      </c>
      <c r="AH55" s="117">
        <v>3175070306770010</v>
      </c>
      <c r="AI55" s="117" t="s">
        <v>68</v>
      </c>
      <c r="AJ55" s="117" t="s">
        <v>32</v>
      </c>
      <c r="AK55" s="117"/>
      <c r="AL55" s="117">
        <v>6285692700649</v>
      </c>
      <c r="AM55" s="117"/>
      <c r="AN55" s="117"/>
      <c r="AO55" s="117" t="s">
        <v>946</v>
      </c>
      <c r="AP55" s="117"/>
      <c r="AQ55" s="117" t="s">
        <v>73</v>
      </c>
      <c r="AR55" s="117" t="s">
        <v>1903</v>
      </c>
      <c r="AS55" s="117" t="s">
        <v>74</v>
      </c>
      <c r="AT55" s="117" t="s">
        <v>1912</v>
      </c>
      <c r="AU55" s="117" t="b">
        <v>1</v>
      </c>
      <c r="AV55" s="117" t="b">
        <v>1</v>
      </c>
      <c r="AW55" s="117" t="s">
        <v>941</v>
      </c>
      <c r="AX55" s="117" t="s">
        <v>942</v>
      </c>
      <c r="AY55" s="117" t="s">
        <v>2228</v>
      </c>
      <c r="AZ55" s="117" t="s">
        <v>2229</v>
      </c>
      <c r="BA55" s="117" t="b">
        <v>1</v>
      </c>
      <c r="BB55" s="117" t="b">
        <v>1</v>
      </c>
      <c r="BC55" s="117"/>
      <c r="BD55" s="117"/>
      <c r="BE55" s="117">
        <v>0</v>
      </c>
    </row>
    <row r="56" spans="1:57" ht="16">
      <c r="A56" s="117" t="s">
        <v>70</v>
      </c>
      <c r="B56" s="117" t="s">
        <v>71</v>
      </c>
      <c r="C56" s="117" t="s">
        <v>72</v>
      </c>
      <c r="D56" s="117" t="s">
        <v>73</v>
      </c>
      <c r="E56" s="117" t="s">
        <v>74</v>
      </c>
      <c r="F56" s="117" t="s">
        <v>947</v>
      </c>
      <c r="G56" s="117" t="s">
        <v>948</v>
      </c>
      <c r="H56" s="118" t="s">
        <v>947</v>
      </c>
      <c r="I56" s="119" t="s">
        <v>948</v>
      </c>
      <c r="J56" s="120" t="s">
        <v>2508</v>
      </c>
      <c r="K56" s="120" t="s">
        <v>2508</v>
      </c>
      <c r="L56" s="118"/>
      <c r="M56" s="119"/>
      <c r="N56" s="118"/>
      <c r="O56" s="119"/>
      <c r="P56" s="117" t="s">
        <v>28</v>
      </c>
      <c r="Q56" s="117" t="s">
        <v>45</v>
      </c>
      <c r="R56" s="117" t="b">
        <v>1</v>
      </c>
      <c r="S56" s="117" t="b">
        <v>1</v>
      </c>
      <c r="T56" s="117" t="b">
        <v>1</v>
      </c>
      <c r="U56" s="117" t="b">
        <v>0</v>
      </c>
      <c r="V56" s="117" t="b">
        <v>0</v>
      </c>
      <c r="W56" s="117" t="b">
        <v>1</v>
      </c>
      <c r="X56" s="117" t="b">
        <v>1</v>
      </c>
      <c r="Y56" s="117" t="b">
        <v>0</v>
      </c>
      <c r="Z56" s="117" t="b">
        <v>0</v>
      </c>
      <c r="AA56" s="117"/>
      <c r="AB56" s="117" t="s">
        <v>949</v>
      </c>
      <c r="AC56" s="117"/>
      <c r="AD56" s="117"/>
      <c r="AE56" s="117"/>
      <c r="AF56" s="117"/>
      <c r="AG56" s="117" t="s">
        <v>950</v>
      </c>
      <c r="AH56" s="117">
        <v>3172020204940000</v>
      </c>
      <c r="AI56" s="117" t="s">
        <v>68</v>
      </c>
      <c r="AJ56" s="117" t="s">
        <v>32</v>
      </c>
      <c r="AK56" s="117"/>
      <c r="AL56" s="117">
        <v>6285692700656</v>
      </c>
      <c r="AM56" s="117"/>
      <c r="AN56" s="117"/>
      <c r="AO56" s="117" t="s">
        <v>952</v>
      </c>
      <c r="AP56" s="117"/>
      <c r="AQ56" s="117" t="s">
        <v>73</v>
      </c>
      <c r="AR56" s="117" t="s">
        <v>1903</v>
      </c>
      <c r="AS56" s="117" t="s">
        <v>74</v>
      </c>
      <c r="AT56" s="117" t="s">
        <v>1912</v>
      </c>
      <c r="AU56" s="117" t="b">
        <v>1</v>
      </c>
      <c r="AV56" s="117" t="b">
        <v>1</v>
      </c>
      <c r="AW56" s="117" t="s">
        <v>947</v>
      </c>
      <c r="AX56" s="117" t="s">
        <v>948</v>
      </c>
      <c r="AY56" s="117" t="s">
        <v>2230</v>
      </c>
      <c r="AZ56" s="117" t="s">
        <v>2231</v>
      </c>
      <c r="BA56" s="117" t="b">
        <v>1</v>
      </c>
      <c r="BB56" s="117" t="b">
        <v>1</v>
      </c>
      <c r="BC56" s="117"/>
      <c r="BD56" s="117"/>
      <c r="BE56" s="117">
        <v>0</v>
      </c>
    </row>
    <row r="57" spans="1:57" ht="16">
      <c r="A57" s="117" t="s">
        <v>70</v>
      </c>
      <c r="B57" s="117" t="s">
        <v>71</v>
      </c>
      <c r="C57" s="117" t="s">
        <v>72</v>
      </c>
      <c r="D57" s="117" t="s">
        <v>73</v>
      </c>
      <c r="E57" s="117" t="s">
        <v>74</v>
      </c>
      <c r="F57" s="117" t="s">
        <v>953</v>
      </c>
      <c r="G57" s="117" t="s">
        <v>954</v>
      </c>
      <c r="H57" s="118" t="s">
        <v>953</v>
      </c>
      <c r="I57" s="119" t="s">
        <v>954</v>
      </c>
      <c r="J57" s="120" t="s">
        <v>2508</v>
      </c>
      <c r="K57" s="120" t="s">
        <v>2508</v>
      </c>
      <c r="L57" s="118"/>
      <c r="M57" s="119"/>
      <c r="N57" s="118"/>
      <c r="O57" s="119"/>
      <c r="P57" s="117" t="s">
        <v>28</v>
      </c>
      <c r="Q57" s="117" t="s">
        <v>45</v>
      </c>
      <c r="R57" s="117" t="b">
        <v>1</v>
      </c>
      <c r="S57" s="117" t="b">
        <v>1</v>
      </c>
      <c r="T57" s="117" t="b">
        <v>1</v>
      </c>
      <c r="U57" s="117" t="b">
        <v>0</v>
      </c>
      <c r="V57" s="117" t="b">
        <v>0</v>
      </c>
      <c r="W57" s="117" t="b">
        <v>1</v>
      </c>
      <c r="X57" s="117" t="b">
        <v>1</v>
      </c>
      <c r="Y57" s="117" t="b">
        <v>0</v>
      </c>
      <c r="Z57" s="117" t="b">
        <v>0</v>
      </c>
      <c r="AA57" s="117"/>
      <c r="AB57" s="117" t="s">
        <v>955</v>
      </c>
      <c r="AC57" s="117"/>
      <c r="AD57" s="117"/>
      <c r="AE57" s="117"/>
      <c r="AF57" s="117"/>
      <c r="AG57" s="117" t="s">
        <v>956</v>
      </c>
      <c r="AH57" s="117">
        <v>3172040806800000</v>
      </c>
      <c r="AI57" s="117" t="s">
        <v>68</v>
      </c>
      <c r="AJ57" s="117" t="s">
        <v>32</v>
      </c>
      <c r="AK57" s="117"/>
      <c r="AL57" s="117">
        <v>6285692700657</v>
      </c>
      <c r="AM57" s="117"/>
      <c r="AN57" s="117"/>
      <c r="AO57" s="117" t="s">
        <v>958</v>
      </c>
      <c r="AP57" s="117"/>
      <c r="AQ57" s="117" t="s">
        <v>73</v>
      </c>
      <c r="AR57" s="117" t="s">
        <v>1903</v>
      </c>
      <c r="AS57" s="117" t="s">
        <v>74</v>
      </c>
      <c r="AT57" s="117" t="s">
        <v>1912</v>
      </c>
      <c r="AU57" s="117" t="b">
        <v>1</v>
      </c>
      <c r="AV57" s="117" t="b">
        <v>1</v>
      </c>
      <c r="AW57" s="117" t="s">
        <v>953</v>
      </c>
      <c r="AX57" s="117" t="s">
        <v>954</v>
      </c>
      <c r="AY57" s="117" t="s">
        <v>2232</v>
      </c>
      <c r="AZ57" s="117" t="s">
        <v>2233</v>
      </c>
      <c r="BA57" s="117" t="b">
        <v>1</v>
      </c>
      <c r="BB57" s="117" t="b">
        <v>1</v>
      </c>
      <c r="BC57" s="117"/>
      <c r="BD57" s="117"/>
      <c r="BE57" s="117">
        <v>0</v>
      </c>
    </row>
    <row r="58" spans="1:57" ht="16">
      <c r="A58" s="117" t="s">
        <v>70</v>
      </c>
      <c r="B58" s="117" t="s">
        <v>71</v>
      </c>
      <c r="C58" s="117" t="s">
        <v>72</v>
      </c>
      <c r="D58" s="117" t="s">
        <v>73</v>
      </c>
      <c r="E58" s="117" t="s">
        <v>74</v>
      </c>
      <c r="F58" s="117" t="s">
        <v>971</v>
      </c>
      <c r="G58" s="117" t="s">
        <v>972</v>
      </c>
      <c r="H58" s="118" t="s">
        <v>971</v>
      </c>
      <c r="I58" s="119" t="s">
        <v>972</v>
      </c>
      <c r="J58" s="120" t="s">
        <v>2508</v>
      </c>
      <c r="K58" s="120" t="s">
        <v>2508</v>
      </c>
      <c r="L58" s="118"/>
      <c r="M58" s="119"/>
      <c r="N58" s="118"/>
      <c r="O58" s="119"/>
      <c r="P58" s="117" t="s">
        <v>28</v>
      </c>
      <c r="Q58" s="117" t="s">
        <v>45</v>
      </c>
      <c r="R58" s="117" t="b">
        <v>1</v>
      </c>
      <c r="S58" s="117" t="b">
        <v>1</v>
      </c>
      <c r="T58" s="117" t="b">
        <v>1</v>
      </c>
      <c r="U58" s="117" t="b">
        <v>0</v>
      </c>
      <c r="V58" s="117" t="b">
        <v>0</v>
      </c>
      <c r="W58" s="117" t="b">
        <v>1</v>
      </c>
      <c r="X58" s="117" t="b">
        <v>1</v>
      </c>
      <c r="Y58" s="117" t="b">
        <v>0</v>
      </c>
      <c r="Z58" s="117" t="b">
        <v>0</v>
      </c>
      <c r="AA58" s="117"/>
      <c r="AB58" s="117" t="s">
        <v>973</v>
      </c>
      <c r="AC58" s="117"/>
      <c r="AD58" s="117"/>
      <c r="AE58" s="117"/>
      <c r="AF58" s="117"/>
      <c r="AG58" s="117" t="s">
        <v>974</v>
      </c>
      <c r="AH58" s="117">
        <v>3172041509830000</v>
      </c>
      <c r="AI58" s="117" t="s">
        <v>68</v>
      </c>
      <c r="AJ58" s="117" t="s">
        <v>32</v>
      </c>
      <c r="AK58" s="117"/>
      <c r="AL58" s="117">
        <v>6285692700662</v>
      </c>
      <c r="AM58" s="117"/>
      <c r="AN58" s="117"/>
      <c r="AO58" s="117" t="s">
        <v>976</v>
      </c>
      <c r="AP58" s="117"/>
      <c r="AQ58" s="117" t="s">
        <v>73</v>
      </c>
      <c r="AR58" s="117" t="s">
        <v>1903</v>
      </c>
      <c r="AS58" s="117" t="s">
        <v>74</v>
      </c>
      <c r="AT58" s="117" t="s">
        <v>1912</v>
      </c>
      <c r="AU58" s="117" t="b">
        <v>1</v>
      </c>
      <c r="AV58" s="117" t="b">
        <v>1</v>
      </c>
      <c r="AW58" s="117" t="s">
        <v>971</v>
      </c>
      <c r="AX58" s="117" t="s">
        <v>972</v>
      </c>
      <c r="AY58" s="117" t="s">
        <v>2238</v>
      </c>
      <c r="AZ58" s="117" t="s">
        <v>2239</v>
      </c>
      <c r="BA58" s="117" t="b">
        <v>1</v>
      </c>
      <c r="BB58" s="117" t="b">
        <v>1</v>
      </c>
      <c r="BC58" s="117"/>
      <c r="BD58" s="117"/>
      <c r="BE58" s="117">
        <v>0</v>
      </c>
    </row>
    <row r="59" spans="1:57" ht="16">
      <c r="A59" s="117" t="s">
        <v>70</v>
      </c>
      <c r="B59" s="117" t="s">
        <v>111</v>
      </c>
      <c r="C59" s="117" t="s">
        <v>112</v>
      </c>
      <c r="D59" s="117" t="s">
        <v>113</v>
      </c>
      <c r="E59" s="117" t="s">
        <v>114</v>
      </c>
      <c r="F59" s="117">
        <v>2613050954</v>
      </c>
      <c r="G59" s="117" t="s">
        <v>115</v>
      </c>
      <c r="H59" s="118">
        <v>2613050954</v>
      </c>
      <c r="I59" s="119" t="s">
        <v>115</v>
      </c>
      <c r="J59" s="120" t="s">
        <v>2508</v>
      </c>
      <c r="K59" s="120" t="s">
        <v>2508</v>
      </c>
      <c r="L59" s="118"/>
      <c r="M59" s="119"/>
      <c r="N59" s="118"/>
      <c r="O59" s="119"/>
      <c r="P59" s="117" t="s">
        <v>28</v>
      </c>
      <c r="Q59" s="117" t="s">
        <v>45</v>
      </c>
      <c r="R59" s="117" t="b">
        <v>1</v>
      </c>
      <c r="S59" s="117" t="b">
        <v>1</v>
      </c>
      <c r="T59" s="117" t="b">
        <v>1</v>
      </c>
      <c r="U59" s="117" t="b">
        <v>0</v>
      </c>
      <c r="V59" s="117" t="b">
        <v>0</v>
      </c>
      <c r="W59" s="117" t="b">
        <v>1</v>
      </c>
      <c r="X59" s="117" t="b">
        <v>1</v>
      </c>
      <c r="Y59" s="117" t="b">
        <v>0</v>
      </c>
      <c r="Z59" s="117" t="b">
        <v>0</v>
      </c>
      <c r="AA59" s="117"/>
      <c r="AB59" s="117" t="s">
        <v>116</v>
      </c>
      <c r="AC59" s="117"/>
      <c r="AD59" s="117"/>
      <c r="AE59" s="117"/>
      <c r="AF59" s="117"/>
      <c r="AG59" s="117" t="s">
        <v>117</v>
      </c>
      <c r="AH59" s="117">
        <v>3175025311010010</v>
      </c>
      <c r="AI59" s="117" t="s">
        <v>119</v>
      </c>
      <c r="AJ59" s="117" t="s">
        <v>32</v>
      </c>
      <c r="AK59" s="117"/>
      <c r="AL59" s="117">
        <v>6285839976830</v>
      </c>
      <c r="AM59" s="117"/>
      <c r="AN59" s="117"/>
      <c r="AO59" s="117" t="s">
        <v>120</v>
      </c>
      <c r="AP59" s="117"/>
      <c r="AQ59" s="117" t="s">
        <v>113</v>
      </c>
      <c r="AR59" s="117" t="s">
        <v>1903</v>
      </c>
      <c r="AS59" s="117" t="s">
        <v>114</v>
      </c>
      <c r="AT59" s="117" t="s">
        <v>1914</v>
      </c>
      <c r="AU59" s="117" t="b">
        <v>1</v>
      </c>
      <c r="AV59" s="117" t="b">
        <v>1</v>
      </c>
      <c r="AW59" s="117">
        <v>2613050954</v>
      </c>
      <c r="AX59" s="117" t="s">
        <v>115</v>
      </c>
      <c r="AY59" s="117" t="s">
        <v>2014</v>
      </c>
      <c r="AZ59" s="117" t="s">
        <v>2015</v>
      </c>
      <c r="BA59" s="117" t="b">
        <v>1</v>
      </c>
      <c r="BB59" s="117" t="b">
        <v>1</v>
      </c>
      <c r="BC59" s="117"/>
      <c r="BD59" s="117"/>
      <c r="BE59" s="117">
        <v>0</v>
      </c>
    </row>
    <row r="60" spans="1:57" ht="16">
      <c r="A60" s="117" t="s">
        <v>70</v>
      </c>
      <c r="B60" s="117" t="s">
        <v>111</v>
      </c>
      <c r="C60" s="117" t="s">
        <v>112</v>
      </c>
      <c r="D60" s="117" t="s">
        <v>113</v>
      </c>
      <c r="E60" s="117" t="s">
        <v>114</v>
      </c>
      <c r="F60" s="117" t="s">
        <v>783</v>
      </c>
      <c r="G60" s="117" t="s">
        <v>784</v>
      </c>
      <c r="H60" s="118" t="s">
        <v>783</v>
      </c>
      <c r="I60" s="119" t="s">
        <v>784</v>
      </c>
      <c r="J60" s="120" t="s">
        <v>2508</v>
      </c>
      <c r="K60" s="119" t="s">
        <v>2509</v>
      </c>
      <c r="L60" s="118"/>
      <c r="M60" s="119"/>
      <c r="N60" s="118"/>
      <c r="O60" s="119"/>
      <c r="P60" s="117" t="s">
        <v>28</v>
      </c>
      <c r="Q60" s="117" t="s">
        <v>45</v>
      </c>
      <c r="R60" s="117" t="b">
        <v>1</v>
      </c>
      <c r="S60" s="117" t="b">
        <v>1</v>
      </c>
      <c r="T60" s="117" t="b">
        <v>0</v>
      </c>
      <c r="U60" s="117" t="b">
        <v>0</v>
      </c>
      <c r="V60" s="117" t="b">
        <v>0</v>
      </c>
      <c r="W60" s="117" t="b">
        <v>1</v>
      </c>
      <c r="X60" s="117" t="b">
        <v>0</v>
      </c>
      <c r="Y60" s="117" t="b">
        <v>0</v>
      </c>
      <c r="Z60" s="117" t="b">
        <v>0</v>
      </c>
      <c r="AA60" s="117"/>
      <c r="AB60" s="117" t="s">
        <v>785</v>
      </c>
      <c r="AC60" s="117"/>
      <c r="AD60" s="117"/>
      <c r="AE60" s="117"/>
      <c r="AF60" s="117"/>
      <c r="AG60" s="117" t="s">
        <v>786</v>
      </c>
      <c r="AH60" s="117">
        <v>3101020810980000</v>
      </c>
      <c r="AI60" s="117" t="s">
        <v>68</v>
      </c>
      <c r="AJ60" s="117" t="s">
        <v>32</v>
      </c>
      <c r="AK60" s="117"/>
      <c r="AL60" s="117">
        <v>6285716260216</v>
      </c>
      <c r="AM60" s="117"/>
      <c r="AN60" s="117"/>
      <c r="AO60" s="117" t="s">
        <v>788</v>
      </c>
      <c r="AP60" s="117"/>
      <c r="AQ60" s="117" t="s">
        <v>113</v>
      </c>
      <c r="AR60" s="117" t="s">
        <v>1903</v>
      </c>
      <c r="AS60" s="117" t="s">
        <v>114</v>
      </c>
      <c r="AT60" s="117" t="s">
        <v>1914</v>
      </c>
      <c r="AU60" s="117" t="b">
        <v>1</v>
      </c>
      <c r="AV60" s="117" t="b">
        <v>1</v>
      </c>
      <c r="AW60" s="117" t="s">
        <v>783</v>
      </c>
      <c r="AX60" s="117" t="s">
        <v>784</v>
      </c>
      <c r="AY60" s="117" t="s">
        <v>2194</v>
      </c>
      <c r="AZ60" s="117" t="s">
        <v>2195</v>
      </c>
      <c r="BA60" s="117" t="b">
        <v>1</v>
      </c>
      <c r="BB60" s="117" t="b">
        <v>1</v>
      </c>
      <c r="BC60" s="117"/>
      <c r="BD60" s="117"/>
      <c r="BE60" s="117">
        <v>0</v>
      </c>
    </row>
    <row r="61" spans="1:57" ht="16">
      <c r="A61" s="117" t="s">
        <v>70</v>
      </c>
      <c r="B61" s="117" t="s">
        <v>111</v>
      </c>
      <c r="C61" s="117" t="s">
        <v>112</v>
      </c>
      <c r="D61" s="117" t="s">
        <v>113</v>
      </c>
      <c r="E61" s="117" t="s">
        <v>114</v>
      </c>
      <c r="F61" s="117" t="s">
        <v>983</v>
      </c>
      <c r="G61" s="117" t="s">
        <v>984</v>
      </c>
      <c r="H61" s="118" t="s">
        <v>2565</v>
      </c>
      <c r="I61" s="119" t="s">
        <v>2588</v>
      </c>
      <c r="J61" s="120" t="s">
        <v>2508</v>
      </c>
      <c r="K61" s="120" t="s">
        <v>2508</v>
      </c>
      <c r="L61" s="118"/>
      <c r="M61" s="119"/>
      <c r="N61" s="118"/>
      <c r="O61" s="119"/>
      <c r="P61" s="117" t="s">
        <v>28</v>
      </c>
      <c r="Q61" s="117" t="s">
        <v>45</v>
      </c>
      <c r="R61" s="117" t="b">
        <v>1</v>
      </c>
      <c r="S61" s="117" t="b">
        <v>1</v>
      </c>
      <c r="T61" s="117" t="b">
        <v>1</v>
      </c>
      <c r="U61" s="117" t="b">
        <v>0</v>
      </c>
      <c r="V61" s="117" t="b">
        <v>0</v>
      </c>
      <c r="W61" s="117" t="b">
        <v>1</v>
      </c>
      <c r="X61" s="117" t="b">
        <v>1</v>
      </c>
      <c r="Y61" s="117" t="b">
        <v>0</v>
      </c>
      <c r="Z61" s="117" t="b">
        <v>0</v>
      </c>
      <c r="AA61" s="117"/>
      <c r="AB61" s="117" t="s">
        <v>985</v>
      </c>
      <c r="AC61" s="117"/>
      <c r="AD61" s="117"/>
      <c r="AE61" s="117"/>
      <c r="AF61" s="117"/>
      <c r="AG61" s="117" t="s">
        <v>986</v>
      </c>
      <c r="AH61" s="117">
        <v>3172010306951000</v>
      </c>
      <c r="AI61" s="117" t="s">
        <v>68</v>
      </c>
      <c r="AJ61" s="117" t="s">
        <v>32</v>
      </c>
      <c r="AK61" s="117"/>
      <c r="AL61" s="117">
        <v>6285692700664</v>
      </c>
      <c r="AM61" s="117"/>
      <c r="AN61" s="117"/>
      <c r="AO61" s="117" t="s">
        <v>988</v>
      </c>
      <c r="AP61" s="117"/>
      <c r="AQ61" s="117" t="s">
        <v>113</v>
      </c>
      <c r="AR61" s="117" t="s">
        <v>1903</v>
      </c>
      <c r="AS61" s="117" t="s">
        <v>114</v>
      </c>
      <c r="AT61" s="117" t="s">
        <v>1914</v>
      </c>
      <c r="AU61" s="117" t="b">
        <v>1</v>
      </c>
      <c r="AV61" s="117" t="b">
        <v>1</v>
      </c>
      <c r="AW61" s="117" t="s">
        <v>983</v>
      </c>
      <c r="AX61" s="117" t="s">
        <v>984</v>
      </c>
      <c r="AY61" s="117" t="s">
        <v>2242</v>
      </c>
      <c r="AZ61" s="117" t="s">
        <v>2243</v>
      </c>
      <c r="BA61" s="117" t="b">
        <v>1</v>
      </c>
      <c r="BB61" s="117" t="b">
        <v>1</v>
      </c>
      <c r="BC61" s="117"/>
      <c r="BD61" s="117"/>
      <c r="BE61" s="117">
        <v>0</v>
      </c>
    </row>
    <row r="62" spans="1:57" ht="16">
      <c r="A62" s="117" t="s">
        <v>70</v>
      </c>
      <c r="B62" s="117" t="s">
        <v>111</v>
      </c>
      <c r="C62" s="117" t="s">
        <v>112</v>
      </c>
      <c r="D62" s="117" t="s">
        <v>113</v>
      </c>
      <c r="E62" s="117" t="s">
        <v>114</v>
      </c>
      <c r="F62" s="117" t="s">
        <v>995</v>
      </c>
      <c r="G62" s="117" t="s">
        <v>996</v>
      </c>
      <c r="H62" s="118" t="s">
        <v>995</v>
      </c>
      <c r="I62" s="119" t="s">
        <v>2833</v>
      </c>
      <c r="J62" s="120" t="s">
        <v>2508</v>
      </c>
      <c r="K62" s="119" t="s">
        <v>2509</v>
      </c>
      <c r="L62" s="118"/>
      <c r="M62" s="119"/>
      <c r="N62" s="118"/>
      <c r="O62" s="119"/>
      <c r="P62" s="117" t="s">
        <v>28</v>
      </c>
      <c r="Q62" s="117" t="s">
        <v>45</v>
      </c>
      <c r="R62" s="117" t="b">
        <v>1</v>
      </c>
      <c r="S62" s="117" t="b">
        <v>1</v>
      </c>
      <c r="T62" s="117" t="b">
        <v>0</v>
      </c>
      <c r="U62" s="117" t="b">
        <v>0</v>
      </c>
      <c r="V62" s="117" t="b">
        <v>0</v>
      </c>
      <c r="W62" s="117" t="b">
        <v>1</v>
      </c>
      <c r="X62" s="117" t="b">
        <v>0</v>
      </c>
      <c r="Y62" s="117" t="b">
        <v>0</v>
      </c>
      <c r="Z62" s="117" t="b">
        <v>0</v>
      </c>
      <c r="AA62" s="117"/>
      <c r="AB62" s="117" t="s">
        <v>997</v>
      </c>
      <c r="AC62" s="117"/>
      <c r="AD62" s="117"/>
      <c r="AE62" s="117"/>
      <c r="AF62" s="117"/>
      <c r="AG62" s="117" t="s">
        <v>998</v>
      </c>
      <c r="AH62" s="117">
        <v>3175062604920000</v>
      </c>
      <c r="AI62" s="117" t="s">
        <v>68</v>
      </c>
      <c r="AJ62" s="117" t="s">
        <v>32</v>
      </c>
      <c r="AK62" s="117"/>
      <c r="AL62" s="117">
        <v>6285714888807</v>
      </c>
      <c r="AM62" s="117"/>
      <c r="AN62" s="117"/>
      <c r="AO62" s="117" t="s">
        <v>1000</v>
      </c>
      <c r="AP62" s="117"/>
      <c r="AQ62" s="117" t="s">
        <v>113</v>
      </c>
      <c r="AR62" s="117" t="s">
        <v>1903</v>
      </c>
      <c r="AS62" s="117" t="s">
        <v>114</v>
      </c>
      <c r="AT62" s="117" t="s">
        <v>1914</v>
      </c>
      <c r="AU62" s="117" t="b">
        <v>1</v>
      </c>
      <c r="AV62" s="117" t="b">
        <v>1</v>
      </c>
      <c r="AW62" s="117" t="s">
        <v>995</v>
      </c>
      <c r="AX62" s="117" t="s">
        <v>996</v>
      </c>
      <c r="AY62" s="117" t="s">
        <v>2246</v>
      </c>
      <c r="AZ62" s="117" t="s">
        <v>2247</v>
      </c>
      <c r="BA62" s="117" t="b">
        <v>1</v>
      </c>
      <c r="BB62" s="117" t="b">
        <v>1</v>
      </c>
      <c r="BC62" s="117"/>
      <c r="BD62" s="117"/>
      <c r="BE62" s="117">
        <v>0</v>
      </c>
    </row>
    <row r="63" spans="1:57" ht="16">
      <c r="A63" s="117" t="s">
        <v>70</v>
      </c>
      <c r="B63" s="117" t="s">
        <v>111</v>
      </c>
      <c r="C63" s="117" t="s">
        <v>112</v>
      </c>
      <c r="D63" s="117" t="s">
        <v>113</v>
      </c>
      <c r="E63" s="117" t="s">
        <v>114</v>
      </c>
      <c r="F63" s="117" t="s">
        <v>1001</v>
      </c>
      <c r="G63" s="117" t="s">
        <v>1002</v>
      </c>
      <c r="H63" s="118" t="s">
        <v>1001</v>
      </c>
      <c r="I63" s="119" t="s">
        <v>2834</v>
      </c>
      <c r="J63" s="120" t="s">
        <v>2508</v>
      </c>
      <c r="K63" s="119" t="s">
        <v>2509</v>
      </c>
      <c r="L63" s="118"/>
      <c r="M63" s="119"/>
      <c r="N63" s="118"/>
      <c r="O63" s="119"/>
      <c r="P63" s="117" t="s">
        <v>28</v>
      </c>
      <c r="Q63" s="117" t="s">
        <v>45</v>
      </c>
      <c r="R63" s="117" t="b">
        <v>1</v>
      </c>
      <c r="S63" s="117" t="b">
        <v>1</v>
      </c>
      <c r="T63" s="117" t="b">
        <v>0</v>
      </c>
      <c r="U63" s="117" t="b">
        <v>0</v>
      </c>
      <c r="V63" s="117" t="b">
        <v>0</v>
      </c>
      <c r="W63" s="117" t="b">
        <v>1</v>
      </c>
      <c r="X63" s="117" t="b">
        <v>0</v>
      </c>
      <c r="Y63" s="117" t="b">
        <v>0</v>
      </c>
      <c r="Z63" s="117" t="b">
        <v>0</v>
      </c>
      <c r="AA63" s="117"/>
      <c r="AB63" s="117" t="s">
        <v>1003</v>
      </c>
      <c r="AC63" s="117"/>
      <c r="AD63" s="117"/>
      <c r="AE63" s="117"/>
      <c r="AF63" s="117"/>
      <c r="AG63" s="117" t="s">
        <v>1004</v>
      </c>
      <c r="AH63" s="117">
        <v>3172010404770020</v>
      </c>
      <c r="AI63" s="117" t="s">
        <v>68</v>
      </c>
      <c r="AJ63" s="117" t="s">
        <v>32</v>
      </c>
      <c r="AK63" s="117"/>
      <c r="AL63" s="117">
        <v>6285692700676</v>
      </c>
      <c r="AM63" s="117"/>
      <c r="AN63" s="117"/>
      <c r="AO63" s="117" t="s">
        <v>1006</v>
      </c>
      <c r="AP63" s="117"/>
      <c r="AQ63" s="117" t="s">
        <v>113</v>
      </c>
      <c r="AR63" s="117" t="s">
        <v>1903</v>
      </c>
      <c r="AS63" s="117" t="s">
        <v>114</v>
      </c>
      <c r="AT63" s="117" t="s">
        <v>1914</v>
      </c>
      <c r="AU63" s="117" t="b">
        <v>1</v>
      </c>
      <c r="AV63" s="117" t="b">
        <v>1</v>
      </c>
      <c r="AW63" s="117" t="s">
        <v>1001</v>
      </c>
      <c r="AX63" s="117" t="s">
        <v>1002</v>
      </c>
      <c r="AY63" s="117" t="s">
        <v>2248</v>
      </c>
      <c r="AZ63" s="117" t="s">
        <v>2249</v>
      </c>
      <c r="BA63" s="117" t="b">
        <v>1</v>
      </c>
      <c r="BB63" s="117" t="b">
        <v>1</v>
      </c>
      <c r="BC63" s="117"/>
      <c r="BD63" s="117"/>
      <c r="BE63" s="117">
        <v>0</v>
      </c>
    </row>
    <row r="64" spans="1:57" ht="16">
      <c r="A64" s="117" t="s">
        <v>70</v>
      </c>
      <c r="B64" s="117" t="s">
        <v>111</v>
      </c>
      <c r="C64" s="117" t="s">
        <v>112</v>
      </c>
      <c r="D64" s="117" t="s">
        <v>113</v>
      </c>
      <c r="E64" s="117" t="s">
        <v>114</v>
      </c>
      <c r="F64" s="117" t="s">
        <v>1007</v>
      </c>
      <c r="G64" s="117" t="s">
        <v>1008</v>
      </c>
      <c r="H64" s="118" t="s">
        <v>1007</v>
      </c>
      <c r="I64" s="119" t="s">
        <v>2835</v>
      </c>
      <c r="J64" s="120" t="s">
        <v>2508</v>
      </c>
      <c r="K64" s="119" t="s">
        <v>2509</v>
      </c>
      <c r="L64" s="118"/>
      <c r="M64" s="119"/>
      <c r="N64" s="118"/>
      <c r="O64" s="119"/>
      <c r="P64" s="117" t="s">
        <v>28</v>
      </c>
      <c r="Q64" s="117" t="s">
        <v>45</v>
      </c>
      <c r="R64" s="117" t="b">
        <v>1</v>
      </c>
      <c r="S64" s="117" t="b">
        <v>1</v>
      </c>
      <c r="T64" s="117" t="b">
        <v>0</v>
      </c>
      <c r="U64" s="117" t="b">
        <v>0</v>
      </c>
      <c r="V64" s="117" t="b">
        <v>0</v>
      </c>
      <c r="W64" s="117" t="b">
        <v>1</v>
      </c>
      <c r="X64" s="117" t="b">
        <v>0</v>
      </c>
      <c r="Y64" s="117" t="b">
        <v>0</v>
      </c>
      <c r="Z64" s="117" t="b">
        <v>0</v>
      </c>
      <c r="AA64" s="117"/>
      <c r="AB64" s="117" t="s">
        <v>1009</v>
      </c>
      <c r="AC64" s="117"/>
      <c r="AD64" s="117"/>
      <c r="AE64" s="117"/>
      <c r="AF64" s="117"/>
      <c r="AG64" s="117" t="s">
        <v>1010</v>
      </c>
      <c r="AH64" s="117">
        <v>3175053006830000</v>
      </c>
      <c r="AI64" s="117" t="s">
        <v>68</v>
      </c>
      <c r="AJ64" s="117" t="s">
        <v>32</v>
      </c>
      <c r="AK64" s="117"/>
      <c r="AL64" s="117">
        <v>6285692700680</v>
      </c>
      <c r="AM64" s="117"/>
      <c r="AN64" s="117"/>
      <c r="AO64" s="117" t="s">
        <v>1012</v>
      </c>
      <c r="AP64" s="117"/>
      <c r="AQ64" s="117" t="s">
        <v>113</v>
      </c>
      <c r="AR64" s="117" t="s">
        <v>1903</v>
      </c>
      <c r="AS64" s="117" t="s">
        <v>114</v>
      </c>
      <c r="AT64" s="117" t="s">
        <v>1914</v>
      </c>
      <c r="AU64" s="117" t="b">
        <v>1</v>
      </c>
      <c r="AV64" s="117" t="b">
        <v>1</v>
      </c>
      <c r="AW64" s="117" t="s">
        <v>1007</v>
      </c>
      <c r="AX64" s="117" t="s">
        <v>1008</v>
      </c>
      <c r="AY64" s="117" t="s">
        <v>2250</v>
      </c>
      <c r="AZ64" s="117" t="s">
        <v>2251</v>
      </c>
      <c r="BA64" s="117" t="b">
        <v>1</v>
      </c>
      <c r="BB64" s="117" t="b">
        <v>1</v>
      </c>
      <c r="BC64" s="117"/>
      <c r="BD64" s="117"/>
      <c r="BE64" s="117">
        <v>0</v>
      </c>
    </row>
    <row r="65" spans="1:57" ht="16">
      <c r="A65" s="117" t="s">
        <v>70</v>
      </c>
      <c r="B65" s="117" t="s">
        <v>111</v>
      </c>
      <c r="C65" s="117" t="s">
        <v>112</v>
      </c>
      <c r="D65" s="117" t="s">
        <v>113</v>
      </c>
      <c r="E65" s="117" t="s">
        <v>114</v>
      </c>
      <c r="F65" s="117" t="s">
        <v>1013</v>
      </c>
      <c r="G65" s="117" t="s">
        <v>1014</v>
      </c>
      <c r="H65" s="118" t="s">
        <v>1013</v>
      </c>
      <c r="I65" s="119" t="s">
        <v>2836</v>
      </c>
      <c r="J65" s="120" t="s">
        <v>2508</v>
      </c>
      <c r="K65" s="119" t="s">
        <v>2509</v>
      </c>
      <c r="L65" s="118"/>
      <c r="M65" s="119"/>
      <c r="N65" s="118"/>
      <c r="O65" s="119"/>
      <c r="P65" s="117" t="s">
        <v>28</v>
      </c>
      <c r="Q65" s="117" t="s">
        <v>45</v>
      </c>
      <c r="R65" s="117" t="b">
        <v>1</v>
      </c>
      <c r="S65" s="117" t="b">
        <v>1</v>
      </c>
      <c r="T65" s="117" t="b">
        <v>0</v>
      </c>
      <c r="U65" s="117" t="b">
        <v>0</v>
      </c>
      <c r="V65" s="117" t="b">
        <v>0</v>
      </c>
      <c r="W65" s="117" t="b">
        <v>1</v>
      </c>
      <c r="X65" s="117" t="b">
        <v>0</v>
      </c>
      <c r="Y65" s="117" t="b">
        <v>0</v>
      </c>
      <c r="Z65" s="117" t="b">
        <v>0</v>
      </c>
      <c r="AA65" s="117"/>
      <c r="AB65" s="117" t="s">
        <v>1015</v>
      </c>
      <c r="AC65" s="117"/>
      <c r="AD65" s="117"/>
      <c r="AE65" s="117"/>
      <c r="AF65" s="117"/>
      <c r="AG65" s="117" t="s">
        <v>1016</v>
      </c>
      <c r="AH65" s="117">
        <v>3171012207840000</v>
      </c>
      <c r="AI65" s="117" t="s">
        <v>68</v>
      </c>
      <c r="AJ65" s="117" t="s">
        <v>32</v>
      </c>
      <c r="AK65" s="117"/>
      <c r="AL65" s="117">
        <v>6285692700683</v>
      </c>
      <c r="AM65" s="117"/>
      <c r="AN65" s="117"/>
      <c r="AO65" s="117" t="s">
        <v>1018</v>
      </c>
      <c r="AP65" s="117"/>
      <c r="AQ65" s="117" t="s">
        <v>113</v>
      </c>
      <c r="AR65" s="117" t="s">
        <v>1903</v>
      </c>
      <c r="AS65" s="117" t="s">
        <v>114</v>
      </c>
      <c r="AT65" s="117" t="s">
        <v>1914</v>
      </c>
      <c r="AU65" s="117" t="b">
        <v>1</v>
      </c>
      <c r="AV65" s="117" t="b">
        <v>1</v>
      </c>
      <c r="AW65" s="117" t="s">
        <v>1013</v>
      </c>
      <c r="AX65" s="117" t="s">
        <v>1014</v>
      </c>
      <c r="AY65" s="117" t="s">
        <v>2252</v>
      </c>
      <c r="AZ65" s="117" t="s">
        <v>2253</v>
      </c>
      <c r="BA65" s="117" t="b">
        <v>1</v>
      </c>
      <c r="BB65" s="117" t="b">
        <v>1</v>
      </c>
      <c r="BC65" s="117"/>
      <c r="BD65" s="117"/>
      <c r="BE65" s="117">
        <v>0</v>
      </c>
    </row>
    <row r="66" spans="1:57" ht="16">
      <c r="A66" s="117" t="s">
        <v>70</v>
      </c>
      <c r="B66" s="117" t="s">
        <v>111</v>
      </c>
      <c r="C66" s="117" t="s">
        <v>112</v>
      </c>
      <c r="D66" s="117" t="s">
        <v>113</v>
      </c>
      <c r="E66" s="117" t="s">
        <v>114</v>
      </c>
      <c r="F66" s="117" t="s">
        <v>1025</v>
      </c>
      <c r="G66" s="117" t="s">
        <v>1026</v>
      </c>
      <c r="H66" s="118" t="s">
        <v>1025</v>
      </c>
      <c r="I66" s="119" t="s">
        <v>2837</v>
      </c>
      <c r="J66" s="120" t="s">
        <v>2508</v>
      </c>
      <c r="K66" s="119" t="s">
        <v>2509</v>
      </c>
      <c r="L66" s="118"/>
      <c r="M66" s="119"/>
      <c r="N66" s="118"/>
      <c r="O66" s="119"/>
      <c r="P66" s="117" t="s">
        <v>28</v>
      </c>
      <c r="Q66" s="117" t="s">
        <v>45</v>
      </c>
      <c r="R66" s="117" t="b">
        <v>1</v>
      </c>
      <c r="S66" s="117" t="b">
        <v>1</v>
      </c>
      <c r="T66" s="117" t="b">
        <v>0</v>
      </c>
      <c r="U66" s="117" t="b">
        <v>0</v>
      </c>
      <c r="V66" s="117" t="b">
        <v>0</v>
      </c>
      <c r="W66" s="117" t="b">
        <v>1</v>
      </c>
      <c r="X66" s="117" t="b">
        <v>0</v>
      </c>
      <c r="Y66" s="117" t="b">
        <v>0</v>
      </c>
      <c r="Z66" s="117" t="b">
        <v>0</v>
      </c>
      <c r="AA66" s="117"/>
      <c r="AB66" s="117" t="s">
        <v>1027</v>
      </c>
      <c r="AC66" s="117"/>
      <c r="AD66" s="117"/>
      <c r="AE66" s="117"/>
      <c r="AF66" s="117"/>
      <c r="AG66" s="117" t="s">
        <v>1028</v>
      </c>
      <c r="AH66" s="117">
        <v>3172031808910000</v>
      </c>
      <c r="AI66" s="117" t="s">
        <v>68</v>
      </c>
      <c r="AJ66" s="117" t="s">
        <v>32</v>
      </c>
      <c r="AK66" s="117"/>
      <c r="AL66" s="117">
        <v>6285718256704</v>
      </c>
      <c r="AM66" s="117"/>
      <c r="AN66" s="117"/>
      <c r="AO66" s="117" t="s">
        <v>1030</v>
      </c>
      <c r="AP66" s="117"/>
      <c r="AQ66" s="117" t="s">
        <v>113</v>
      </c>
      <c r="AR66" s="117" t="s">
        <v>1903</v>
      </c>
      <c r="AS66" s="117" t="s">
        <v>114</v>
      </c>
      <c r="AT66" s="117" t="s">
        <v>1914</v>
      </c>
      <c r="AU66" s="117" t="b">
        <v>1</v>
      </c>
      <c r="AV66" s="117" t="b">
        <v>1</v>
      </c>
      <c r="AW66" s="117" t="s">
        <v>1025</v>
      </c>
      <c r="AX66" s="117" t="s">
        <v>1026</v>
      </c>
      <c r="AY66" s="117" t="s">
        <v>2256</v>
      </c>
      <c r="AZ66" s="117" t="s">
        <v>2257</v>
      </c>
      <c r="BA66" s="117" t="b">
        <v>1</v>
      </c>
      <c r="BB66" s="117" t="b">
        <v>1</v>
      </c>
      <c r="BC66" s="117"/>
      <c r="BD66" s="117"/>
      <c r="BE66" s="117">
        <v>0</v>
      </c>
    </row>
    <row r="67" spans="1:57" ht="16">
      <c r="A67" s="117" t="s">
        <v>70</v>
      </c>
      <c r="B67" s="117" t="s">
        <v>526</v>
      </c>
      <c r="C67" s="117" t="s">
        <v>527</v>
      </c>
      <c r="D67" s="117" t="s">
        <v>528</v>
      </c>
      <c r="E67" s="117" t="s">
        <v>529</v>
      </c>
      <c r="F67" s="117" t="s">
        <v>530</v>
      </c>
      <c r="G67" s="117" t="s">
        <v>531</v>
      </c>
      <c r="H67" s="118" t="s">
        <v>530</v>
      </c>
      <c r="I67" s="119" t="s">
        <v>531</v>
      </c>
      <c r="J67" s="120" t="s">
        <v>2508</v>
      </c>
      <c r="K67" s="120" t="s">
        <v>2508</v>
      </c>
      <c r="L67" s="118"/>
      <c r="M67" s="119"/>
      <c r="N67" s="118"/>
      <c r="O67" s="119"/>
      <c r="P67" s="117" t="s">
        <v>28</v>
      </c>
      <c r="Q67" s="117" t="s">
        <v>45</v>
      </c>
      <c r="R67" s="117" t="b">
        <v>1</v>
      </c>
      <c r="S67" s="117" t="b">
        <v>1</v>
      </c>
      <c r="T67" s="117" t="b">
        <v>1</v>
      </c>
      <c r="U67" s="117" t="b">
        <v>0</v>
      </c>
      <c r="V67" s="117" t="b">
        <v>0</v>
      </c>
      <c r="W67" s="117" t="b">
        <v>1</v>
      </c>
      <c r="X67" s="117" t="b">
        <v>1</v>
      </c>
      <c r="Y67" s="117" t="b">
        <v>0</v>
      </c>
      <c r="Z67" s="117" t="b">
        <v>0</v>
      </c>
      <c r="AA67" s="117"/>
      <c r="AB67" s="117" t="s">
        <v>532</v>
      </c>
      <c r="AC67" s="117"/>
      <c r="AD67" s="117"/>
      <c r="AE67" s="117"/>
      <c r="AF67" s="117"/>
      <c r="AG67" s="117" t="s">
        <v>533</v>
      </c>
      <c r="AH67" s="117">
        <v>3171062511870000</v>
      </c>
      <c r="AI67" s="117" t="s">
        <v>68</v>
      </c>
      <c r="AJ67" s="117" t="s">
        <v>32</v>
      </c>
      <c r="AK67" s="117"/>
      <c r="AL67" s="117">
        <v>62857163999997</v>
      </c>
      <c r="AM67" s="117"/>
      <c r="AN67" s="117"/>
      <c r="AO67" s="117" t="s">
        <v>535</v>
      </c>
      <c r="AP67" s="117"/>
      <c r="AQ67" s="117" t="s">
        <v>528</v>
      </c>
      <c r="AR67" s="117" t="s">
        <v>1903</v>
      </c>
      <c r="AS67" s="117" t="s">
        <v>529</v>
      </c>
      <c r="AT67" s="117" t="s">
        <v>1915</v>
      </c>
      <c r="AU67" s="117" t="b">
        <v>1</v>
      </c>
      <c r="AV67" s="117" t="b">
        <v>1</v>
      </c>
      <c r="AW67" s="117" t="s">
        <v>530</v>
      </c>
      <c r="AX67" s="117" t="s">
        <v>531</v>
      </c>
      <c r="AY67" s="117" t="s">
        <v>2132</v>
      </c>
      <c r="AZ67" s="117" t="s">
        <v>2133</v>
      </c>
      <c r="BA67" s="117" t="b">
        <v>1</v>
      </c>
      <c r="BB67" s="117" t="b">
        <v>1</v>
      </c>
      <c r="BC67" s="117"/>
      <c r="BD67" s="117"/>
      <c r="BE67" s="117">
        <v>0</v>
      </c>
    </row>
    <row r="68" spans="1:57" ht="16">
      <c r="A68" s="117" t="s">
        <v>70</v>
      </c>
      <c r="B68" s="117" t="s">
        <v>526</v>
      </c>
      <c r="C68" s="117" t="s">
        <v>527</v>
      </c>
      <c r="D68" s="117" t="s">
        <v>528</v>
      </c>
      <c r="E68" s="117" t="s">
        <v>529</v>
      </c>
      <c r="F68" s="117" t="s">
        <v>536</v>
      </c>
      <c r="G68" s="117" t="s">
        <v>537</v>
      </c>
      <c r="H68" s="118" t="s">
        <v>536</v>
      </c>
      <c r="I68" s="119" t="s">
        <v>537</v>
      </c>
      <c r="J68" s="120" t="s">
        <v>2551</v>
      </c>
      <c r="K68" s="120" t="s">
        <v>2508</v>
      </c>
      <c r="L68" s="118"/>
      <c r="M68" s="119"/>
      <c r="N68" s="118"/>
      <c r="O68" s="119"/>
      <c r="P68" s="117" t="s">
        <v>28</v>
      </c>
      <c r="Q68" s="117" t="s">
        <v>45</v>
      </c>
      <c r="R68" s="117" t="b">
        <v>1</v>
      </c>
      <c r="S68" s="117" t="b">
        <v>1</v>
      </c>
      <c r="T68" s="117" t="b">
        <v>1</v>
      </c>
      <c r="U68" s="117" t="b">
        <v>0</v>
      </c>
      <c r="V68" s="117" t="b">
        <v>0</v>
      </c>
      <c r="W68" s="117" t="b">
        <v>1</v>
      </c>
      <c r="X68" s="117" t="b">
        <v>1</v>
      </c>
      <c r="Y68" s="117" t="b">
        <v>0</v>
      </c>
      <c r="Z68" s="117" t="b">
        <v>0</v>
      </c>
      <c r="AA68" s="117"/>
      <c r="AB68" s="117" t="s">
        <v>538</v>
      </c>
      <c r="AC68" s="117"/>
      <c r="AD68" s="117"/>
      <c r="AE68" s="117"/>
      <c r="AF68" s="117"/>
      <c r="AG68" s="117" t="s">
        <v>539</v>
      </c>
      <c r="AH68" s="117">
        <v>3171080308800000</v>
      </c>
      <c r="AI68" s="117" t="s">
        <v>68</v>
      </c>
      <c r="AJ68" s="117" t="s">
        <v>32</v>
      </c>
      <c r="AK68" s="117"/>
      <c r="AL68" s="117">
        <v>6285619745127</v>
      </c>
      <c r="AM68" s="117"/>
      <c r="AN68" s="117"/>
      <c r="AO68" s="117" t="s">
        <v>541</v>
      </c>
      <c r="AP68" s="117"/>
      <c r="AQ68" s="117" t="s">
        <v>528</v>
      </c>
      <c r="AR68" s="117" t="s">
        <v>1903</v>
      </c>
      <c r="AS68" s="117" t="s">
        <v>529</v>
      </c>
      <c r="AT68" s="117" t="s">
        <v>1915</v>
      </c>
      <c r="AU68" s="117" t="b">
        <v>1</v>
      </c>
      <c r="AV68" s="117" t="b">
        <v>1</v>
      </c>
      <c r="AW68" s="117" t="s">
        <v>536</v>
      </c>
      <c r="AX68" s="117" t="s">
        <v>537</v>
      </c>
      <c r="AY68" s="117" t="s">
        <v>2134</v>
      </c>
      <c r="AZ68" s="117" t="s">
        <v>2135</v>
      </c>
      <c r="BA68" s="117" t="b">
        <v>1</v>
      </c>
      <c r="BB68" s="117" t="b">
        <v>1</v>
      </c>
      <c r="BC68" s="117"/>
      <c r="BD68" s="117"/>
      <c r="BE68" s="117">
        <v>0</v>
      </c>
    </row>
    <row r="69" spans="1:57" ht="16">
      <c r="A69" s="117" t="s">
        <v>70</v>
      </c>
      <c r="B69" s="117" t="s">
        <v>526</v>
      </c>
      <c r="C69" s="117" t="s">
        <v>527</v>
      </c>
      <c r="D69" s="117" t="s">
        <v>528</v>
      </c>
      <c r="E69" s="117" t="s">
        <v>529</v>
      </c>
      <c r="F69" s="117" t="s">
        <v>542</v>
      </c>
      <c r="G69" s="117" t="s">
        <v>543</v>
      </c>
      <c r="H69" s="118" t="s">
        <v>542</v>
      </c>
      <c r="I69" s="119" t="s">
        <v>543</v>
      </c>
      <c r="J69" s="120" t="s">
        <v>2508</v>
      </c>
      <c r="K69" s="120" t="s">
        <v>2508</v>
      </c>
      <c r="L69" s="118"/>
      <c r="M69" s="119"/>
      <c r="N69" s="118"/>
      <c r="O69" s="119"/>
      <c r="P69" s="117" t="s">
        <v>28</v>
      </c>
      <c r="Q69" s="117" t="s">
        <v>45</v>
      </c>
      <c r="R69" s="117" t="b">
        <v>1</v>
      </c>
      <c r="S69" s="117" t="b">
        <v>1</v>
      </c>
      <c r="T69" s="117" t="b">
        <v>1</v>
      </c>
      <c r="U69" s="117" t="b">
        <v>0</v>
      </c>
      <c r="V69" s="117" t="b">
        <v>0</v>
      </c>
      <c r="W69" s="117" t="b">
        <v>1</v>
      </c>
      <c r="X69" s="117" t="b">
        <v>1</v>
      </c>
      <c r="Y69" s="117" t="b">
        <v>0</v>
      </c>
      <c r="Z69" s="117" t="b">
        <v>0</v>
      </c>
      <c r="AA69" s="117"/>
      <c r="AB69" s="117" t="s">
        <v>544</v>
      </c>
      <c r="AC69" s="117"/>
      <c r="AD69" s="117"/>
      <c r="AE69" s="117"/>
      <c r="AF69" s="117"/>
      <c r="AG69" s="117" t="s">
        <v>545</v>
      </c>
      <c r="AH69" s="117">
        <v>3173050903950000</v>
      </c>
      <c r="AI69" s="117" t="s">
        <v>68</v>
      </c>
      <c r="AJ69" s="117" t="s">
        <v>32</v>
      </c>
      <c r="AK69" s="117"/>
      <c r="AL69" s="117">
        <v>62858899994847</v>
      </c>
      <c r="AM69" s="117"/>
      <c r="AN69" s="117"/>
      <c r="AO69" s="117" t="s">
        <v>547</v>
      </c>
      <c r="AP69" s="117"/>
      <c r="AQ69" s="117" t="s">
        <v>528</v>
      </c>
      <c r="AR69" s="117" t="s">
        <v>1903</v>
      </c>
      <c r="AS69" s="117" t="s">
        <v>529</v>
      </c>
      <c r="AT69" s="117" t="s">
        <v>1915</v>
      </c>
      <c r="AU69" s="117" t="b">
        <v>1</v>
      </c>
      <c r="AV69" s="117" t="b">
        <v>1</v>
      </c>
      <c r="AW69" s="117" t="s">
        <v>542</v>
      </c>
      <c r="AX69" s="117" t="s">
        <v>543</v>
      </c>
      <c r="AY69" s="117" t="s">
        <v>2136</v>
      </c>
      <c r="AZ69" s="117" t="s">
        <v>2137</v>
      </c>
      <c r="BA69" s="117" t="b">
        <v>1</v>
      </c>
      <c r="BB69" s="117" t="b">
        <v>1</v>
      </c>
      <c r="BC69" s="117"/>
      <c r="BD69" s="117"/>
      <c r="BE69" s="117">
        <v>0</v>
      </c>
    </row>
    <row r="70" spans="1:57" ht="16">
      <c r="A70" s="160" t="s">
        <v>70</v>
      </c>
      <c r="B70" s="160" t="s">
        <v>526</v>
      </c>
      <c r="C70" s="160" t="s">
        <v>527</v>
      </c>
      <c r="D70" s="160" t="s">
        <v>528</v>
      </c>
      <c r="E70" s="160" t="s">
        <v>529</v>
      </c>
      <c r="F70" s="160" t="s">
        <v>554</v>
      </c>
      <c r="G70" s="160" t="s">
        <v>555</v>
      </c>
      <c r="H70" s="162" t="s">
        <v>554</v>
      </c>
      <c r="I70" s="164" t="s">
        <v>555</v>
      </c>
      <c r="J70" s="166" t="s">
        <v>2508</v>
      </c>
      <c r="K70" s="166" t="s">
        <v>2508</v>
      </c>
      <c r="L70" s="162"/>
      <c r="M70" s="164"/>
      <c r="N70" s="162"/>
      <c r="O70" s="164"/>
      <c r="P70" s="160" t="s">
        <v>28</v>
      </c>
      <c r="Q70" s="160" t="s">
        <v>45</v>
      </c>
      <c r="R70" s="160" t="b">
        <v>1</v>
      </c>
      <c r="S70" s="160" t="b">
        <v>1</v>
      </c>
      <c r="T70" s="160" t="b">
        <v>1</v>
      </c>
      <c r="U70" s="160" t="b">
        <v>0</v>
      </c>
      <c r="V70" s="160" t="b">
        <v>0</v>
      </c>
      <c r="W70" s="160" t="b">
        <v>1</v>
      </c>
      <c r="X70" s="160" t="b">
        <v>1</v>
      </c>
      <c r="Y70" s="160" t="b">
        <v>0</v>
      </c>
      <c r="Z70" s="160" t="b">
        <v>0</v>
      </c>
      <c r="AA70" s="160"/>
      <c r="AB70" s="160" t="s">
        <v>556</v>
      </c>
      <c r="AC70" s="160"/>
      <c r="AD70" s="160"/>
      <c r="AE70" s="160"/>
      <c r="AF70" s="160"/>
      <c r="AG70" s="117" t="s">
        <v>2838</v>
      </c>
      <c r="AH70" s="160">
        <v>1801102301980000</v>
      </c>
      <c r="AI70" s="160" t="s">
        <v>68</v>
      </c>
      <c r="AJ70" s="160" t="s">
        <v>32</v>
      </c>
      <c r="AK70" s="160"/>
      <c r="AL70" s="160">
        <v>62856943338887</v>
      </c>
      <c r="AM70" s="160"/>
      <c r="AN70" s="160"/>
      <c r="AO70" s="160" t="s">
        <v>559</v>
      </c>
      <c r="AP70" s="160"/>
      <c r="AQ70" s="160" t="s">
        <v>528</v>
      </c>
      <c r="AR70" s="160" t="s">
        <v>1903</v>
      </c>
      <c r="AS70" s="160" t="s">
        <v>529</v>
      </c>
      <c r="AT70" s="160" t="s">
        <v>1915</v>
      </c>
      <c r="AU70" s="160" t="b">
        <v>1</v>
      </c>
      <c r="AV70" s="160" t="b">
        <v>1</v>
      </c>
      <c r="AW70" s="160" t="s">
        <v>554</v>
      </c>
      <c r="AX70" s="160" t="s">
        <v>555</v>
      </c>
      <c r="AY70" s="160" t="s">
        <v>2140</v>
      </c>
      <c r="AZ70" s="160" t="s">
        <v>2141</v>
      </c>
      <c r="BA70" s="160" t="b">
        <v>1</v>
      </c>
      <c r="BB70" s="160" t="b">
        <v>1</v>
      </c>
      <c r="BC70" s="160"/>
      <c r="BD70" s="160"/>
      <c r="BE70" s="160">
        <v>0</v>
      </c>
    </row>
    <row r="71" spans="1:57" ht="16">
      <c r="A71" s="160"/>
      <c r="B71" s="160"/>
      <c r="C71" s="160"/>
      <c r="D71" s="160"/>
      <c r="E71" s="160"/>
      <c r="F71" s="160"/>
      <c r="G71" s="160"/>
      <c r="H71" s="162"/>
      <c r="I71" s="164"/>
      <c r="J71" s="166"/>
      <c r="K71" s="166"/>
      <c r="L71" s="162"/>
      <c r="M71" s="164"/>
      <c r="N71" s="162"/>
      <c r="O71" s="164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17" t="s">
        <v>2839</v>
      </c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</row>
    <row r="72" spans="1:57" ht="16">
      <c r="A72" s="117" t="s">
        <v>70</v>
      </c>
      <c r="B72" s="117" t="s">
        <v>526</v>
      </c>
      <c r="C72" s="117" t="s">
        <v>527</v>
      </c>
      <c r="D72" s="117" t="s">
        <v>528</v>
      </c>
      <c r="E72" s="117" t="s">
        <v>529</v>
      </c>
      <c r="F72" s="117" t="s">
        <v>590</v>
      </c>
      <c r="G72" s="117" t="s">
        <v>591</v>
      </c>
      <c r="H72" s="118" t="s">
        <v>590</v>
      </c>
      <c r="I72" s="119" t="s">
        <v>591</v>
      </c>
      <c r="J72" s="120" t="s">
        <v>2508</v>
      </c>
      <c r="K72" s="120" t="s">
        <v>2508</v>
      </c>
      <c r="L72" s="118"/>
      <c r="M72" s="119"/>
      <c r="N72" s="118"/>
      <c r="O72" s="119"/>
      <c r="P72" s="117" t="s">
        <v>28</v>
      </c>
      <c r="Q72" s="117" t="s">
        <v>45</v>
      </c>
      <c r="R72" s="117" t="b">
        <v>1</v>
      </c>
      <c r="S72" s="117" t="b">
        <v>1</v>
      </c>
      <c r="T72" s="117" t="b">
        <v>1</v>
      </c>
      <c r="U72" s="117" t="b">
        <v>0</v>
      </c>
      <c r="V72" s="117" t="b">
        <v>0</v>
      </c>
      <c r="W72" s="117" t="b">
        <v>1</v>
      </c>
      <c r="X72" s="117" t="b">
        <v>1</v>
      </c>
      <c r="Y72" s="117" t="b">
        <v>0</v>
      </c>
      <c r="Z72" s="117" t="b">
        <v>0</v>
      </c>
      <c r="AA72" s="117"/>
      <c r="AB72" s="117" t="s">
        <v>592</v>
      </c>
      <c r="AC72" s="117"/>
      <c r="AD72" s="117"/>
      <c r="AE72" s="117"/>
      <c r="AF72" s="117"/>
      <c r="AG72" s="117" t="s">
        <v>593</v>
      </c>
      <c r="AH72" s="117">
        <v>3175071807840000</v>
      </c>
      <c r="AI72" s="117" t="s">
        <v>68</v>
      </c>
      <c r="AJ72" s="117" t="s">
        <v>32</v>
      </c>
      <c r="AK72" s="117"/>
      <c r="AL72" s="117">
        <v>62857173737307</v>
      </c>
      <c r="AM72" s="117"/>
      <c r="AN72" s="117"/>
      <c r="AO72" s="117" t="s">
        <v>595</v>
      </c>
      <c r="AP72" s="117"/>
      <c r="AQ72" s="117" t="s">
        <v>528</v>
      </c>
      <c r="AR72" s="117" t="s">
        <v>1903</v>
      </c>
      <c r="AS72" s="117" t="s">
        <v>529</v>
      </c>
      <c r="AT72" s="117" t="s">
        <v>1915</v>
      </c>
      <c r="AU72" s="117" t="b">
        <v>1</v>
      </c>
      <c r="AV72" s="117" t="b">
        <v>1</v>
      </c>
      <c r="AW72" s="117" t="s">
        <v>590</v>
      </c>
      <c r="AX72" s="117" t="s">
        <v>591</v>
      </c>
      <c r="AY72" s="117" t="s">
        <v>2152</v>
      </c>
      <c r="AZ72" s="117" t="s">
        <v>2153</v>
      </c>
      <c r="BA72" s="117" t="b">
        <v>1</v>
      </c>
      <c r="BB72" s="117" t="b">
        <v>1</v>
      </c>
      <c r="BC72" s="117"/>
      <c r="BD72" s="117"/>
      <c r="BE72" s="117">
        <v>0</v>
      </c>
    </row>
    <row r="73" spans="1:57" ht="16">
      <c r="A73" s="117" t="s">
        <v>70</v>
      </c>
      <c r="B73" s="117" t="s">
        <v>102</v>
      </c>
      <c r="C73" s="117" t="s">
        <v>103</v>
      </c>
      <c r="D73" s="117" t="s">
        <v>104</v>
      </c>
      <c r="E73" s="117" t="s">
        <v>105</v>
      </c>
      <c r="F73" s="117">
        <v>2613051093</v>
      </c>
      <c r="G73" s="117" t="s">
        <v>230</v>
      </c>
      <c r="H73" s="118">
        <v>2613051093</v>
      </c>
      <c r="I73" s="119" t="s">
        <v>230</v>
      </c>
      <c r="J73" s="120" t="s">
        <v>2508</v>
      </c>
      <c r="K73" s="120" t="s">
        <v>2508</v>
      </c>
      <c r="L73" s="118"/>
      <c r="M73" s="119"/>
      <c r="N73" s="118"/>
      <c r="O73" s="119"/>
      <c r="P73" s="117" t="s">
        <v>28</v>
      </c>
      <c r="Q73" s="117" t="s">
        <v>45</v>
      </c>
      <c r="R73" s="117" t="b">
        <v>1</v>
      </c>
      <c r="S73" s="117" t="b">
        <v>1</v>
      </c>
      <c r="T73" s="117" t="b">
        <v>1</v>
      </c>
      <c r="U73" s="117" t="b">
        <v>0</v>
      </c>
      <c r="V73" s="117" t="b">
        <v>0</v>
      </c>
      <c r="W73" s="117" t="b">
        <v>1</v>
      </c>
      <c r="X73" s="117" t="b">
        <v>1</v>
      </c>
      <c r="Y73" s="117" t="b">
        <v>0</v>
      </c>
      <c r="Z73" s="117" t="b">
        <v>0</v>
      </c>
      <c r="AA73" s="117"/>
      <c r="AB73" s="117" t="s">
        <v>231</v>
      </c>
      <c r="AC73" s="117"/>
      <c r="AD73" s="117"/>
      <c r="AE73" s="117"/>
      <c r="AF73" s="117"/>
      <c r="AG73" s="117" t="s">
        <v>232</v>
      </c>
      <c r="AH73" s="117">
        <v>3172040604960000</v>
      </c>
      <c r="AI73" s="117" t="s">
        <v>68</v>
      </c>
      <c r="AJ73" s="117" t="s">
        <v>32</v>
      </c>
      <c r="AK73" s="117"/>
      <c r="AL73" s="117">
        <v>62857301257151</v>
      </c>
      <c r="AM73" s="117"/>
      <c r="AN73" s="117"/>
      <c r="AO73" s="117" t="s">
        <v>234</v>
      </c>
      <c r="AP73" s="117"/>
      <c r="AQ73" s="117" t="s">
        <v>104</v>
      </c>
      <c r="AR73" s="117" t="s">
        <v>1903</v>
      </c>
      <c r="AS73" s="117" t="s">
        <v>105</v>
      </c>
      <c r="AT73" s="117" t="s">
        <v>1912</v>
      </c>
      <c r="AU73" s="117" t="b">
        <v>1</v>
      </c>
      <c r="AV73" s="117" t="b">
        <v>1</v>
      </c>
      <c r="AW73" s="117">
        <v>2613051093</v>
      </c>
      <c r="AX73" s="117" t="s">
        <v>230</v>
      </c>
      <c r="AY73" s="117" t="s">
        <v>2050</v>
      </c>
      <c r="AZ73" s="117" t="s">
        <v>2051</v>
      </c>
      <c r="BA73" s="117" t="b">
        <v>1</v>
      </c>
      <c r="BB73" s="117" t="b">
        <v>1</v>
      </c>
      <c r="BC73" s="117"/>
      <c r="BD73" s="117"/>
      <c r="BE73" s="117">
        <v>0</v>
      </c>
    </row>
    <row r="74" spans="1:57" ht="16">
      <c r="A74" s="117" t="s">
        <v>70</v>
      </c>
      <c r="B74" s="117" t="s">
        <v>102</v>
      </c>
      <c r="C74" s="117" t="s">
        <v>103</v>
      </c>
      <c r="D74" s="117" t="s">
        <v>104</v>
      </c>
      <c r="E74" s="117" t="s">
        <v>105</v>
      </c>
      <c r="F74" s="117">
        <v>2613051413</v>
      </c>
      <c r="G74" s="117" t="s">
        <v>270</v>
      </c>
      <c r="H74" s="118">
        <v>2613051413</v>
      </c>
      <c r="I74" s="119" t="s">
        <v>270</v>
      </c>
      <c r="J74" s="120" t="s">
        <v>2508</v>
      </c>
      <c r="K74" s="120" t="s">
        <v>2508</v>
      </c>
      <c r="L74" s="118"/>
      <c r="M74" s="119"/>
      <c r="N74" s="118"/>
      <c r="O74" s="119"/>
      <c r="P74" s="117" t="s">
        <v>28</v>
      </c>
      <c r="Q74" s="117" t="s">
        <v>45</v>
      </c>
      <c r="R74" s="117" t="b">
        <v>1</v>
      </c>
      <c r="S74" s="117" t="b">
        <v>1</v>
      </c>
      <c r="T74" s="117" t="b">
        <v>1</v>
      </c>
      <c r="U74" s="117" t="b">
        <v>0</v>
      </c>
      <c r="V74" s="117" t="b">
        <v>0</v>
      </c>
      <c r="W74" s="117" t="b">
        <v>1</v>
      </c>
      <c r="X74" s="117" t="b">
        <v>1</v>
      </c>
      <c r="Y74" s="117" t="b">
        <v>0</v>
      </c>
      <c r="Z74" s="117" t="b">
        <v>0</v>
      </c>
      <c r="AA74" s="117"/>
      <c r="AB74" s="117" t="s">
        <v>271</v>
      </c>
      <c r="AC74" s="117"/>
      <c r="AD74" s="117"/>
      <c r="AE74" s="117"/>
      <c r="AF74" s="117"/>
      <c r="AG74" s="117" t="s">
        <v>272</v>
      </c>
      <c r="AH74" s="117">
        <v>3172021107900010</v>
      </c>
      <c r="AI74" s="117" t="s">
        <v>68</v>
      </c>
      <c r="AJ74" s="117" t="s">
        <v>32</v>
      </c>
      <c r="AK74" s="117"/>
      <c r="AL74" s="117">
        <v>6285882783924</v>
      </c>
      <c r="AM74" s="117"/>
      <c r="AN74" s="117"/>
      <c r="AO74" s="117" t="s">
        <v>274</v>
      </c>
      <c r="AP74" s="117"/>
      <c r="AQ74" s="117" t="s">
        <v>104</v>
      </c>
      <c r="AR74" s="117" t="s">
        <v>1903</v>
      </c>
      <c r="AS74" s="117" t="s">
        <v>105</v>
      </c>
      <c r="AT74" s="117" t="s">
        <v>1912</v>
      </c>
      <c r="AU74" s="117" t="b">
        <v>1</v>
      </c>
      <c r="AV74" s="117" t="b">
        <v>1</v>
      </c>
      <c r="AW74" s="117">
        <v>2613051413</v>
      </c>
      <c r="AX74" s="117" t="s">
        <v>270</v>
      </c>
      <c r="AY74" s="117" t="s">
        <v>2064</v>
      </c>
      <c r="AZ74" s="117" t="s">
        <v>2065</v>
      </c>
      <c r="BA74" s="117" t="b">
        <v>1</v>
      </c>
      <c r="BB74" s="117" t="b">
        <v>1</v>
      </c>
      <c r="BC74" s="117"/>
      <c r="BD74" s="117"/>
      <c r="BE74" s="117">
        <v>0</v>
      </c>
    </row>
    <row r="75" spans="1:57" ht="16">
      <c r="A75" s="117" t="s">
        <v>70</v>
      </c>
      <c r="B75" s="117" t="s">
        <v>102</v>
      </c>
      <c r="C75" s="117" t="s">
        <v>103</v>
      </c>
      <c r="D75" s="117" t="s">
        <v>104</v>
      </c>
      <c r="E75" s="117" t="s">
        <v>105</v>
      </c>
      <c r="F75" s="117">
        <v>2613052473</v>
      </c>
      <c r="G75" s="117" t="s">
        <v>106</v>
      </c>
      <c r="H75" s="118">
        <v>2613052473</v>
      </c>
      <c r="I75" s="119" t="s">
        <v>106</v>
      </c>
      <c r="J75" s="120" t="s">
        <v>2508</v>
      </c>
      <c r="K75" s="120" t="s">
        <v>2508</v>
      </c>
      <c r="L75" s="118"/>
      <c r="M75" s="119"/>
      <c r="N75" s="118"/>
      <c r="O75" s="119"/>
      <c r="P75" s="117" t="s">
        <v>28</v>
      </c>
      <c r="Q75" s="117" t="s">
        <v>45</v>
      </c>
      <c r="R75" s="117" t="b">
        <v>1</v>
      </c>
      <c r="S75" s="117" t="b">
        <v>1</v>
      </c>
      <c r="T75" s="117" t="b">
        <v>1</v>
      </c>
      <c r="U75" s="117" t="b">
        <v>0</v>
      </c>
      <c r="V75" s="117" t="b">
        <v>0</v>
      </c>
      <c r="W75" s="117" t="b">
        <v>1</v>
      </c>
      <c r="X75" s="117" t="b">
        <v>1</v>
      </c>
      <c r="Y75" s="117" t="b">
        <v>0</v>
      </c>
      <c r="Z75" s="117" t="b">
        <v>0</v>
      </c>
      <c r="AA75" s="117"/>
      <c r="AB75" s="117" t="s">
        <v>107</v>
      </c>
      <c r="AC75" s="117"/>
      <c r="AD75" s="117"/>
      <c r="AE75" s="117"/>
      <c r="AF75" s="117"/>
      <c r="AG75" s="117" t="s">
        <v>108</v>
      </c>
      <c r="AH75" s="117">
        <v>3172022807910000</v>
      </c>
      <c r="AI75" s="117" t="s">
        <v>68</v>
      </c>
      <c r="AJ75" s="117" t="s">
        <v>32</v>
      </c>
      <c r="AK75" s="117"/>
      <c r="AL75" s="117">
        <v>6285778144448</v>
      </c>
      <c r="AM75" s="117"/>
      <c r="AN75" s="117"/>
      <c r="AO75" s="117" t="s">
        <v>110</v>
      </c>
      <c r="AP75" s="117"/>
      <c r="AQ75" s="117" t="s">
        <v>104</v>
      </c>
      <c r="AR75" s="117" t="s">
        <v>1903</v>
      </c>
      <c r="AS75" s="117" t="s">
        <v>105</v>
      </c>
      <c r="AT75" s="117" t="s">
        <v>1912</v>
      </c>
      <c r="AU75" s="117" t="b">
        <v>1</v>
      </c>
      <c r="AV75" s="117" t="b">
        <v>1</v>
      </c>
      <c r="AW75" s="117">
        <v>2613052473</v>
      </c>
      <c r="AX75" s="117" t="s">
        <v>106</v>
      </c>
      <c r="AY75" s="117" t="s">
        <v>2012</v>
      </c>
      <c r="AZ75" s="117" t="s">
        <v>2013</v>
      </c>
      <c r="BA75" s="117" t="b">
        <v>1</v>
      </c>
      <c r="BB75" s="117" t="b">
        <v>1</v>
      </c>
      <c r="BC75" s="117"/>
      <c r="BD75" s="117"/>
      <c r="BE75" s="117">
        <v>0</v>
      </c>
    </row>
    <row r="76" spans="1:57" ht="16">
      <c r="A76" s="117" t="s">
        <v>70</v>
      </c>
      <c r="B76" s="117" t="s">
        <v>102</v>
      </c>
      <c r="C76" s="117" t="s">
        <v>103</v>
      </c>
      <c r="D76" s="117" t="s">
        <v>104</v>
      </c>
      <c r="E76" s="117" t="s">
        <v>105</v>
      </c>
      <c r="F76" s="117" t="s">
        <v>959</v>
      </c>
      <c r="G76" s="117" t="s">
        <v>960</v>
      </c>
      <c r="H76" s="118" t="s">
        <v>959</v>
      </c>
      <c r="I76" s="119" t="s">
        <v>960</v>
      </c>
      <c r="J76" s="120" t="s">
        <v>2508</v>
      </c>
      <c r="K76" s="120" t="s">
        <v>2508</v>
      </c>
      <c r="L76" s="118"/>
      <c r="M76" s="119"/>
      <c r="N76" s="118"/>
      <c r="O76" s="119"/>
      <c r="P76" s="117" t="s">
        <v>28</v>
      </c>
      <c r="Q76" s="117" t="s">
        <v>45</v>
      </c>
      <c r="R76" s="117" t="b">
        <v>1</v>
      </c>
      <c r="S76" s="117" t="b">
        <v>1</v>
      </c>
      <c r="T76" s="117" t="b">
        <v>1</v>
      </c>
      <c r="U76" s="117" t="b">
        <v>0</v>
      </c>
      <c r="V76" s="117" t="b">
        <v>0</v>
      </c>
      <c r="W76" s="117" t="b">
        <v>1</v>
      </c>
      <c r="X76" s="117" t="b">
        <v>1</v>
      </c>
      <c r="Y76" s="117" t="b">
        <v>0</v>
      </c>
      <c r="Z76" s="117" t="b">
        <v>0</v>
      </c>
      <c r="AA76" s="117"/>
      <c r="AB76" s="117" t="s">
        <v>961</v>
      </c>
      <c r="AC76" s="117"/>
      <c r="AD76" s="117"/>
      <c r="AE76" s="117"/>
      <c r="AF76" s="117"/>
      <c r="AG76" s="117" t="s">
        <v>962</v>
      </c>
      <c r="AH76" s="117">
        <v>3172020406810010</v>
      </c>
      <c r="AI76" s="117" t="s">
        <v>68</v>
      </c>
      <c r="AJ76" s="117" t="s">
        <v>32</v>
      </c>
      <c r="AK76" s="117"/>
      <c r="AL76" s="117">
        <v>62856815404</v>
      </c>
      <c r="AM76" s="117"/>
      <c r="AN76" s="117"/>
      <c r="AO76" s="117" t="s">
        <v>964</v>
      </c>
      <c r="AP76" s="117"/>
      <c r="AQ76" s="117" t="s">
        <v>104</v>
      </c>
      <c r="AR76" s="117" t="s">
        <v>1903</v>
      </c>
      <c r="AS76" s="117" t="s">
        <v>105</v>
      </c>
      <c r="AT76" s="117" t="s">
        <v>1912</v>
      </c>
      <c r="AU76" s="117" t="b">
        <v>1</v>
      </c>
      <c r="AV76" s="117" t="b">
        <v>1</v>
      </c>
      <c r="AW76" s="117" t="s">
        <v>959</v>
      </c>
      <c r="AX76" s="117" t="s">
        <v>960</v>
      </c>
      <c r="AY76" s="117" t="s">
        <v>2234</v>
      </c>
      <c r="AZ76" s="117" t="s">
        <v>2235</v>
      </c>
      <c r="BA76" s="117" t="b">
        <v>1</v>
      </c>
      <c r="BB76" s="117" t="b">
        <v>1</v>
      </c>
      <c r="BC76" s="117"/>
      <c r="BD76" s="117"/>
      <c r="BE76" s="117">
        <v>0</v>
      </c>
    </row>
    <row r="77" spans="1:57" ht="16">
      <c r="A77" s="117" t="s">
        <v>70</v>
      </c>
      <c r="B77" s="117" t="s">
        <v>102</v>
      </c>
      <c r="C77" s="117" t="s">
        <v>103</v>
      </c>
      <c r="D77" s="117" t="s">
        <v>104</v>
      </c>
      <c r="E77" s="117" t="s">
        <v>105</v>
      </c>
      <c r="F77" s="117" t="s">
        <v>965</v>
      </c>
      <c r="G77" s="117" t="s">
        <v>966</v>
      </c>
      <c r="H77" s="118" t="s">
        <v>965</v>
      </c>
      <c r="I77" s="119" t="s">
        <v>966</v>
      </c>
      <c r="J77" s="120" t="s">
        <v>2508</v>
      </c>
      <c r="K77" s="120" t="s">
        <v>2508</v>
      </c>
      <c r="L77" s="118"/>
      <c r="M77" s="119"/>
      <c r="N77" s="118"/>
      <c r="O77" s="119"/>
      <c r="P77" s="117" t="s">
        <v>28</v>
      </c>
      <c r="Q77" s="117" t="s">
        <v>45</v>
      </c>
      <c r="R77" s="117" t="b">
        <v>1</v>
      </c>
      <c r="S77" s="117" t="b">
        <v>1</v>
      </c>
      <c r="T77" s="117" t="b">
        <v>1</v>
      </c>
      <c r="U77" s="117" t="b">
        <v>0</v>
      </c>
      <c r="V77" s="117" t="b">
        <v>0</v>
      </c>
      <c r="W77" s="117" t="b">
        <v>1</v>
      </c>
      <c r="X77" s="117" t="b">
        <v>1</v>
      </c>
      <c r="Y77" s="117" t="b">
        <v>0</v>
      </c>
      <c r="Z77" s="117" t="b">
        <v>0</v>
      </c>
      <c r="AA77" s="117"/>
      <c r="AB77" s="117" t="s">
        <v>967</v>
      </c>
      <c r="AC77" s="117"/>
      <c r="AD77" s="117"/>
      <c r="AE77" s="117"/>
      <c r="AF77" s="117"/>
      <c r="AG77" s="117" t="s">
        <v>968</v>
      </c>
      <c r="AH77" s="117">
        <v>3171032011890000</v>
      </c>
      <c r="AI77" s="117" t="s">
        <v>68</v>
      </c>
      <c r="AJ77" s="117" t="s">
        <v>32</v>
      </c>
      <c r="AK77" s="117"/>
      <c r="AL77" s="117">
        <v>6285692700661</v>
      </c>
      <c r="AM77" s="117"/>
      <c r="AN77" s="117"/>
      <c r="AO77" s="117" t="s">
        <v>970</v>
      </c>
      <c r="AP77" s="117"/>
      <c r="AQ77" s="117" t="s">
        <v>104</v>
      </c>
      <c r="AR77" s="117" t="s">
        <v>1903</v>
      </c>
      <c r="AS77" s="117" t="s">
        <v>105</v>
      </c>
      <c r="AT77" s="117" t="s">
        <v>1912</v>
      </c>
      <c r="AU77" s="117" t="b">
        <v>1</v>
      </c>
      <c r="AV77" s="117" t="b">
        <v>1</v>
      </c>
      <c r="AW77" s="117" t="s">
        <v>965</v>
      </c>
      <c r="AX77" s="117" t="s">
        <v>966</v>
      </c>
      <c r="AY77" s="117" t="s">
        <v>2236</v>
      </c>
      <c r="AZ77" s="117" t="s">
        <v>2237</v>
      </c>
      <c r="BA77" s="117" t="b">
        <v>1</v>
      </c>
      <c r="BB77" s="117" t="b">
        <v>1</v>
      </c>
      <c r="BC77" s="117"/>
      <c r="BD77" s="117"/>
      <c r="BE77" s="117">
        <v>0</v>
      </c>
    </row>
    <row r="78" spans="1:57" ht="16">
      <c r="A78" s="117" t="s">
        <v>70</v>
      </c>
      <c r="B78" s="117" t="s">
        <v>102</v>
      </c>
      <c r="C78" s="117" t="s">
        <v>103</v>
      </c>
      <c r="D78" s="117" t="s">
        <v>104</v>
      </c>
      <c r="E78" s="117" t="s">
        <v>105</v>
      </c>
      <c r="F78" s="117" t="s">
        <v>977</v>
      </c>
      <c r="G78" s="117" t="s">
        <v>978</v>
      </c>
      <c r="H78" s="118" t="s">
        <v>977</v>
      </c>
      <c r="I78" s="119">
        <v>2613051030</v>
      </c>
      <c r="J78" s="120" t="s">
        <v>2508</v>
      </c>
      <c r="K78" s="120" t="s">
        <v>2508</v>
      </c>
      <c r="L78" s="118" t="s">
        <v>977</v>
      </c>
      <c r="M78" s="119">
        <v>2613051030</v>
      </c>
      <c r="N78" s="118" t="s">
        <v>2508</v>
      </c>
      <c r="O78" s="119" t="s">
        <v>2508</v>
      </c>
      <c r="P78" s="117" t="s">
        <v>28</v>
      </c>
      <c r="Q78" s="117" t="s">
        <v>45</v>
      </c>
      <c r="R78" s="117" t="b">
        <v>1</v>
      </c>
      <c r="S78" s="117" t="b">
        <v>1</v>
      </c>
      <c r="T78" s="117" t="b">
        <v>1</v>
      </c>
      <c r="U78" s="117" t="b">
        <v>0</v>
      </c>
      <c r="V78" s="117" t="b">
        <v>0</v>
      </c>
      <c r="W78" s="117" t="b">
        <v>1</v>
      </c>
      <c r="X78" s="117" t="b">
        <v>1</v>
      </c>
      <c r="Y78" s="117" t="b">
        <v>0</v>
      </c>
      <c r="Z78" s="117" t="b">
        <v>0</v>
      </c>
      <c r="AA78" s="117"/>
      <c r="AB78" s="117" t="s">
        <v>979</v>
      </c>
      <c r="AC78" s="117"/>
      <c r="AD78" s="117"/>
      <c r="AE78" s="117"/>
      <c r="AF78" s="117"/>
      <c r="AG78" s="117" t="s">
        <v>980</v>
      </c>
      <c r="AH78" s="117">
        <v>3171032408750010</v>
      </c>
      <c r="AI78" s="117" t="s">
        <v>68</v>
      </c>
      <c r="AJ78" s="117" t="s">
        <v>32</v>
      </c>
      <c r="AK78" s="117"/>
      <c r="AL78" s="117">
        <v>6285692700647</v>
      </c>
      <c r="AM78" s="117"/>
      <c r="AN78" s="117"/>
      <c r="AO78" s="117" t="s">
        <v>982</v>
      </c>
      <c r="AP78" s="117"/>
      <c r="AQ78" s="117" t="s">
        <v>104</v>
      </c>
      <c r="AR78" s="117" t="s">
        <v>1903</v>
      </c>
      <c r="AS78" s="117" t="s">
        <v>105</v>
      </c>
      <c r="AT78" s="117" t="s">
        <v>1912</v>
      </c>
      <c r="AU78" s="117" t="b">
        <v>1</v>
      </c>
      <c r="AV78" s="117" t="b">
        <v>1</v>
      </c>
      <c r="AW78" s="117" t="s">
        <v>977</v>
      </c>
      <c r="AX78" s="117" t="s">
        <v>978</v>
      </c>
      <c r="AY78" s="117" t="s">
        <v>2240</v>
      </c>
      <c r="AZ78" s="117" t="s">
        <v>2241</v>
      </c>
      <c r="BA78" s="117" t="b">
        <v>1</v>
      </c>
      <c r="BB78" s="117" t="b">
        <v>1</v>
      </c>
      <c r="BC78" s="117"/>
      <c r="BD78" s="117"/>
      <c r="BE78" s="117">
        <v>0</v>
      </c>
    </row>
    <row r="79" spans="1:57" ht="16">
      <c r="A79" s="117" t="s">
        <v>70</v>
      </c>
      <c r="B79" s="117" t="s">
        <v>102</v>
      </c>
      <c r="C79" s="117" t="s">
        <v>103</v>
      </c>
      <c r="D79" s="117" t="s">
        <v>104</v>
      </c>
      <c r="E79" s="117" t="s">
        <v>105</v>
      </c>
      <c r="F79" s="117" t="s">
        <v>989</v>
      </c>
      <c r="G79" s="117" t="s">
        <v>990</v>
      </c>
      <c r="H79" s="118" t="s">
        <v>989</v>
      </c>
      <c r="I79" s="119">
        <v>2613051013</v>
      </c>
      <c r="J79" s="120" t="s">
        <v>2508</v>
      </c>
      <c r="K79" s="120" t="s">
        <v>2508</v>
      </c>
      <c r="L79" s="118" t="s">
        <v>989</v>
      </c>
      <c r="M79" s="119">
        <v>2613051013</v>
      </c>
      <c r="N79" s="118" t="s">
        <v>2508</v>
      </c>
      <c r="O79" s="119" t="s">
        <v>2508</v>
      </c>
      <c r="P79" s="117" t="s">
        <v>28</v>
      </c>
      <c r="Q79" s="117" t="s">
        <v>45</v>
      </c>
      <c r="R79" s="117" t="b">
        <v>1</v>
      </c>
      <c r="S79" s="117" t="b">
        <v>1</v>
      </c>
      <c r="T79" s="117" t="b">
        <v>1</v>
      </c>
      <c r="U79" s="117" t="b">
        <v>0</v>
      </c>
      <c r="V79" s="117" t="b">
        <v>0</v>
      </c>
      <c r="W79" s="117" t="b">
        <v>1</v>
      </c>
      <c r="X79" s="117" t="b">
        <v>1</v>
      </c>
      <c r="Y79" s="117" t="b">
        <v>0</v>
      </c>
      <c r="Z79" s="117" t="b">
        <v>0</v>
      </c>
      <c r="AA79" s="117"/>
      <c r="AB79" s="117" t="s">
        <v>991</v>
      </c>
      <c r="AC79" s="117"/>
      <c r="AD79" s="117"/>
      <c r="AE79" s="117"/>
      <c r="AF79" s="117"/>
      <c r="AG79" s="117" t="s">
        <v>992</v>
      </c>
      <c r="AH79" s="117">
        <v>3329091306900000</v>
      </c>
      <c r="AI79" s="117" t="s">
        <v>68</v>
      </c>
      <c r="AJ79" s="117" t="s">
        <v>32</v>
      </c>
      <c r="AK79" s="117"/>
      <c r="AL79" s="117">
        <v>6285692700667</v>
      </c>
      <c r="AM79" s="117"/>
      <c r="AN79" s="117"/>
      <c r="AO79" s="117" t="s">
        <v>994</v>
      </c>
      <c r="AP79" s="117"/>
      <c r="AQ79" s="117" t="s">
        <v>104</v>
      </c>
      <c r="AR79" s="117" t="s">
        <v>1903</v>
      </c>
      <c r="AS79" s="117" t="s">
        <v>105</v>
      </c>
      <c r="AT79" s="117" t="s">
        <v>1912</v>
      </c>
      <c r="AU79" s="117" t="b">
        <v>1</v>
      </c>
      <c r="AV79" s="117" t="b">
        <v>1</v>
      </c>
      <c r="AW79" s="117" t="s">
        <v>989</v>
      </c>
      <c r="AX79" s="117" t="s">
        <v>990</v>
      </c>
      <c r="AY79" s="117" t="s">
        <v>2244</v>
      </c>
      <c r="AZ79" s="117" t="s">
        <v>2245</v>
      </c>
      <c r="BA79" s="117" t="b">
        <v>1</v>
      </c>
      <c r="BB79" s="117" t="b">
        <v>1</v>
      </c>
      <c r="BC79" s="117"/>
      <c r="BD79" s="117"/>
      <c r="BE79" s="117">
        <v>0</v>
      </c>
    </row>
    <row r="80" spans="1:57" ht="16">
      <c r="A80" s="117" t="s">
        <v>70</v>
      </c>
      <c r="B80" s="117" t="s">
        <v>102</v>
      </c>
      <c r="C80" s="117" t="s">
        <v>103</v>
      </c>
      <c r="D80" s="117" t="s">
        <v>104</v>
      </c>
      <c r="E80" s="117" t="s">
        <v>105</v>
      </c>
      <c r="F80" s="117" t="s">
        <v>1019</v>
      </c>
      <c r="G80" s="117" t="s">
        <v>1020</v>
      </c>
      <c r="H80" s="118" t="s">
        <v>1019</v>
      </c>
      <c r="I80" s="119" t="s">
        <v>2840</v>
      </c>
      <c r="J80" s="120" t="s">
        <v>2508</v>
      </c>
      <c r="K80" s="120" t="s">
        <v>2508</v>
      </c>
      <c r="L80" s="118"/>
      <c r="M80" s="119"/>
      <c r="N80" s="118"/>
      <c r="O80" s="119"/>
      <c r="P80" s="117" t="s">
        <v>28</v>
      </c>
      <c r="Q80" s="117" t="s">
        <v>45</v>
      </c>
      <c r="R80" s="117" t="b">
        <v>1</v>
      </c>
      <c r="S80" s="117" t="b">
        <v>1</v>
      </c>
      <c r="T80" s="117" t="b">
        <v>0</v>
      </c>
      <c r="U80" s="117" t="b">
        <v>0</v>
      </c>
      <c r="V80" s="117" t="b">
        <v>0</v>
      </c>
      <c r="W80" s="117" t="b">
        <v>1</v>
      </c>
      <c r="X80" s="117" t="b">
        <v>0</v>
      </c>
      <c r="Y80" s="117" t="b">
        <v>0</v>
      </c>
      <c r="Z80" s="117" t="b">
        <v>0</v>
      </c>
      <c r="AA80" s="117" t="s">
        <v>2841</v>
      </c>
      <c r="AB80" s="117" t="s">
        <v>1021</v>
      </c>
      <c r="AC80" s="117"/>
      <c r="AD80" s="117"/>
      <c r="AE80" s="117"/>
      <c r="AF80" s="117"/>
      <c r="AG80" s="117" t="s">
        <v>1022</v>
      </c>
      <c r="AH80" s="117">
        <v>3171050707851000</v>
      </c>
      <c r="AI80" s="117" t="s">
        <v>68</v>
      </c>
      <c r="AJ80" s="117" t="s">
        <v>32</v>
      </c>
      <c r="AK80" s="117"/>
      <c r="AL80" s="117">
        <v>6285692700686</v>
      </c>
      <c r="AM80" s="117"/>
      <c r="AN80" s="117"/>
      <c r="AO80" s="117" t="s">
        <v>1024</v>
      </c>
      <c r="AP80" s="117"/>
      <c r="AQ80" s="117" t="s">
        <v>104</v>
      </c>
      <c r="AR80" s="117" t="s">
        <v>1903</v>
      </c>
      <c r="AS80" s="117" t="s">
        <v>105</v>
      </c>
      <c r="AT80" s="117" t="s">
        <v>1912</v>
      </c>
      <c r="AU80" s="117" t="b">
        <v>1</v>
      </c>
      <c r="AV80" s="117" t="b">
        <v>1</v>
      </c>
      <c r="AW80" s="117" t="s">
        <v>1019</v>
      </c>
      <c r="AX80" s="117" t="s">
        <v>1020</v>
      </c>
      <c r="AY80" s="117" t="s">
        <v>2254</v>
      </c>
      <c r="AZ80" s="117" t="s">
        <v>2255</v>
      </c>
      <c r="BA80" s="117" t="b">
        <v>1</v>
      </c>
      <c r="BB80" s="117" t="b">
        <v>1</v>
      </c>
      <c r="BC80" s="117"/>
      <c r="BD80" s="117"/>
      <c r="BE80" s="117">
        <v>0</v>
      </c>
    </row>
    <row r="81" spans="1:57" ht="16">
      <c r="A81" s="117" t="s">
        <v>2752</v>
      </c>
      <c r="B81" s="117" t="s">
        <v>282</v>
      </c>
      <c r="C81" s="117" t="s">
        <v>283</v>
      </c>
      <c r="D81" s="117" t="s">
        <v>284</v>
      </c>
      <c r="E81" s="117" t="s">
        <v>285</v>
      </c>
      <c r="F81" s="117">
        <v>2613052261</v>
      </c>
      <c r="G81" s="117" t="s">
        <v>286</v>
      </c>
      <c r="H81" s="118">
        <v>2613052261</v>
      </c>
      <c r="I81" s="119" t="s">
        <v>286</v>
      </c>
      <c r="J81" s="120" t="s">
        <v>2508</v>
      </c>
      <c r="K81" s="120" t="s">
        <v>2508</v>
      </c>
      <c r="L81" s="118"/>
      <c r="M81" s="119"/>
      <c r="N81" s="118"/>
      <c r="O81" s="119"/>
      <c r="P81" s="117" t="s">
        <v>28</v>
      </c>
      <c r="Q81" s="117" t="s">
        <v>45</v>
      </c>
      <c r="R81" s="117" t="b">
        <v>1</v>
      </c>
      <c r="S81" s="117" t="b">
        <v>1</v>
      </c>
      <c r="T81" s="117" t="b">
        <v>1</v>
      </c>
      <c r="U81" s="117" t="b">
        <v>1</v>
      </c>
      <c r="V81" s="117" t="b">
        <v>1</v>
      </c>
      <c r="W81" s="117" t="b">
        <v>1</v>
      </c>
      <c r="X81" s="117" t="b">
        <v>1</v>
      </c>
      <c r="Y81" s="117" t="b">
        <v>0</v>
      </c>
      <c r="Z81" s="117" t="b">
        <v>0</v>
      </c>
      <c r="AA81" s="117"/>
      <c r="AB81" s="117" t="s">
        <v>287</v>
      </c>
      <c r="AC81" s="117"/>
      <c r="AD81" s="117" t="s">
        <v>287</v>
      </c>
      <c r="AE81" s="117" t="s">
        <v>287</v>
      </c>
      <c r="AF81" s="117" t="b">
        <v>0</v>
      </c>
      <c r="AG81" s="117" t="s">
        <v>288</v>
      </c>
      <c r="AH81" s="117">
        <v>3308194501930000</v>
      </c>
      <c r="AI81" s="117" t="s">
        <v>119</v>
      </c>
      <c r="AJ81" s="117" t="s">
        <v>32</v>
      </c>
      <c r="AK81" s="117"/>
      <c r="AL81" s="117">
        <v>62895634937759</v>
      </c>
      <c r="AM81" s="117"/>
      <c r="AN81" s="117"/>
      <c r="AO81" s="117" t="s">
        <v>290</v>
      </c>
      <c r="AP81" s="117" t="s">
        <v>291</v>
      </c>
      <c r="AQ81" s="117" t="s">
        <v>284</v>
      </c>
      <c r="AR81" s="117" t="s">
        <v>1902</v>
      </c>
      <c r="AS81" s="117" t="s">
        <v>285</v>
      </c>
      <c r="AT81" s="117" t="s">
        <v>1921</v>
      </c>
      <c r="AU81" s="117" t="b">
        <v>1</v>
      </c>
      <c r="AV81" s="117" t="b">
        <v>1</v>
      </c>
      <c r="AW81" s="117">
        <v>2613052261</v>
      </c>
      <c r="AX81" s="117" t="s">
        <v>286</v>
      </c>
      <c r="AY81" s="117" t="s">
        <v>2068</v>
      </c>
      <c r="AZ81" s="117" t="s">
        <v>2069</v>
      </c>
      <c r="BA81" s="117" t="b">
        <v>1</v>
      </c>
      <c r="BB81" s="117" t="b">
        <v>1</v>
      </c>
      <c r="BC81" s="117"/>
      <c r="BD81" s="117"/>
      <c r="BE81" s="117">
        <v>0</v>
      </c>
    </row>
    <row r="82" spans="1:57" ht="16">
      <c r="A82" s="117" t="s">
        <v>2752</v>
      </c>
      <c r="B82" s="117" t="s">
        <v>282</v>
      </c>
      <c r="C82" s="117" t="s">
        <v>283</v>
      </c>
      <c r="D82" s="117" t="s">
        <v>284</v>
      </c>
      <c r="E82" s="117" t="s">
        <v>285</v>
      </c>
      <c r="F82" s="117" t="s">
        <v>669</v>
      </c>
      <c r="G82" s="117" t="s">
        <v>670</v>
      </c>
      <c r="H82" s="118" t="s">
        <v>669</v>
      </c>
      <c r="I82" s="119" t="s">
        <v>670</v>
      </c>
      <c r="J82" s="120" t="s">
        <v>2508</v>
      </c>
      <c r="K82" s="120" t="s">
        <v>2508</v>
      </c>
      <c r="L82" s="118"/>
      <c r="M82" s="119"/>
      <c r="N82" s="118"/>
      <c r="O82" s="119"/>
      <c r="P82" s="117" t="s">
        <v>28</v>
      </c>
      <c r="Q82" s="117" t="s">
        <v>45</v>
      </c>
      <c r="R82" s="117" t="b">
        <v>1</v>
      </c>
      <c r="S82" s="117" t="b">
        <v>1</v>
      </c>
      <c r="T82" s="117" t="b">
        <v>1</v>
      </c>
      <c r="U82" s="117" t="b">
        <v>1</v>
      </c>
      <c r="V82" s="117" t="b">
        <v>1</v>
      </c>
      <c r="W82" s="117" t="b">
        <v>1</v>
      </c>
      <c r="X82" s="117" t="b">
        <v>1</v>
      </c>
      <c r="Y82" s="117" t="b">
        <v>0</v>
      </c>
      <c r="Z82" s="117" t="b">
        <v>0</v>
      </c>
      <c r="AA82" s="117"/>
      <c r="AB82" s="117" t="s">
        <v>671</v>
      </c>
      <c r="AC82" s="117"/>
      <c r="AD82" s="117"/>
      <c r="AE82" s="117"/>
      <c r="AF82" s="117"/>
      <c r="AG82" s="117" t="s">
        <v>672</v>
      </c>
      <c r="AH82" s="117">
        <v>3175012602930000</v>
      </c>
      <c r="AI82" s="117" t="s">
        <v>68</v>
      </c>
      <c r="AJ82" s="117" t="s">
        <v>32</v>
      </c>
      <c r="AK82" s="117"/>
      <c r="AL82" s="117">
        <v>6280086422501</v>
      </c>
      <c r="AM82" s="117"/>
      <c r="AN82" s="117"/>
      <c r="AO82" s="117" t="s">
        <v>674</v>
      </c>
      <c r="AP82" s="117"/>
      <c r="AQ82" s="117" t="s">
        <v>284</v>
      </c>
      <c r="AR82" s="117" t="s">
        <v>1902</v>
      </c>
      <c r="AS82" s="117" t="s">
        <v>285</v>
      </c>
      <c r="AT82" s="117" t="s">
        <v>1921</v>
      </c>
      <c r="AU82" s="117" t="b">
        <v>1</v>
      </c>
      <c r="AV82" s="117" t="b">
        <v>1</v>
      </c>
      <c r="AW82" s="117" t="s">
        <v>669</v>
      </c>
      <c r="AX82" s="117" t="s">
        <v>670</v>
      </c>
      <c r="AY82" s="117" t="s">
        <v>2164</v>
      </c>
      <c r="AZ82" s="117" t="s">
        <v>2165</v>
      </c>
      <c r="BA82" s="117" t="b">
        <v>1</v>
      </c>
      <c r="BB82" s="117" t="b">
        <v>1</v>
      </c>
      <c r="BC82" s="117"/>
      <c r="BD82" s="117"/>
      <c r="BE82" s="117" t="s">
        <v>2505</v>
      </c>
    </row>
    <row r="83" spans="1:57" ht="16">
      <c r="A83" s="117" t="s">
        <v>2752</v>
      </c>
      <c r="B83" s="117" t="s">
        <v>282</v>
      </c>
      <c r="C83" s="117" t="s">
        <v>283</v>
      </c>
      <c r="D83" s="117" t="s">
        <v>284</v>
      </c>
      <c r="E83" s="117" t="s">
        <v>285</v>
      </c>
      <c r="F83" s="117" t="s">
        <v>718</v>
      </c>
      <c r="G83" s="117" t="s">
        <v>719</v>
      </c>
      <c r="H83" s="118" t="s">
        <v>718</v>
      </c>
      <c r="I83" s="119" t="s">
        <v>719</v>
      </c>
      <c r="J83" s="120" t="s">
        <v>2508</v>
      </c>
      <c r="K83" s="120" t="s">
        <v>2508</v>
      </c>
      <c r="L83" s="118"/>
      <c r="M83" s="119"/>
      <c r="N83" s="118"/>
      <c r="O83" s="119"/>
      <c r="P83" s="117" t="s">
        <v>28</v>
      </c>
      <c r="Q83" s="117" t="s">
        <v>45</v>
      </c>
      <c r="R83" s="117" t="b">
        <v>1</v>
      </c>
      <c r="S83" s="117" t="b">
        <v>1</v>
      </c>
      <c r="T83" s="117" t="b">
        <v>1</v>
      </c>
      <c r="U83" s="117" t="b">
        <v>1</v>
      </c>
      <c r="V83" s="117" t="b">
        <v>1</v>
      </c>
      <c r="W83" s="117" t="b">
        <v>1</v>
      </c>
      <c r="X83" s="117" t="b">
        <v>1</v>
      </c>
      <c r="Y83" s="117" t="b">
        <v>0</v>
      </c>
      <c r="Z83" s="117" t="b">
        <v>0</v>
      </c>
      <c r="AA83" s="117"/>
      <c r="AB83" s="117" t="s">
        <v>720</v>
      </c>
      <c r="AC83" s="117"/>
      <c r="AD83" s="117"/>
      <c r="AE83" s="117"/>
      <c r="AF83" s="117"/>
      <c r="AG83" s="117" t="s">
        <v>2842</v>
      </c>
      <c r="AH83" s="117">
        <v>3201130403980000</v>
      </c>
      <c r="AI83" s="117" t="s">
        <v>68</v>
      </c>
      <c r="AJ83" s="117" t="s">
        <v>32</v>
      </c>
      <c r="AK83" s="117"/>
      <c r="AL83" s="117">
        <v>6285810001998</v>
      </c>
      <c r="AM83" s="117"/>
      <c r="AN83" s="117"/>
      <c r="AO83" s="117" t="s">
        <v>723</v>
      </c>
      <c r="AP83" s="117"/>
      <c r="AQ83" s="117" t="s">
        <v>284</v>
      </c>
      <c r="AR83" s="117" t="s">
        <v>1902</v>
      </c>
      <c r="AS83" s="117" t="s">
        <v>285</v>
      </c>
      <c r="AT83" s="117" t="s">
        <v>1921</v>
      </c>
      <c r="AU83" s="117" t="b">
        <v>1</v>
      </c>
      <c r="AV83" s="117" t="b">
        <v>1</v>
      </c>
      <c r="AW83" s="117" t="s">
        <v>718</v>
      </c>
      <c r="AX83" s="117" t="s">
        <v>719</v>
      </c>
      <c r="AY83" s="117" t="s">
        <v>2172</v>
      </c>
      <c r="AZ83" s="117" t="s">
        <v>2173</v>
      </c>
      <c r="BA83" s="117" t="b">
        <v>1</v>
      </c>
      <c r="BB83" s="117" t="b">
        <v>1</v>
      </c>
      <c r="BC83" s="117"/>
      <c r="BD83" s="117"/>
      <c r="BE83" s="117" t="s">
        <v>2505</v>
      </c>
    </row>
    <row r="84" spans="1:57" ht="16">
      <c r="A84" s="117" t="s">
        <v>2752</v>
      </c>
      <c r="B84" s="117" t="s">
        <v>282</v>
      </c>
      <c r="C84" s="117" t="s">
        <v>283</v>
      </c>
      <c r="D84" s="117" t="s">
        <v>284</v>
      </c>
      <c r="E84" s="117" t="s">
        <v>285</v>
      </c>
      <c r="F84" s="117" t="s">
        <v>1762</v>
      </c>
      <c r="G84" s="117" t="s">
        <v>1761</v>
      </c>
      <c r="H84" s="118" t="s">
        <v>1762</v>
      </c>
      <c r="I84" s="119" t="s">
        <v>1761</v>
      </c>
      <c r="J84" s="120" t="s">
        <v>2508</v>
      </c>
      <c r="K84" s="120" t="s">
        <v>2508</v>
      </c>
      <c r="L84" s="118"/>
      <c r="M84" s="119"/>
      <c r="N84" s="118"/>
      <c r="O84" s="119"/>
      <c r="P84" s="117" t="s">
        <v>28</v>
      </c>
      <c r="Q84" s="117" t="s">
        <v>45</v>
      </c>
      <c r="R84" s="117" t="b">
        <v>1</v>
      </c>
      <c r="S84" s="117" t="b">
        <v>1</v>
      </c>
      <c r="T84" s="117" t="b">
        <v>1</v>
      </c>
      <c r="U84" s="117" t="b">
        <v>1</v>
      </c>
      <c r="V84" s="117" t="b">
        <v>1</v>
      </c>
      <c r="W84" s="117" t="b">
        <v>1</v>
      </c>
      <c r="X84" s="117" t="b">
        <v>1</v>
      </c>
      <c r="Y84" s="117" t="b">
        <v>0</v>
      </c>
      <c r="Z84" s="117" t="b">
        <v>0</v>
      </c>
      <c r="AA84" s="117" t="s">
        <v>2841</v>
      </c>
      <c r="AB84" s="117" t="s">
        <v>1763</v>
      </c>
      <c r="AC84" s="117"/>
      <c r="AD84" s="117"/>
      <c r="AE84" s="117"/>
      <c r="AF84" s="117"/>
      <c r="AG84" s="117" t="s">
        <v>1764</v>
      </c>
      <c r="AH84" s="117">
        <v>3201011904840010</v>
      </c>
      <c r="AI84" s="117" t="s">
        <v>68</v>
      </c>
      <c r="AJ84" s="117" t="s">
        <v>32</v>
      </c>
      <c r="AK84" s="117"/>
      <c r="AL84" s="117">
        <v>6289507336727</v>
      </c>
      <c r="AM84" s="117"/>
      <c r="AN84" s="117"/>
      <c r="AO84" s="117" t="s">
        <v>1766</v>
      </c>
      <c r="AP84" s="117"/>
      <c r="AQ84" s="117" t="s">
        <v>284</v>
      </c>
      <c r="AR84" s="117" t="s">
        <v>1902</v>
      </c>
      <c r="AS84" s="117" t="s">
        <v>285</v>
      </c>
      <c r="AT84" s="117" t="s">
        <v>1921</v>
      </c>
      <c r="AU84" s="117" t="b">
        <v>1</v>
      </c>
      <c r="AV84" s="117" t="b">
        <v>1</v>
      </c>
      <c r="AW84" s="117" t="s">
        <v>1762</v>
      </c>
      <c r="AX84" s="117" t="s">
        <v>1761</v>
      </c>
      <c r="AY84" s="117" t="s">
        <v>2462</v>
      </c>
      <c r="AZ84" s="117" t="s">
        <v>2463</v>
      </c>
      <c r="BA84" s="117" t="b">
        <v>1</v>
      </c>
      <c r="BB84" s="117" t="b">
        <v>1</v>
      </c>
      <c r="BC84" s="117"/>
      <c r="BD84" s="117"/>
      <c r="BE84" s="117" t="s">
        <v>2505</v>
      </c>
    </row>
    <row r="85" spans="1:57" ht="16">
      <c r="A85" s="117" t="s">
        <v>2752</v>
      </c>
      <c r="B85" s="117" t="s">
        <v>282</v>
      </c>
      <c r="C85" s="117" t="s">
        <v>283</v>
      </c>
      <c r="D85" s="117" t="s">
        <v>284</v>
      </c>
      <c r="E85" s="117" t="s">
        <v>285</v>
      </c>
      <c r="F85" s="117" t="s">
        <v>1774</v>
      </c>
      <c r="G85" s="117" t="s">
        <v>1773</v>
      </c>
      <c r="H85" s="118" t="s">
        <v>1774</v>
      </c>
      <c r="I85" s="119" t="s">
        <v>1773</v>
      </c>
      <c r="J85" s="120" t="s">
        <v>2508</v>
      </c>
      <c r="K85" s="120" t="s">
        <v>2508</v>
      </c>
      <c r="L85" s="118"/>
      <c r="M85" s="119"/>
      <c r="N85" s="118"/>
      <c r="O85" s="119"/>
      <c r="P85" s="117" t="s">
        <v>28</v>
      </c>
      <c r="Q85" s="117" t="s">
        <v>45</v>
      </c>
      <c r="R85" s="117" t="b">
        <v>1</v>
      </c>
      <c r="S85" s="117" t="b">
        <v>1</v>
      </c>
      <c r="T85" s="117" t="b">
        <v>1</v>
      </c>
      <c r="U85" s="117" t="b">
        <v>1</v>
      </c>
      <c r="V85" s="117" t="b">
        <v>1</v>
      </c>
      <c r="W85" s="117" t="b">
        <v>1</v>
      </c>
      <c r="X85" s="117" t="b">
        <v>1</v>
      </c>
      <c r="Y85" s="117" t="b">
        <v>0</v>
      </c>
      <c r="Z85" s="117" t="b">
        <v>0</v>
      </c>
      <c r="AA85" s="117"/>
      <c r="AB85" s="117" t="s">
        <v>1775</v>
      </c>
      <c r="AC85" s="117"/>
      <c r="AD85" s="117"/>
      <c r="AE85" s="117"/>
      <c r="AF85" s="117"/>
      <c r="AG85" s="117" t="s">
        <v>1776</v>
      </c>
      <c r="AH85" s="117">
        <v>3175047008940000</v>
      </c>
      <c r="AI85" s="117" t="s">
        <v>119</v>
      </c>
      <c r="AJ85" s="117" t="s">
        <v>32</v>
      </c>
      <c r="AK85" s="117"/>
      <c r="AL85" s="117">
        <v>6289507363417</v>
      </c>
      <c r="AM85" s="117"/>
      <c r="AN85" s="117"/>
      <c r="AO85" s="117" t="s">
        <v>1778</v>
      </c>
      <c r="AP85" s="117"/>
      <c r="AQ85" s="117" t="s">
        <v>284</v>
      </c>
      <c r="AR85" s="117" t="s">
        <v>1902</v>
      </c>
      <c r="AS85" s="117" t="s">
        <v>285</v>
      </c>
      <c r="AT85" s="117" t="s">
        <v>1921</v>
      </c>
      <c r="AU85" s="117" t="b">
        <v>1</v>
      </c>
      <c r="AV85" s="117" t="b">
        <v>1</v>
      </c>
      <c r="AW85" s="117" t="s">
        <v>1774</v>
      </c>
      <c r="AX85" s="117" t="s">
        <v>1773</v>
      </c>
      <c r="AY85" s="117" t="s">
        <v>2464</v>
      </c>
      <c r="AZ85" s="117" t="s">
        <v>2465</v>
      </c>
      <c r="BA85" s="117" t="b">
        <v>1</v>
      </c>
      <c r="BB85" s="117" t="b">
        <v>1</v>
      </c>
      <c r="BC85" s="117"/>
      <c r="BD85" s="117"/>
      <c r="BE85" s="117" t="s">
        <v>2505</v>
      </c>
    </row>
    <row r="86" spans="1:57" ht="16">
      <c r="A86" s="117" t="s">
        <v>2752</v>
      </c>
      <c r="B86" s="117" t="s">
        <v>282</v>
      </c>
      <c r="C86" s="117" t="s">
        <v>283</v>
      </c>
      <c r="D86" s="117" t="s">
        <v>284</v>
      </c>
      <c r="E86" s="117" t="s">
        <v>285</v>
      </c>
      <c r="F86" s="117" t="s">
        <v>1887</v>
      </c>
      <c r="G86" s="117" t="s">
        <v>1886</v>
      </c>
      <c r="H86" s="118" t="s">
        <v>1887</v>
      </c>
      <c r="I86" s="119" t="s">
        <v>1886</v>
      </c>
      <c r="J86" s="120" t="s">
        <v>2508</v>
      </c>
      <c r="K86" s="120" t="s">
        <v>2508</v>
      </c>
      <c r="L86" s="118"/>
      <c r="M86" s="119"/>
      <c r="N86" s="118"/>
      <c r="O86" s="119"/>
      <c r="P86" s="117" t="s">
        <v>28</v>
      </c>
      <c r="Q86" s="117" t="s">
        <v>45</v>
      </c>
      <c r="R86" s="117" t="b">
        <v>1</v>
      </c>
      <c r="S86" s="117" t="b">
        <v>1</v>
      </c>
      <c r="T86" s="117" t="b">
        <v>1</v>
      </c>
      <c r="U86" s="117" t="b">
        <v>1</v>
      </c>
      <c r="V86" s="117" t="b">
        <v>1</v>
      </c>
      <c r="W86" s="117" t="b">
        <v>1</v>
      </c>
      <c r="X86" s="117" t="b">
        <v>1</v>
      </c>
      <c r="Y86" s="117" t="b">
        <v>0</v>
      </c>
      <c r="Z86" s="117" t="b">
        <v>0</v>
      </c>
      <c r="AA86" s="117" t="s">
        <v>2841</v>
      </c>
      <c r="AB86" s="117" t="s">
        <v>1888</v>
      </c>
      <c r="AC86" s="117"/>
      <c r="AD86" s="117"/>
      <c r="AE86" s="117"/>
      <c r="AF86" s="117"/>
      <c r="AG86" s="117" t="s">
        <v>1889</v>
      </c>
      <c r="AH86" s="117">
        <v>3201014611830000</v>
      </c>
      <c r="AI86" s="117" t="s">
        <v>119</v>
      </c>
      <c r="AJ86" s="117" t="s">
        <v>32</v>
      </c>
      <c r="AK86" s="117"/>
      <c r="AL86" s="117">
        <v>6289602777875</v>
      </c>
      <c r="AM86" s="117"/>
      <c r="AN86" s="117"/>
      <c r="AO86" s="117" t="s">
        <v>1891</v>
      </c>
      <c r="AP86" s="117"/>
      <c r="AQ86" s="117" t="s">
        <v>284</v>
      </c>
      <c r="AR86" s="117" t="s">
        <v>1902</v>
      </c>
      <c r="AS86" s="117" t="s">
        <v>285</v>
      </c>
      <c r="AT86" s="117" t="s">
        <v>1921</v>
      </c>
      <c r="AU86" s="117" t="b">
        <v>1</v>
      </c>
      <c r="AV86" s="117" t="b">
        <v>1</v>
      </c>
      <c r="AW86" s="117" t="s">
        <v>1887</v>
      </c>
      <c r="AX86" s="117" t="s">
        <v>1886</v>
      </c>
      <c r="AY86" s="117" t="s">
        <v>2502</v>
      </c>
      <c r="AZ86" s="117" t="s">
        <v>2503</v>
      </c>
      <c r="BA86" s="117" t="b">
        <v>1</v>
      </c>
      <c r="BB86" s="117" t="b">
        <v>1</v>
      </c>
      <c r="BC86" s="117"/>
      <c r="BD86" s="117"/>
      <c r="BE86" s="117" t="s">
        <v>2505</v>
      </c>
    </row>
    <row r="87" spans="1:57" ht="16">
      <c r="A87" s="117" t="s">
        <v>2752</v>
      </c>
      <c r="B87" s="117" t="s">
        <v>691</v>
      </c>
      <c r="C87" s="117" t="s">
        <v>692</v>
      </c>
      <c r="D87" s="117" t="s">
        <v>693</v>
      </c>
      <c r="E87" s="117" t="s">
        <v>694</v>
      </c>
      <c r="F87" s="117" t="s">
        <v>696</v>
      </c>
      <c r="G87" s="117" t="s">
        <v>697</v>
      </c>
      <c r="H87" s="118" t="s">
        <v>696</v>
      </c>
      <c r="I87" s="119" t="s">
        <v>697</v>
      </c>
      <c r="J87" s="120" t="s">
        <v>2508</v>
      </c>
      <c r="K87" s="120" t="s">
        <v>2508</v>
      </c>
      <c r="L87" s="118"/>
      <c r="M87" s="119"/>
      <c r="N87" s="118"/>
      <c r="O87" s="119"/>
      <c r="P87" s="117" t="s">
        <v>28</v>
      </c>
      <c r="Q87" s="117" t="s">
        <v>45</v>
      </c>
      <c r="R87" s="117" t="b">
        <v>1</v>
      </c>
      <c r="S87" s="117" t="b">
        <v>1</v>
      </c>
      <c r="T87" s="117" t="b">
        <v>1</v>
      </c>
      <c r="U87" s="117" t="b">
        <v>1</v>
      </c>
      <c r="V87" s="117" t="b">
        <v>1</v>
      </c>
      <c r="W87" s="117" t="b">
        <v>1</v>
      </c>
      <c r="X87" s="117" t="b">
        <v>1</v>
      </c>
      <c r="Y87" s="117" t="b">
        <v>0</v>
      </c>
      <c r="Z87" s="117" t="b">
        <v>0</v>
      </c>
      <c r="AA87" s="117"/>
      <c r="AB87" s="117" t="s">
        <v>698</v>
      </c>
      <c r="AC87" s="117"/>
      <c r="AD87" s="117"/>
      <c r="AE87" s="117"/>
      <c r="AF87" s="117"/>
      <c r="AG87" s="117" t="s">
        <v>699</v>
      </c>
      <c r="AH87" s="117">
        <v>3276076902920000</v>
      </c>
      <c r="AI87" s="117" t="s">
        <v>119</v>
      </c>
      <c r="AJ87" s="117" t="s">
        <v>32</v>
      </c>
      <c r="AK87" s="117"/>
      <c r="AL87" s="117">
        <v>6280086422505</v>
      </c>
      <c r="AM87" s="117"/>
      <c r="AN87" s="117"/>
      <c r="AO87" s="117" t="s">
        <v>701</v>
      </c>
      <c r="AP87" s="117"/>
      <c r="AQ87" s="117" t="s">
        <v>693</v>
      </c>
      <c r="AR87" s="117" t="s">
        <v>1909</v>
      </c>
      <c r="AS87" s="117" t="s">
        <v>694</v>
      </c>
      <c r="AT87" s="117" t="s">
        <v>1929</v>
      </c>
      <c r="AU87" s="117" t="b">
        <v>1</v>
      </c>
      <c r="AV87" s="117" t="b">
        <v>1</v>
      </c>
      <c r="AW87" s="117" t="s">
        <v>696</v>
      </c>
      <c r="AX87" s="117" t="s">
        <v>697</v>
      </c>
      <c r="AY87" s="117" t="s">
        <v>2166</v>
      </c>
      <c r="AZ87" s="117" t="s">
        <v>2167</v>
      </c>
      <c r="BA87" s="117" t="b">
        <v>1</v>
      </c>
      <c r="BB87" s="117" t="b">
        <v>1</v>
      </c>
      <c r="BC87" s="117"/>
      <c r="BD87" s="117"/>
      <c r="BE87" s="117">
        <v>0</v>
      </c>
    </row>
    <row r="88" spans="1:57" ht="16">
      <c r="A88" s="117" t="s">
        <v>2752</v>
      </c>
      <c r="B88" s="117" t="s">
        <v>691</v>
      </c>
      <c r="C88" s="117" t="s">
        <v>692</v>
      </c>
      <c r="D88" s="117" t="s">
        <v>693</v>
      </c>
      <c r="E88" s="117" t="s">
        <v>694</v>
      </c>
      <c r="F88" s="117" t="s">
        <v>724</v>
      </c>
      <c r="G88" s="117" t="s">
        <v>725</v>
      </c>
      <c r="H88" s="118" t="s">
        <v>724</v>
      </c>
      <c r="I88" s="119" t="s">
        <v>725</v>
      </c>
      <c r="J88" s="120" t="s">
        <v>2508</v>
      </c>
      <c r="K88" s="120" t="s">
        <v>2508</v>
      </c>
      <c r="L88" s="118"/>
      <c r="M88" s="119"/>
      <c r="N88" s="118"/>
      <c r="O88" s="119"/>
      <c r="P88" s="117" t="s">
        <v>28</v>
      </c>
      <c r="Q88" s="117" t="s">
        <v>45</v>
      </c>
      <c r="R88" s="117" t="b">
        <v>1</v>
      </c>
      <c r="S88" s="117" t="b">
        <v>1</v>
      </c>
      <c r="T88" s="117" t="b">
        <v>1</v>
      </c>
      <c r="U88" s="117" t="b">
        <v>1</v>
      </c>
      <c r="V88" s="117" t="b">
        <v>1</v>
      </c>
      <c r="W88" s="117" t="b">
        <v>1</v>
      </c>
      <c r="X88" s="117" t="b">
        <v>1</v>
      </c>
      <c r="Y88" s="117" t="b">
        <v>0</v>
      </c>
      <c r="Z88" s="117" t="b">
        <v>0</v>
      </c>
      <c r="AA88" s="117"/>
      <c r="AB88" s="117" t="s">
        <v>726</v>
      </c>
      <c r="AC88" s="117"/>
      <c r="AD88" s="117"/>
      <c r="AE88" s="117"/>
      <c r="AF88" s="117"/>
      <c r="AG88" s="117" t="s">
        <v>2843</v>
      </c>
      <c r="AH88" s="117">
        <v>3276060609860000</v>
      </c>
      <c r="AI88" s="117" t="s">
        <v>68</v>
      </c>
      <c r="AJ88" s="117" t="s">
        <v>32</v>
      </c>
      <c r="AK88" s="117"/>
      <c r="AL88" s="117">
        <v>6285717020316</v>
      </c>
      <c r="AM88" s="117"/>
      <c r="AN88" s="117"/>
      <c r="AO88" s="117" t="s">
        <v>729</v>
      </c>
      <c r="AP88" s="117"/>
      <c r="AQ88" s="117" t="s">
        <v>693</v>
      </c>
      <c r="AR88" s="117" t="s">
        <v>1909</v>
      </c>
      <c r="AS88" s="117" t="s">
        <v>694</v>
      </c>
      <c r="AT88" s="117" t="s">
        <v>1929</v>
      </c>
      <c r="AU88" s="117" t="b">
        <v>1</v>
      </c>
      <c r="AV88" s="117" t="b">
        <v>1</v>
      </c>
      <c r="AW88" s="117" t="s">
        <v>724</v>
      </c>
      <c r="AX88" s="117" t="s">
        <v>725</v>
      </c>
      <c r="AY88" s="117" t="s">
        <v>2174</v>
      </c>
      <c r="AZ88" s="117" t="s">
        <v>2175</v>
      </c>
      <c r="BA88" s="117" t="b">
        <v>1</v>
      </c>
      <c r="BB88" s="117" t="b">
        <v>1</v>
      </c>
      <c r="BC88" s="117"/>
      <c r="BD88" s="117"/>
      <c r="BE88" s="117" t="s">
        <v>2505</v>
      </c>
    </row>
    <row r="89" spans="1:57" ht="16">
      <c r="A89" s="117" t="s">
        <v>2752</v>
      </c>
      <c r="B89" s="117" t="s">
        <v>691</v>
      </c>
      <c r="C89" s="117" t="s">
        <v>692</v>
      </c>
      <c r="D89" s="117" t="s">
        <v>693</v>
      </c>
      <c r="E89" s="117" t="s">
        <v>694</v>
      </c>
      <c r="F89" s="117" t="s">
        <v>736</v>
      </c>
      <c r="G89" s="117" t="s">
        <v>737</v>
      </c>
      <c r="H89" s="118" t="s">
        <v>736</v>
      </c>
      <c r="I89" s="119" t="s">
        <v>737</v>
      </c>
      <c r="J89" s="120" t="s">
        <v>2508</v>
      </c>
      <c r="K89" s="120" t="s">
        <v>2508</v>
      </c>
      <c r="L89" s="118"/>
      <c r="M89" s="119"/>
      <c r="N89" s="118"/>
      <c r="O89" s="119"/>
      <c r="P89" s="117" t="s">
        <v>28</v>
      </c>
      <c r="Q89" s="117" t="s">
        <v>45</v>
      </c>
      <c r="R89" s="117" t="b">
        <v>1</v>
      </c>
      <c r="S89" s="117" t="b">
        <v>1</v>
      </c>
      <c r="T89" s="117" t="b">
        <v>1</v>
      </c>
      <c r="U89" s="117" t="b">
        <v>1</v>
      </c>
      <c r="V89" s="117" t="b">
        <v>1</v>
      </c>
      <c r="W89" s="117" t="b">
        <v>1</v>
      </c>
      <c r="X89" s="117" t="b">
        <v>1</v>
      </c>
      <c r="Y89" s="117" t="b">
        <v>0</v>
      </c>
      <c r="Z89" s="117" t="b">
        <v>0</v>
      </c>
      <c r="AA89" s="117"/>
      <c r="AB89" s="117" t="s">
        <v>738</v>
      </c>
      <c r="AC89" s="117"/>
      <c r="AD89" s="117"/>
      <c r="AE89" s="117"/>
      <c r="AF89" s="117"/>
      <c r="AG89" s="117" t="s">
        <v>739</v>
      </c>
      <c r="AH89" s="117">
        <v>3301102009850000</v>
      </c>
      <c r="AI89" s="117" t="s">
        <v>68</v>
      </c>
      <c r="AJ89" s="117" t="s">
        <v>32</v>
      </c>
      <c r="AK89" s="117"/>
      <c r="AL89" s="117">
        <v>6285782385678</v>
      </c>
      <c r="AM89" s="117"/>
      <c r="AN89" s="117"/>
      <c r="AO89" s="117" t="s">
        <v>741</v>
      </c>
      <c r="AP89" s="117"/>
      <c r="AQ89" s="117" t="s">
        <v>693</v>
      </c>
      <c r="AR89" s="117" t="s">
        <v>1909</v>
      </c>
      <c r="AS89" s="117" t="s">
        <v>694</v>
      </c>
      <c r="AT89" s="117" t="s">
        <v>1929</v>
      </c>
      <c r="AU89" s="117" t="b">
        <v>1</v>
      </c>
      <c r="AV89" s="117" t="b">
        <v>1</v>
      </c>
      <c r="AW89" s="117" t="s">
        <v>736</v>
      </c>
      <c r="AX89" s="117" t="s">
        <v>737</v>
      </c>
      <c r="AY89" s="117" t="s">
        <v>2178</v>
      </c>
      <c r="AZ89" s="117" t="s">
        <v>2179</v>
      </c>
      <c r="BA89" s="117" t="b">
        <v>1</v>
      </c>
      <c r="BB89" s="117" t="b">
        <v>1</v>
      </c>
      <c r="BC89" s="117"/>
      <c r="BD89" s="117"/>
      <c r="BE89" s="117">
        <v>0</v>
      </c>
    </row>
    <row r="90" spans="1:57" ht="16">
      <c r="A90" s="117" t="s">
        <v>2752</v>
      </c>
      <c r="B90" s="117" t="s">
        <v>691</v>
      </c>
      <c r="C90" s="117" t="s">
        <v>692</v>
      </c>
      <c r="D90" s="117" t="s">
        <v>693</v>
      </c>
      <c r="E90" s="117" t="s">
        <v>694</v>
      </c>
      <c r="F90" s="117" t="s">
        <v>748</v>
      </c>
      <c r="G90" s="117" t="s">
        <v>749</v>
      </c>
      <c r="H90" s="118" t="s">
        <v>748</v>
      </c>
      <c r="I90" s="119" t="s">
        <v>749</v>
      </c>
      <c r="J90" s="120" t="s">
        <v>2508</v>
      </c>
      <c r="K90" s="120" t="s">
        <v>2508</v>
      </c>
      <c r="L90" s="118"/>
      <c r="M90" s="119"/>
      <c r="N90" s="118"/>
      <c r="O90" s="119"/>
      <c r="P90" s="117" t="s">
        <v>28</v>
      </c>
      <c r="Q90" s="117" t="s">
        <v>45</v>
      </c>
      <c r="R90" s="117" t="b">
        <v>1</v>
      </c>
      <c r="S90" s="117" t="b">
        <v>1</v>
      </c>
      <c r="T90" s="117" t="b">
        <v>1</v>
      </c>
      <c r="U90" s="117" t="b">
        <v>1</v>
      </c>
      <c r="V90" s="117" t="b">
        <v>1</v>
      </c>
      <c r="W90" s="117" t="b">
        <v>1</v>
      </c>
      <c r="X90" s="117" t="b">
        <v>1</v>
      </c>
      <c r="Y90" s="117" t="b">
        <v>0</v>
      </c>
      <c r="Z90" s="117" t="b">
        <v>0</v>
      </c>
      <c r="AA90" s="117"/>
      <c r="AB90" s="117" t="s">
        <v>750</v>
      </c>
      <c r="AC90" s="117"/>
      <c r="AD90" s="117"/>
      <c r="AE90" s="117"/>
      <c r="AF90" s="117"/>
      <c r="AG90" s="117" t="s">
        <v>751</v>
      </c>
      <c r="AH90" s="117">
        <v>3276034902890000</v>
      </c>
      <c r="AI90" s="117" t="s">
        <v>119</v>
      </c>
      <c r="AJ90" s="117" t="s">
        <v>32</v>
      </c>
      <c r="AK90" s="117"/>
      <c r="AL90" s="117">
        <v>62857160357947</v>
      </c>
      <c r="AM90" s="117"/>
      <c r="AN90" s="117"/>
      <c r="AO90" s="117" t="s">
        <v>753</v>
      </c>
      <c r="AP90" s="117"/>
      <c r="AQ90" s="117" t="s">
        <v>693</v>
      </c>
      <c r="AR90" s="117" t="s">
        <v>1909</v>
      </c>
      <c r="AS90" s="117" t="s">
        <v>694</v>
      </c>
      <c r="AT90" s="117" t="s">
        <v>1929</v>
      </c>
      <c r="AU90" s="117" t="b">
        <v>1</v>
      </c>
      <c r="AV90" s="117" t="b">
        <v>1</v>
      </c>
      <c r="AW90" s="117" t="s">
        <v>748</v>
      </c>
      <c r="AX90" s="117" t="s">
        <v>749</v>
      </c>
      <c r="AY90" s="117" t="s">
        <v>2182</v>
      </c>
      <c r="AZ90" s="117" t="s">
        <v>2183</v>
      </c>
      <c r="BA90" s="117" t="b">
        <v>1</v>
      </c>
      <c r="BB90" s="117" t="b">
        <v>1</v>
      </c>
      <c r="BC90" s="117"/>
      <c r="BD90" s="117"/>
      <c r="BE90" s="117">
        <v>0</v>
      </c>
    </row>
    <row r="91" spans="1:57" ht="16">
      <c r="A91" s="117" t="s">
        <v>2752</v>
      </c>
      <c r="B91" s="117" t="s">
        <v>691</v>
      </c>
      <c r="C91" s="117" t="s">
        <v>692</v>
      </c>
      <c r="D91" s="117" t="s">
        <v>693</v>
      </c>
      <c r="E91" s="117" t="s">
        <v>694</v>
      </c>
      <c r="F91" s="117" t="s">
        <v>754</v>
      </c>
      <c r="G91" s="117" t="s">
        <v>755</v>
      </c>
      <c r="H91" s="118" t="s">
        <v>754</v>
      </c>
      <c r="I91" s="119" t="s">
        <v>755</v>
      </c>
      <c r="J91" s="120" t="s">
        <v>2508</v>
      </c>
      <c r="K91" s="120" t="s">
        <v>2508</v>
      </c>
      <c r="L91" s="118"/>
      <c r="M91" s="119"/>
      <c r="N91" s="118"/>
      <c r="O91" s="119"/>
      <c r="P91" s="117" t="s">
        <v>28</v>
      </c>
      <c r="Q91" s="117" t="s">
        <v>45</v>
      </c>
      <c r="R91" s="117" t="b">
        <v>1</v>
      </c>
      <c r="S91" s="117" t="b">
        <v>1</v>
      </c>
      <c r="T91" s="117" t="b">
        <v>1</v>
      </c>
      <c r="U91" s="117" t="b">
        <v>1</v>
      </c>
      <c r="V91" s="117" t="b">
        <v>1</v>
      </c>
      <c r="W91" s="117" t="b">
        <v>1</v>
      </c>
      <c r="X91" s="117" t="b">
        <v>1</v>
      </c>
      <c r="Y91" s="117" t="b">
        <v>0</v>
      </c>
      <c r="Z91" s="117" t="b">
        <v>0</v>
      </c>
      <c r="AA91" s="117"/>
      <c r="AB91" s="117" t="s">
        <v>756</v>
      </c>
      <c r="AC91" s="117"/>
      <c r="AD91" s="117"/>
      <c r="AE91" s="117"/>
      <c r="AF91" s="117"/>
      <c r="AG91" s="117" t="s">
        <v>757</v>
      </c>
      <c r="AH91" s="117">
        <v>3276017007900000</v>
      </c>
      <c r="AI91" s="117" t="s">
        <v>119</v>
      </c>
      <c r="AJ91" s="117" t="s">
        <v>32</v>
      </c>
      <c r="AK91" s="117"/>
      <c r="AL91" s="117">
        <v>6281574929262</v>
      </c>
      <c r="AM91" s="117"/>
      <c r="AN91" s="117"/>
      <c r="AO91" s="117" t="s">
        <v>759</v>
      </c>
      <c r="AP91" s="117"/>
      <c r="AQ91" s="117" t="s">
        <v>693</v>
      </c>
      <c r="AR91" s="117" t="s">
        <v>1909</v>
      </c>
      <c r="AS91" s="117" t="s">
        <v>694</v>
      </c>
      <c r="AT91" s="117" t="s">
        <v>1929</v>
      </c>
      <c r="AU91" s="117" t="b">
        <v>1</v>
      </c>
      <c r="AV91" s="117" t="b">
        <v>1</v>
      </c>
      <c r="AW91" s="117" t="s">
        <v>754</v>
      </c>
      <c r="AX91" s="117" t="s">
        <v>755</v>
      </c>
      <c r="AY91" s="117" t="s">
        <v>2184</v>
      </c>
      <c r="AZ91" s="117" t="s">
        <v>2185</v>
      </c>
      <c r="BA91" s="117" t="b">
        <v>1</v>
      </c>
      <c r="BB91" s="117" t="b">
        <v>1</v>
      </c>
      <c r="BC91" s="117"/>
      <c r="BD91" s="117"/>
      <c r="BE91" s="117">
        <v>0</v>
      </c>
    </row>
    <row r="92" spans="1:57" ht="16">
      <c r="A92" s="117" t="s">
        <v>2752</v>
      </c>
      <c r="B92" s="117" t="s">
        <v>691</v>
      </c>
      <c r="C92" s="117" t="s">
        <v>692</v>
      </c>
      <c r="D92" s="117" t="s">
        <v>693</v>
      </c>
      <c r="E92" s="117" t="s">
        <v>694</v>
      </c>
      <c r="F92" s="117" t="s">
        <v>766</v>
      </c>
      <c r="G92" s="117" t="s">
        <v>767</v>
      </c>
      <c r="H92" s="118" t="s">
        <v>766</v>
      </c>
      <c r="I92" s="119" t="s">
        <v>767</v>
      </c>
      <c r="J92" s="120" t="s">
        <v>2508</v>
      </c>
      <c r="K92" s="120" t="s">
        <v>2508</v>
      </c>
      <c r="L92" s="118"/>
      <c r="M92" s="119"/>
      <c r="N92" s="118"/>
      <c r="O92" s="119"/>
      <c r="P92" s="117" t="s">
        <v>28</v>
      </c>
      <c r="Q92" s="117" t="s">
        <v>45</v>
      </c>
      <c r="R92" s="117" t="b">
        <v>1</v>
      </c>
      <c r="S92" s="117" t="b">
        <v>1</v>
      </c>
      <c r="T92" s="117" t="b">
        <v>1</v>
      </c>
      <c r="U92" s="117" t="b">
        <v>1</v>
      </c>
      <c r="V92" s="117" t="b">
        <v>1</v>
      </c>
      <c r="W92" s="117" t="b">
        <v>1</v>
      </c>
      <c r="X92" s="117" t="b">
        <v>1</v>
      </c>
      <c r="Y92" s="117" t="b">
        <v>0</v>
      </c>
      <c r="Z92" s="117" t="b">
        <v>0</v>
      </c>
      <c r="AA92" s="117"/>
      <c r="AB92" s="117" t="s">
        <v>328</v>
      </c>
      <c r="AC92" s="117"/>
      <c r="AD92" s="117"/>
      <c r="AE92" s="117"/>
      <c r="AF92" s="117"/>
      <c r="AG92" s="117" t="s">
        <v>768</v>
      </c>
      <c r="AH92" s="117">
        <v>3201130906920000</v>
      </c>
      <c r="AI92" s="117" t="s">
        <v>68</v>
      </c>
      <c r="AJ92" s="117" t="s">
        <v>32</v>
      </c>
      <c r="AK92" s="117"/>
      <c r="AL92" s="117">
        <v>6285719252307</v>
      </c>
      <c r="AM92" s="117"/>
      <c r="AN92" s="117"/>
      <c r="AO92" s="117" t="s">
        <v>770</v>
      </c>
      <c r="AP92" s="117"/>
      <c r="AQ92" s="117" t="s">
        <v>693</v>
      </c>
      <c r="AR92" s="117" t="s">
        <v>1909</v>
      </c>
      <c r="AS92" s="117" t="s">
        <v>694</v>
      </c>
      <c r="AT92" s="117" t="s">
        <v>1929</v>
      </c>
      <c r="AU92" s="117" t="b">
        <v>1</v>
      </c>
      <c r="AV92" s="117" t="b">
        <v>1</v>
      </c>
      <c r="AW92" s="117" t="s">
        <v>766</v>
      </c>
      <c r="AX92" s="117" t="s">
        <v>767</v>
      </c>
      <c r="AY92" s="117" t="s">
        <v>2188</v>
      </c>
      <c r="AZ92" s="117" t="s">
        <v>2189</v>
      </c>
      <c r="BA92" s="117" t="b">
        <v>1</v>
      </c>
      <c r="BB92" s="117" t="b">
        <v>1</v>
      </c>
      <c r="BC92" s="117"/>
      <c r="BD92" s="117"/>
      <c r="BE92" s="117">
        <v>0</v>
      </c>
    </row>
    <row r="93" spans="1:57" ht="16">
      <c r="A93" s="117" t="s">
        <v>2752</v>
      </c>
      <c r="B93" s="117" t="s">
        <v>702</v>
      </c>
      <c r="C93" s="117" t="s">
        <v>703</v>
      </c>
      <c r="D93" s="117" t="s">
        <v>704</v>
      </c>
      <c r="E93" s="117" t="s">
        <v>705</v>
      </c>
      <c r="F93" s="117" t="s">
        <v>771</v>
      </c>
      <c r="G93" s="117" t="s">
        <v>772</v>
      </c>
      <c r="H93" s="118" t="s">
        <v>2568</v>
      </c>
      <c r="I93" s="119" t="s">
        <v>2591</v>
      </c>
      <c r="J93" s="120" t="s">
        <v>2508</v>
      </c>
      <c r="K93" s="120" t="s">
        <v>2508</v>
      </c>
      <c r="L93" s="118"/>
      <c r="M93" s="119"/>
      <c r="N93" s="118" t="s">
        <v>2735</v>
      </c>
      <c r="O93" s="119" t="s">
        <v>2735</v>
      </c>
      <c r="P93" s="117" t="s">
        <v>28</v>
      </c>
      <c r="Q93" s="117" t="s">
        <v>45</v>
      </c>
      <c r="R93" s="117" t="b">
        <v>1</v>
      </c>
      <c r="S93" s="117" t="b">
        <v>1</v>
      </c>
      <c r="T93" s="117" t="b">
        <v>1</v>
      </c>
      <c r="U93" s="117" t="b">
        <v>0</v>
      </c>
      <c r="V93" s="117" t="b">
        <v>0</v>
      </c>
      <c r="W93" s="117" t="b">
        <v>1</v>
      </c>
      <c r="X93" s="117" t="b">
        <v>1</v>
      </c>
      <c r="Y93" s="117" t="b">
        <v>0</v>
      </c>
      <c r="Z93" s="117" t="b">
        <v>0</v>
      </c>
      <c r="AA93" s="117"/>
      <c r="AB93" s="117" t="s">
        <v>773</v>
      </c>
      <c r="AC93" s="117"/>
      <c r="AD93" s="117"/>
      <c r="AE93" s="117"/>
      <c r="AF93" s="117"/>
      <c r="AG93" s="117" t="s">
        <v>774</v>
      </c>
      <c r="AH93" s="117">
        <v>3276012012870000</v>
      </c>
      <c r="AI93" s="117" t="s">
        <v>68</v>
      </c>
      <c r="AJ93" s="117" t="s">
        <v>32</v>
      </c>
      <c r="AK93" s="117"/>
      <c r="AL93" s="117">
        <v>6289507348390</v>
      </c>
      <c r="AM93" s="117"/>
      <c r="AN93" s="117"/>
      <c r="AO93" s="117" t="s">
        <v>776</v>
      </c>
      <c r="AP93" s="117"/>
      <c r="AQ93" s="117" t="s">
        <v>704</v>
      </c>
      <c r="AR93" s="117" t="s">
        <v>1909</v>
      </c>
      <c r="AS93" s="117" t="s">
        <v>705</v>
      </c>
      <c r="AT93" s="117" t="s">
        <v>1929</v>
      </c>
      <c r="AU93" s="117" t="b">
        <v>1</v>
      </c>
      <c r="AV93" s="117" t="b">
        <v>1</v>
      </c>
      <c r="AW93" s="117" t="s">
        <v>771</v>
      </c>
      <c r="AX93" s="117" t="s">
        <v>772</v>
      </c>
      <c r="AY93" s="117" t="s">
        <v>2190</v>
      </c>
      <c r="AZ93" s="117" t="s">
        <v>2191</v>
      </c>
      <c r="BA93" s="117" t="b">
        <v>1</v>
      </c>
      <c r="BB93" s="117" t="b">
        <v>1</v>
      </c>
      <c r="BC93" s="117"/>
      <c r="BD93" s="117"/>
      <c r="BE93" s="117">
        <v>0</v>
      </c>
    </row>
    <row r="94" spans="1:57" ht="16">
      <c r="A94" s="117" t="s">
        <v>2752</v>
      </c>
      <c r="B94" s="117" t="s">
        <v>702</v>
      </c>
      <c r="C94" s="117" t="s">
        <v>703</v>
      </c>
      <c r="D94" s="117" t="s">
        <v>704</v>
      </c>
      <c r="E94" s="117" t="s">
        <v>705</v>
      </c>
      <c r="F94" s="117" t="s">
        <v>706</v>
      </c>
      <c r="G94" s="117" t="s">
        <v>707</v>
      </c>
      <c r="H94" s="118" t="s">
        <v>706</v>
      </c>
      <c r="I94" s="119" t="s">
        <v>707</v>
      </c>
      <c r="J94" s="120" t="s">
        <v>2508</v>
      </c>
      <c r="K94" s="120" t="s">
        <v>2508</v>
      </c>
      <c r="L94" s="118"/>
      <c r="M94" s="119"/>
      <c r="N94" s="118"/>
      <c r="O94" s="119"/>
      <c r="P94" s="117" t="s">
        <v>28</v>
      </c>
      <c r="Q94" s="117" t="s">
        <v>45</v>
      </c>
      <c r="R94" s="117" t="b">
        <v>1</v>
      </c>
      <c r="S94" s="117" t="b">
        <v>1</v>
      </c>
      <c r="T94" s="117" t="b">
        <v>1</v>
      </c>
      <c r="U94" s="117" t="b">
        <v>1</v>
      </c>
      <c r="V94" s="117" t="b">
        <v>1</v>
      </c>
      <c r="W94" s="117" t="b">
        <v>1</v>
      </c>
      <c r="X94" s="117" t="b">
        <v>1</v>
      </c>
      <c r="Y94" s="117" t="b">
        <v>0</v>
      </c>
      <c r="Z94" s="117" t="b">
        <v>0</v>
      </c>
      <c r="AA94" s="117"/>
      <c r="AB94" s="117" t="s">
        <v>708</v>
      </c>
      <c r="AC94" s="117" t="s">
        <v>2546</v>
      </c>
      <c r="AD94" s="117"/>
      <c r="AE94" s="117"/>
      <c r="AF94" s="117"/>
      <c r="AG94" s="117" t="s">
        <v>709</v>
      </c>
      <c r="AH94" s="117">
        <v>3276054112860000</v>
      </c>
      <c r="AI94" s="117" t="s">
        <v>119</v>
      </c>
      <c r="AJ94" s="117" t="s">
        <v>32</v>
      </c>
      <c r="AK94" s="117"/>
      <c r="AL94" s="117">
        <v>6280086422506</v>
      </c>
      <c r="AM94" s="117"/>
      <c r="AN94" s="117"/>
      <c r="AO94" s="117" t="s">
        <v>711</v>
      </c>
      <c r="AP94" s="117"/>
      <c r="AQ94" s="117" t="s">
        <v>704</v>
      </c>
      <c r="AR94" s="117" t="s">
        <v>1909</v>
      </c>
      <c r="AS94" s="117" t="s">
        <v>705</v>
      </c>
      <c r="AT94" s="117" t="s">
        <v>1929</v>
      </c>
      <c r="AU94" s="117" t="b">
        <v>1</v>
      </c>
      <c r="AV94" s="117" t="b">
        <v>1</v>
      </c>
      <c r="AW94" s="117" t="s">
        <v>706</v>
      </c>
      <c r="AX94" s="117" t="s">
        <v>707</v>
      </c>
      <c r="AY94" s="117" t="s">
        <v>2168</v>
      </c>
      <c r="AZ94" s="117" t="s">
        <v>2169</v>
      </c>
      <c r="BA94" s="117" t="b">
        <v>1</v>
      </c>
      <c r="BB94" s="117" t="b">
        <v>1</v>
      </c>
      <c r="BC94" s="117"/>
      <c r="BD94" s="117"/>
      <c r="BE94" s="117">
        <v>0</v>
      </c>
    </row>
    <row r="95" spans="1:57" ht="16">
      <c r="A95" s="117" t="s">
        <v>2752</v>
      </c>
      <c r="B95" s="117" t="s">
        <v>702</v>
      </c>
      <c r="C95" s="117" t="s">
        <v>703</v>
      </c>
      <c r="D95" s="117" t="s">
        <v>704</v>
      </c>
      <c r="E95" s="117" t="s">
        <v>705</v>
      </c>
      <c r="F95" s="117" t="s">
        <v>712</v>
      </c>
      <c r="G95" s="117" t="s">
        <v>713</v>
      </c>
      <c r="H95" s="118" t="s">
        <v>712</v>
      </c>
      <c r="I95" s="119" t="s">
        <v>713</v>
      </c>
      <c r="J95" s="120" t="s">
        <v>2508</v>
      </c>
      <c r="K95" s="120" t="s">
        <v>2508</v>
      </c>
      <c r="L95" s="118"/>
      <c r="M95" s="119"/>
      <c r="N95" s="118"/>
      <c r="O95" s="119"/>
      <c r="P95" s="117" t="s">
        <v>28</v>
      </c>
      <c r="Q95" s="117" t="s">
        <v>45</v>
      </c>
      <c r="R95" s="117" t="b">
        <v>1</v>
      </c>
      <c r="S95" s="117" t="b">
        <v>1</v>
      </c>
      <c r="T95" s="117" t="b">
        <v>1</v>
      </c>
      <c r="U95" s="117" t="b">
        <v>1</v>
      </c>
      <c r="V95" s="117" t="b">
        <v>1</v>
      </c>
      <c r="W95" s="117" t="b">
        <v>1</v>
      </c>
      <c r="X95" s="117" t="b">
        <v>1</v>
      </c>
      <c r="Y95" s="117" t="b">
        <v>0</v>
      </c>
      <c r="Z95" s="117" t="b">
        <v>0</v>
      </c>
      <c r="AA95" s="117"/>
      <c r="AB95" s="117" t="s">
        <v>714</v>
      </c>
      <c r="AC95" s="117"/>
      <c r="AD95" s="117"/>
      <c r="AE95" s="117"/>
      <c r="AF95" s="117"/>
      <c r="AG95" s="117" t="s">
        <v>715</v>
      </c>
      <c r="AH95" s="117">
        <v>3276065310930000</v>
      </c>
      <c r="AI95" s="117" t="s">
        <v>119</v>
      </c>
      <c r="AJ95" s="117" t="s">
        <v>32</v>
      </c>
      <c r="AK95" s="117"/>
      <c r="AL95" s="117">
        <v>6280086422507</v>
      </c>
      <c r="AM95" s="117"/>
      <c r="AN95" s="117"/>
      <c r="AO95" s="117" t="s">
        <v>717</v>
      </c>
      <c r="AP95" s="117"/>
      <c r="AQ95" s="117" t="s">
        <v>704</v>
      </c>
      <c r="AR95" s="117" t="s">
        <v>1909</v>
      </c>
      <c r="AS95" s="117" t="s">
        <v>705</v>
      </c>
      <c r="AT95" s="117" t="s">
        <v>1929</v>
      </c>
      <c r="AU95" s="117" t="b">
        <v>1</v>
      </c>
      <c r="AV95" s="117" t="b">
        <v>1</v>
      </c>
      <c r="AW95" s="117" t="s">
        <v>712</v>
      </c>
      <c r="AX95" s="117" t="s">
        <v>713</v>
      </c>
      <c r="AY95" s="117" t="s">
        <v>2170</v>
      </c>
      <c r="AZ95" s="117" t="s">
        <v>2171</v>
      </c>
      <c r="BA95" s="117" t="b">
        <v>1</v>
      </c>
      <c r="BB95" s="117" t="b">
        <v>1</v>
      </c>
      <c r="BC95" s="117"/>
      <c r="BD95" s="117"/>
      <c r="BE95" s="117">
        <v>0</v>
      </c>
    </row>
    <row r="96" spans="1:57" ht="16">
      <c r="A96" s="117" t="s">
        <v>2752</v>
      </c>
      <c r="B96" s="117" t="s">
        <v>702</v>
      </c>
      <c r="C96" s="117" t="s">
        <v>703</v>
      </c>
      <c r="D96" s="117" t="s">
        <v>704</v>
      </c>
      <c r="E96" s="117" t="s">
        <v>705</v>
      </c>
      <c r="F96" s="117" t="s">
        <v>730</v>
      </c>
      <c r="G96" s="117" t="s">
        <v>731</v>
      </c>
      <c r="H96" s="118" t="s">
        <v>2569</v>
      </c>
      <c r="I96" s="119" t="s">
        <v>2592</v>
      </c>
      <c r="J96" s="120" t="s">
        <v>2508</v>
      </c>
      <c r="K96" s="120" t="s">
        <v>2508</v>
      </c>
      <c r="L96" s="118"/>
      <c r="M96" s="119"/>
      <c r="N96" s="118"/>
      <c r="O96" s="119"/>
      <c r="P96" s="117" t="s">
        <v>28</v>
      </c>
      <c r="Q96" s="117" t="s">
        <v>45</v>
      </c>
      <c r="R96" s="117" t="b">
        <v>1</v>
      </c>
      <c r="S96" s="117" t="b">
        <v>1</v>
      </c>
      <c r="T96" s="117" t="b">
        <v>1</v>
      </c>
      <c r="U96" s="117" t="b">
        <v>0</v>
      </c>
      <c r="V96" s="117" t="b">
        <v>0</v>
      </c>
      <c r="W96" s="117" t="b">
        <v>1</v>
      </c>
      <c r="X96" s="117" t="b">
        <v>1</v>
      </c>
      <c r="Y96" s="117" t="b">
        <v>0</v>
      </c>
      <c r="Z96" s="117" t="b">
        <v>0</v>
      </c>
      <c r="AA96" s="117"/>
      <c r="AB96" s="117" t="s">
        <v>732</v>
      </c>
      <c r="AC96" s="117"/>
      <c r="AD96" s="117"/>
      <c r="AE96" s="117"/>
      <c r="AF96" s="117"/>
      <c r="AG96" s="117" t="s">
        <v>733</v>
      </c>
      <c r="AH96" s="117">
        <v>3276016805870000</v>
      </c>
      <c r="AI96" s="117" t="s">
        <v>119</v>
      </c>
      <c r="AJ96" s="117" t="s">
        <v>32</v>
      </c>
      <c r="AK96" s="117"/>
      <c r="AL96" s="117">
        <v>6285779999546</v>
      </c>
      <c r="AM96" s="117"/>
      <c r="AN96" s="117"/>
      <c r="AO96" s="117" t="s">
        <v>735</v>
      </c>
      <c r="AP96" s="117"/>
      <c r="AQ96" s="117" t="s">
        <v>704</v>
      </c>
      <c r="AR96" s="117" t="s">
        <v>1909</v>
      </c>
      <c r="AS96" s="117" t="s">
        <v>705</v>
      </c>
      <c r="AT96" s="117" t="s">
        <v>1929</v>
      </c>
      <c r="AU96" s="117" t="b">
        <v>1</v>
      </c>
      <c r="AV96" s="117" t="b">
        <v>1</v>
      </c>
      <c r="AW96" s="117" t="s">
        <v>730</v>
      </c>
      <c r="AX96" s="117" t="s">
        <v>731</v>
      </c>
      <c r="AY96" s="117" t="s">
        <v>2176</v>
      </c>
      <c r="AZ96" s="117" t="s">
        <v>2177</v>
      </c>
      <c r="BA96" s="117" t="b">
        <v>1</v>
      </c>
      <c r="BB96" s="117" t="b">
        <v>1</v>
      </c>
      <c r="BC96" s="117"/>
      <c r="BD96" s="117"/>
      <c r="BE96" s="117">
        <v>0</v>
      </c>
    </row>
    <row r="97" spans="1:57" ht="16">
      <c r="A97" s="117" t="s">
        <v>2752</v>
      </c>
      <c r="B97" s="117" t="s">
        <v>702</v>
      </c>
      <c r="C97" s="117" t="s">
        <v>703</v>
      </c>
      <c r="D97" s="117" t="s">
        <v>704</v>
      </c>
      <c r="E97" s="117" t="s">
        <v>705</v>
      </c>
      <c r="F97" s="117" t="s">
        <v>742</v>
      </c>
      <c r="G97" s="117" t="s">
        <v>743</v>
      </c>
      <c r="H97" s="118" t="s">
        <v>742</v>
      </c>
      <c r="I97" s="119" t="s">
        <v>743</v>
      </c>
      <c r="J97" s="120" t="s">
        <v>2508</v>
      </c>
      <c r="K97" s="120" t="s">
        <v>2508</v>
      </c>
      <c r="L97" s="118"/>
      <c r="M97" s="119"/>
      <c r="N97" s="118"/>
      <c r="O97" s="119"/>
      <c r="P97" s="117" t="s">
        <v>28</v>
      </c>
      <c r="Q97" s="117" t="s">
        <v>45</v>
      </c>
      <c r="R97" s="117" t="b">
        <v>1</v>
      </c>
      <c r="S97" s="117" t="b">
        <v>1</v>
      </c>
      <c r="T97" s="117" t="b">
        <v>1</v>
      </c>
      <c r="U97" s="117" t="b">
        <v>1</v>
      </c>
      <c r="V97" s="117" t="b">
        <v>1</v>
      </c>
      <c r="W97" s="117" t="b">
        <v>1</v>
      </c>
      <c r="X97" s="117" t="b">
        <v>1</v>
      </c>
      <c r="Y97" s="117" t="b">
        <v>0</v>
      </c>
      <c r="Z97" s="117" t="b">
        <v>0</v>
      </c>
      <c r="AA97" s="117"/>
      <c r="AB97" s="117" t="s">
        <v>744</v>
      </c>
      <c r="AC97" s="117"/>
      <c r="AD97" s="117"/>
      <c r="AE97" s="117"/>
      <c r="AF97" s="117"/>
      <c r="AG97" s="117" t="s">
        <v>745</v>
      </c>
      <c r="AH97" s="117">
        <v>3276010610740000</v>
      </c>
      <c r="AI97" s="117" t="s">
        <v>68</v>
      </c>
      <c r="AJ97" s="117" t="s">
        <v>32</v>
      </c>
      <c r="AK97" s="117"/>
      <c r="AL97" s="117">
        <v>62856956664997</v>
      </c>
      <c r="AM97" s="117"/>
      <c r="AN97" s="117"/>
      <c r="AO97" s="117" t="s">
        <v>747</v>
      </c>
      <c r="AP97" s="117"/>
      <c r="AQ97" s="117" t="s">
        <v>704</v>
      </c>
      <c r="AR97" s="117" t="s">
        <v>1909</v>
      </c>
      <c r="AS97" s="117" t="s">
        <v>705</v>
      </c>
      <c r="AT97" s="117" t="s">
        <v>1929</v>
      </c>
      <c r="AU97" s="117" t="b">
        <v>1</v>
      </c>
      <c r="AV97" s="117" t="b">
        <v>1</v>
      </c>
      <c r="AW97" s="117" t="s">
        <v>742</v>
      </c>
      <c r="AX97" s="117" t="s">
        <v>743</v>
      </c>
      <c r="AY97" s="117" t="s">
        <v>2180</v>
      </c>
      <c r="AZ97" s="117" t="s">
        <v>2181</v>
      </c>
      <c r="BA97" s="117" t="b">
        <v>1</v>
      </c>
      <c r="BB97" s="117" t="b">
        <v>1</v>
      </c>
      <c r="BC97" s="117"/>
      <c r="BD97" s="117"/>
      <c r="BE97" s="117">
        <v>0</v>
      </c>
    </row>
    <row r="98" spans="1:57" ht="16">
      <c r="A98" s="117" t="s">
        <v>2752</v>
      </c>
      <c r="B98" s="117" t="s">
        <v>702</v>
      </c>
      <c r="C98" s="117" t="s">
        <v>703</v>
      </c>
      <c r="D98" s="117" t="s">
        <v>704</v>
      </c>
      <c r="E98" s="117" t="s">
        <v>705</v>
      </c>
      <c r="F98" s="117" t="s">
        <v>760</v>
      </c>
      <c r="G98" s="117" t="s">
        <v>761</v>
      </c>
      <c r="H98" s="118" t="s">
        <v>760</v>
      </c>
      <c r="I98" s="119" t="s">
        <v>761</v>
      </c>
      <c r="J98" s="120" t="s">
        <v>2508</v>
      </c>
      <c r="K98" s="120" t="s">
        <v>2508</v>
      </c>
      <c r="L98" s="118"/>
      <c r="M98" s="119"/>
      <c r="N98" s="118"/>
      <c r="O98" s="119"/>
      <c r="P98" s="117" t="s">
        <v>28</v>
      </c>
      <c r="Q98" s="117" t="s">
        <v>45</v>
      </c>
      <c r="R98" s="117" t="b">
        <v>1</v>
      </c>
      <c r="S98" s="117" t="b">
        <v>1</v>
      </c>
      <c r="T98" s="117" t="b">
        <v>1</v>
      </c>
      <c r="U98" s="117" t="b">
        <v>1</v>
      </c>
      <c r="V98" s="117" t="b">
        <v>1</v>
      </c>
      <c r="W98" s="117" t="b">
        <v>1</v>
      </c>
      <c r="X98" s="117" t="b">
        <v>1</v>
      </c>
      <c r="Y98" s="117" t="b">
        <v>0</v>
      </c>
      <c r="Z98" s="117" t="b">
        <v>0</v>
      </c>
      <c r="AA98" s="117"/>
      <c r="AB98" s="117" t="s">
        <v>762</v>
      </c>
      <c r="AC98" s="117"/>
      <c r="AD98" s="117"/>
      <c r="AE98" s="117"/>
      <c r="AF98" s="117"/>
      <c r="AG98" s="117" t="s">
        <v>763</v>
      </c>
      <c r="AH98" s="117">
        <v>3171045804960000</v>
      </c>
      <c r="AI98" s="117" t="s">
        <v>119</v>
      </c>
      <c r="AJ98" s="117" t="s">
        <v>32</v>
      </c>
      <c r="AK98" s="117"/>
      <c r="AL98" s="117">
        <v>6285781633357</v>
      </c>
      <c r="AM98" s="117"/>
      <c r="AN98" s="117"/>
      <c r="AO98" s="117" t="s">
        <v>765</v>
      </c>
      <c r="AP98" s="117"/>
      <c r="AQ98" s="117" t="s">
        <v>704</v>
      </c>
      <c r="AR98" s="117" t="s">
        <v>1909</v>
      </c>
      <c r="AS98" s="117" t="s">
        <v>705</v>
      </c>
      <c r="AT98" s="117" t="s">
        <v>1929</v>
      </c>
      <c r="AU98" s="117" t="b">
        <v>1</v>
      </c>
      <c r="AV98" s="117" t="b">
        <v>1</v>
      </c>
      <c r="AW98" s="117" t="s">
        <v>760</v>
      </c>
      <c r="AX98" s="117" t="s">
        <v>761</v>
      </c>
      <c r="AY98" s="117" t="s">
        <v>2186</v>
      </c>
      <c r="AZ98" s="117" t="s">
        <v>2187</v>
      </c>
      <c r="BA98" s="117" t="b">
        <v>1</v>
      </c>
      <c r="BB98" s="117" t="b">
        <v>1</v>
      </c>
      <c r="BC98" s="117"/>
      <c r="BD98" s="117"/>
      <c r="BE98" s="117">
        <v>0</v>
      </c>
    </row>
    <row r="99" spans="1:57" ht="16">
      <c r="A99" s="117" t="s">
        <v>2752</v>
      </c>
      <c r="B99" s="117" t="s">
        <v>702</v>
      </c>
      <c r="C99" s="117" t="s">
        <v>703</v>
      </c>
      <c r="D99" s="117" t="s">
        <v>704</v>
      </c>
      <c r="E99" s="117" t="s">
        <v>705</v>
      </c>
      <c r="F99" s="117" t="s">
        <v>777</v>
      </c>
      <c r="G99" s="117" t="s">
        <v>778</v>
      </c>
      <c r="H99" s="118" t="s">
        <v>777</v>
      </c>
      <c r="I99" s="119" t="s">
        <v>778</v>
      </c>
      <c r="J99" s="120" t="s">
        <v>2508</v>
      </c>
      <c r="K99" s="120" t="s">
        <v>2508</v>
      </c>
      <c r="L99" s="118"/>
      <c r="M99" s="119"/>
      <c r="N99" s="118"/>
      <c r="O99" s="119"/>
      <c r="P99" s="117" t="s">
        <v>28</v>
      </c>
      <c r="Q99" s="117" t="s">
        <v>45</v>
      </c>
      <c r="R99" s="117" t="b">
        <v>1</v>
      </c>
      <c r="S99" s="117" t="b">
        <v>1</v>
      </c>
      <c r="T99" s="117" t="b">
        <v>1</v>
      </c>
      <c r="U99" s="117" t="b">
        <v>1</v>
      </c>
      <c r="V99" s="117" t="b">
        <v>1</v>
      </c>
      <c r="W99" s="117" t="b">
        <v>1</v>
      </c>
      <c r="X99" s="117" t="b">
        <v>1</v>
      </c>
      <c r="Y99" s="117" t="b">
        <v>0</v>
      </c>
      <c r="Z99" s="117" t="b">
        <v>0</v>
      </c>
      <c r="AA99" s="117"/>
      <c r="AB99" s="117" t="s">
        <v>779</v>
      </c>
      <c r="AC99" s="117"/>
      <c r="AD99" s="117"/>
      <c r="AE99" s="117"/>
      <c r="AF99" s="117"/>
      <c r="AG99" s="117" t="s">
        <v>780</v>
      </c>
      <c r="AH99" s="117">
        <v>3276015201920000</v>
      </c>
      <c r="AI99" s="117" t="s">
        <v>119</v>
      </c>
      <c r="AJ99" s="117" t="s">
        <v>32</v>
      </c>
      <c r="AK99" s="117"/>
      <c r="AL99" s="117">
        <v>62857743726347</v>
      </c>
      <c r="AM99" s="117"/>
      <c r="AN99" s="117"/>
      <c r="AO99" s="117" t="s">
        <v>782</v>
      </c>
      <c r="AP99" s="117"/>
      <c r="AQ99" s="117" t="s">
        <v>704</v>
      </c>
      <c r="AR99" s="117" t="s">
        <v>1909</v>
      </c>
      <c r="AS99" s="117" t="s">
        <v>705</v>
      </c>
      <c r="AT99" s="117" t="s">
        <v>1929</v>
      </c>
      <c r="AU99" s="117" t="b">
        <v>1</v>
      </c>
      <c r="AV99" s="117" t="b">
        <v>1</v>
      </c>
      <c r="AW99" s="117" t="s">
        <v>777</v>
      </c>
      <c r="AX99" s="117" t="s">
        <v>778</v>
      </c>
      <c r="AY99" s="117" t="s">
        <v>2192</v>
      </c>
      <c r="AZ99" s="117" t="s">
        <v>2193</v>
      </c>
      <c r="BA99" s="117" t="b">
        <v>1</v>
      </c>
      <c r="BB99" s="117" t="b">
        <v>1</v>
      </c>
      <c r="BC99" s="117"/>
      <c r="BD99" s="117"/>
      <c r="BE99" s="117">
        <v>0</v>
      </c>
    </row>
    <row r="100" spans="1:57" ht="16">
      <c r="A100" s="117" t="s">
        <v>2752</v>
      </c>
      <c r="B100" s="117" t="s">
        <v>702</v>
      </c>
      <c r="C100" s="117" t="s">
        <v>703</v>
      </c>
      <c r="D100" s="117" t="s">
        <v>704</v>
      </c>
      <c r="E100" s="117" t="s">
        <v>705</v>
      </c>
      <c r="F100" s="117" t="s">
        <v>1720</v>
      </c>
      <c r="G100" s="117" t="s">
        <v>1719</v>
      </c>
      <c r="H100" s="118" t="s">
        <v>1720</v>
      </c>
      <c r="I100" s="119" t="s">
        <v>1719</v>
      </c>
      <c r="J100" s="120" t="s">
        <v>2508</v>
      </c>
      <c r="K100" s="120" t="s">
        <v>2508</v>
      </c>
      <c r="L100" s="118"/>
      <c r="M100" s="119"/>
      <c r="N100" s="118"/>
      <c r="O100" s="119"/>
      <c r="P100" s="117" t="s">
        <v>28</v>
      </c>
      <c r="Q100" s="117" t="s">
        <v>45</v>
      </c>
      <c r="R100" s="117" t="b">
        <v>1</v>
      </c>
      <c r="S100" s="117" t="b">
        <v>1</v>
      </c>
      <c r="T100" s="117" t="b">
        <v>1</v>
      </c>
      <c r="U100" s="117" t="b">
        <v>1</v>
      </c>
      <c r="V100" s="117" t="b">
        <v>1</v>
      </c>
      <c r="W100" s="117" t="b">
        <v>1</v>
      </c>
      <c r="X100" s="117" t="b">
        <v>1</v>
      </c>
      <c r="Y100" s="117" t="b">
        <v>0</v>
      </c>
      <c r="Z100" s="117" t="b">
        <v>0</v>
      </c>
      <c r="AA100" s="117"/>
      <c r="AB100" s="117" t="s">
        <v>1721</v>
      </c>
      <c r="AC100" s="117"/>
      <c r="AD100" s="117"/>
      <c r="AE100" s="117"/>
      <c r="AF100" s="117"/>
      <c r="AG100" s="117" t="s">
        <v>1722</v>
      </c>
      <c r="AH100" s="117">
        <v>3201012411980000</v>
      </c>
      <c r="AI100" s="117" t="s">
        <v>68</v>
      </c>
      <c r="AJ100" s="117" t="s">
        <v>32</v>
      </c>
      <c r="AK100" s="117"/>
      <c r="AL100" s="117">
        <v>62895386577171</v>
      </c>
      <c r="AM100" s="117"/>
      <c r="AN100" s="117"/>
      <c r="AO100" s="117" t="s">
        <v>1724</v>
      </c>
      <c r="AP100" s="117"/>
      <c r="AQ100" s="117" t="s">
        <v>704</v>
      </c>
      <c r="AR100" s="117" t="s">
        <v>1909</v>
      </c>
      <c r="AS100" s="117" t="s">
        <v>705</v>
      </c>
      <c r="AT100" s="117" t="s">
        <v>1929</v>
      </c>
      <c r="AU100" s="117" t="b">
        <v>1</v>
      </c>
      <c r="AV100" s="117" t="b">
        <v>1</v>
      </c>
      <c r="AW100" s="117" t="s">
        <v>1720</v>
      </c>
      <c r="AX100" s="117" t="s">
        <v>1719</v>
      </c>
      <c r="AY100" s="117" t="s">
        <v>2450</v>
      </c>
      <c r="AZ100" s="117" t="s">
        <v>2451</v>
      </c>
      <c r="BA100" s="117" t="b">
        <v>1</v>
      </c>
      <c r="BB100" s="117" t="b">
        <v>1</v>
      </c>
      <c r="BC100" s="117"/>
      <c r="BD100" s="117"/>
      <c r="BE100" s="117">
        <v>0</v>
      </c>
    </row>
    <row r="101" spans="1:57" ht="16">
      <c r="A101" s="117" t="s">
        <v>2752</v>
      </c>
      <c r="B101" s="117" t="s">
        <v>675</v>
      </c>
      <c r="C101" s="117" t="s">
        <v>676</v>
      </c>
      <c r="D101" s="117" t="s">
        <v>677</v>
      </c>
      <c r="E101" s="117" t="s">
        <v>678</v>
      </c>
      <c r="F101" s="117" t="s">
        <v>679</v>
      </c>
      <c r="G101" s="117" t="s">
        <v>680</v>
      </c>
      <c r="H101" s="118" t="s">
        <v>679</v>
      </c>
      <c r="I101" s="119" t="s">
        <v>680</v>
      </c>
      <c r="J101" s="120" t="s">
        <v>2508</v>
      </c>
      <c r="K101" s="120" t="s">
        <v>2508</v>
      </c>
      <c r="L101" s="118"/>
      <c r="M101" s="119"/>
      <c r="N101" s="118"/>
      <c r="O101" s="119"/>
      <c r="P101" s="117" t="s">
        <v>28</v>
      </c>
      <c r="Q101" s="117" t="s">
        <v>45</v>
      </c>
      <c r="R101" s="117" t="b">
        <v>1</v>
      </c>
      <c r="S101" s="117" t="b">
        <v>1</v>
      </c>
      <c r="T101" s="117" t="b">
        <v>1</v>
      </c>
      <c r="U101" s="117" t="b">
        <v>1</v>
      </c>
      <c r="V101" s="117" t="b">
        <v>1</v>
      </c>
      <c r="W101" s="117" t="b">
        <v>1</v>
      </c>
      <c r="X101" s="117" t="b">
        <v>1</v>
      </c>
      <c r="Y101" s="117" t="b">
        <v>0</v>
      </c>
      <c r="Z101" s="117" t="b">
        <v>0</v>
      </c>
      <c r="AA101" s="117"/>
      <c r="AB101" s="117" t="s">
        <v>681</v>
      </c>
      <c r="AC101" s="117"/>
      <c r="AD101" s="117"/>
      <c r="AE101" s="117"/>
      <c r="AF101" s="117"/>
      <c r="AG101" s="117" t="s">
        <v>682</v>
      </c>
      <c r="AH101" s="117">
        <v>3276041407890000</v>
      </c>
      <c r="AI101" s="117" t="s">
        <v>68</v>
      </c>
      <c r="AJ101" s="117" t="s">
        <v>32</v>
      </c>
      <c r="AK101" s="117"/>
      <c r="AL101" s="117">
        <v>6285880815199</v>
      </c>
      <c r="AM101" s="117"/>
      <c r="AN101" s="117"/>
      <c r="AO101" s="117" t="s">
        <v>684</v>
      </c>
      <c r="AP101" s="117"/>
      <c r="AQ101" s="117" t="s">
        <v>677</v>
      </c>
      <c r="AR101" s="117" t="s">
        <v>1902</v>
      </c>
      <c r="AS101" s="117" t="s">
        <v>678</v>
      </c>
      <c r="AT101" s="117" t="s">
        <v>1921</v>
      </c>
      <c r="AU101" s="117" t="b">
        <v>1</v>
      </c>
      <c r="AV101" s="117" t="b">
        <v>1</v>
      </c>
      <c r="AW101" s="117" t="s">
        <v>679</v>
      </c>
      <c r="AX101" s="117" t="s">
        <v>680</v>
      </c>
      <c r="AY101" s="117" t="s">
        <v>1994</v>
      </c>
      <c r="AZ101" s="117" t="s">
        <v>1995</v>
      </c>
      <c r="BA101" s="117" t="b">
        <v>1</v>
      </c>
      <c r="BB101" s="117" t="b">
        <v>1</v>
      </c>
      <c r="BC101" s="117"/>
      <c r="BD101" s="117"/>
      <c r="BE101" s="117">
        <v>0</v>
      </c>
    </row>
    <row r="102" spans="1:57" ht="16">
      <c r="A102" s="117" t="s">
        <v>2752</v>
      </c>
      <c r="B102" s="117" t="s">
        <v>675</v>
      </c>
      <c r="C102" s="117" t="s">
        <v>676</v>
      </c>
      <c r="D102" s="117" t="s">
        <v>677</v>
      </c>
      <c r="E102" s="117" t="s">
        <v>678</v>
      </c>
      <c r="F102" s="117" t="s">
        <v>685</v>
      </c>
      <c r="G102" s="117" t="s">
        <v>686</v>
      </c>
      <c r="H102" s="118" t="s">
        <v>685</v>
      </c>
      <c r="I102" s="119" t="s">
        <v>686</v>
      </c>
      <c r="J102" s="120" t="s">
        <v>2508</v>
      </c>
      <c r="K102" s="120" t="s">
        <v>2508</v>
      </c>
      <c r="L102" s="118"/>
      <c r="M102" s="119"/>
      <c r="N102" s="118"/>
      <c r="O102" s="119"/>
      <c r="P102" s="117" t="s">
        <v>28</v>
      </c>
      <c r="Q102" s="117" t="s">
        <v>45</v>
      </c>
      <c r="R102" s="117" t="b">
        <v>1</v>
      </c>
      <c r="S102" s="117" t="b">
        <v>1</v>
      </c>
      <c r="T102" s="117" t="b">
        <v>1</v>
      </c>
      <c r="U102" s="117" t="b">
        <v>1</v>
      </c>
      <c r="V102" s="117" t="b">
        <v>1</v>
      </c>
      <c r="W102" s="117" t="b">
        <v>1</v>
      </c>
      <c r="X102" s="117" t="b">
        <v>1</v>
      </c>
      <c r="Y102" s="117" t="b">
        <v>0</v>
      </c>
      <c r="Z102" s="117" t="b">
        <v>0</v>
      </c>
      <c r="AA102" s="117"/>
      <c r="AB102" s="117" t="s">
        <v>687</v>
      </c>
      <c r="AC102" s="117"/>
      <c r="AD102" s="117"/>
      <c r="AE102" s="117"/>
      <c r="AF102" s="117"/>
      <c r="AG102" s="117" t="s">
        <v>688</v>
      </c>
      <c r="AH102" s="117">
        <v>3674052612800000</v>
      </c>
      <c r="AI102" s="117" t="s">
        <v>68</v>
      </c>
      <c r="AJ102" s="117" t="s">
        <v>32</v>
      </c>
      <c r="AK102" s="117"/>
      <c r="AL102" s="117">
        <v>6280086422502</v>
      </c>
      <c r="AM102" s="117"/>
      <c r="AN102" s="117"/>
      <c r="AO102" s="117" t="s">
        <v>690</v>
      </c>
      <c r="AP102" s="117"/>
      <c r="AQ102" s="117" t="s">
        <v>677</v>
      </c>
      <c r="AR102" s="117" t="s">
        <v>1902</v>
      </c>
      <c r="AS102" s="117" t="s">
        <v>678</v>
      </c>
      <c r="AT102" s="117" t="s">
        <v>1921</v>
      </c>
      <c r="AU102" s="117" t="b">
        <v>1</v>
      </c>
      <c r="AV102" s="117" t="b">
        <v>1</v>
      </c>
      <c r="AW102" s="117" t="s">
        <v>685</v>
      </c>
      <c r="AX102" s="117" t="s">
        <v>686</v>
      </c>
      <c r="AY102" s="117" t="s">
        <v>1996</v>
      </c>
      <c r="AZ102" s="117" t="s">
        <v>1997</v>
      </c>
      <c r="BA102" s="117" t="b">
        <v>1</v>
      </c>
      <c r="BB102" s="117" t="b">
        <v>1</v>
      </c>
      <c r="BC102" s="117"/>
      <c r="BD102" s="117"/>
      <c r="BE102" s="117">
        <v>0</v>
      </c>
    </row>
    <row r="103" spans="1:57" ht="16">
      <c r="A103" s="117" t="s">
        <v>2752</v>
      </c>
      <c r="B103" s="117" t="s">
        <v>675</v>
      </c>
      <c r="C103" s="117" t="s">
        <v>676</v>
      </c>
      <c r="D103" s="117" t="s">
        <v>677</v>
      </c>
      <c r="E103" s="117" t="s">
        <v>678</v>
      </c>
      <c r="F103" s="117" t="s">
        <v>1756</v>
      </c>
      <c r="G103" s="117" t="s">
        <v>1755</v>
      </c>
      <c r="H103" s="118" t="s">
        <v>1756</v>
      </c>
      <c r="I103" s="119" t="s">
        <v>1755</v>
      </c>
      <c r="J103" s="120" t="s">
        <v>2508</v>
      </c>
      <c r="K103" s="120" t="s">
        <v>2508</v>
      </c>
      <c r="L103" s="118"/>
      <c r="M103" s="119"/>
      <c r="N103" s="118"/>
      <c r="O103" s="119"/>
      <c r="P103" s="117" t="s">
        <v>28</v>
      </c>
      <c r="Q103" s="117" t="s">
        <v>45</v>
      </c>
      <c r="R103" s="117" t="b">
        <v>1</v>
      </c>
      <c r="S103" s="117" t="b">
        <v>1</v>
      </c>
      <c r="T103" s="117" t="b">
        <v>1</v>
      </c>
      <c r="U103" s="117" t="b">
        <v>1</v>
      </c>
      <c r="V103" s="117" t="b">
        <v>1</v>
      </c>
      <c r="W103" s="117" t="b">
        <v>1</v>
      </c>
      <c r="X103" s="117" t="b">
        <v>1</v>
      </c>
      <c r="Y103" s="117" t="b">
        <v>0</v>
      </c>
      <c r="Z103" s="117" t="b">
        <v>0</v>
      </c>
      <c r="AA103" s="117"/>
      <c r="AB103" s="117" t="s">
        <v>1757</v>
      </c>
      <c r="AC103" s="117"/>
      <c r="AD103" s="117"/>
      <c r="AE103" s="117"/>
      <c r="AF103" s="117"/>
      <c r="AG103" s="117" t="s">
        <v>1758</v>
      </c>
      <c r="AH103" s="117">
        <v>3276061402990000</v>
      </c>
      <c r="AI103" s="117" t="s">
        <v>68</v>
      </c>
      <c r="AJ103" s="117" t="s">
        <v>32</v>
      </c>
      <c r="AK103" s="117"/>
      <c r="AL103" s="117">
        <v>6289507343824</v>
      </c>
      <c r="AM103" s="117"/>
      <c r="AN103" s="117"/>
      <c r="AO103" s="117" t="s">
        <v>1760</v>
      </c>
      <c r="AP103" s="117"/>
      <c r="AQ103" s="117" t="s">
        <v>677</v>
      </c>
      <c r="AR103" s="117" t="s">
        <v>1902</v>
      </c>
      <c r="AS103" s="117" t="s">
        <v>678</v>
      </c>
      <c r="AT103" s="117" t="s">
        <v>1921</v>
      </c>
      <c r="AU103" s="117" t="b">
        <v>1</v>
      </c>
      <c r="AV103" s="117" t="b">
        <v>1</v>
      </c>
      <c r="AW103" s="117" t="s">
        <v>1756</v>
      </c>
      <c r="AX103" s="117" t="s">
        <v>1755</v>
      </c>
      <c r="AY103" s="117" t="s">
        <v>1998</v>
      </c>
      <c r="AZ103" s="117" t="s">
        <v>1999</v>
      </c>
      <c r="BA103" s="117" t="b">
        <v>1</v>
      </c>
      <c r="BB103" s="117" t="b">
        <v>1</v>
      </c>
      <c r="BC103" s="117"/>
      <c r="BD103" s="117"/>
      <c r="BE103" s="117">
        <v>0</v>
      </c>
    </row>
    <row r="104" spans="1:57" ht="16">
      <c r="A104" s="117" t="s">
        <v>2752</v>
      </c>
      <c r="B104" s="117" t="s">
        <v>675</v>
      </c>
      <c r="C104" s="117" t="s">
        <v>676</v>
      </c>
      <c r="D104" s="117" t="s">
        <v>677</v>
      </c>
      <c r="E104" s="117" t="s">
        <v>678</v>
      </c>
      <c r="F104" s="117" t="s">
        <v>1768</v>
      </c>
      <c r="G104" s="117" t="s">
        <v>1767</v>
      </c>
      <c r="H104" s="118" t="s">
        <v>1768</v>
      </c>
      <c r="I104" s="119" t="s">
        <v>1767</v>
      </c>
      <c r="J104" s="120" t="s">
        <v>2508</v>
      </c>
      <c r="K104" s="120" t="s">
        <v>2508</v>
      </c>
      <c r="L104" s="118"/>
      <c r="M104" s="119"/>
      <c r="N104" s="118"/>
      <c r="O104" s="119"/>
      <c r="P104" s="117" t="s">
        <v>28</v>
      </c>
      <c r="Q104" s="117" t="s">
        <v>45</v>
      </c>
      <c r="R104" s="117" t="b">
        <v>1</v>
      </c>
      <c r="S104" s="117" t="b">
        <v>1</v>
      </c>
      <c r="T104" s="117" t="b">
        <v>1</v>
      </c>
      <c r="U104" s="117" t="b">
        <v>1</v>
      </c>
      <c r="V104" s="117" t="b">
        <v>1</v>
      </c>
      <c r="W104" s="117" t="b">
        <v>1</v>
      </c>
      <c r="X104" s="117" t="b">
        <v>1</v>
      </c>
      <c r="Y104" s="117" t="b">
        <v>0</v>
      </c>
      <c r="Z104" s="117" t="b">
        <v>0</v>
      </c>
      <c r="AA104" s="117"/>
      <c r="AB104" s="117" t="s">
        <v>1769</v>
      </c>
      <c r="AC104" s="117"/>
      <c r="AD104" s="117"/>
      <c r="AE104" s="117"/>
      <c r="AF104" s="117"/>
      <c r="AG104" s="117" t="s">
        <v>1770</v>
      </c>
      <c r="AH104" s="117">
        <v>1301031310920000</v>
      </c>
      <c r="AI104" s="117" t="s">
        <v>68</v>
      </c>
      <c r="AJ104" s="117" t="s">
        <v>32</v>
      </c>
      <c r="AK104" s="117"/>
      <c r="AL104" s="117">
        <v>6289507363485</v>
      </c>
      <c r="AM104" s="117"/>
      <c r="AN104" s="117"/>
      <c r="AO104" s="117" t="s">
        <v>1772</v>
      </c>
      <c r="AP104" s="117"/>
      <c r="AQ104" s="117" t="s">
        <v>677</v>
      </c>
      <c r="AR104" s="117" t="s">
        <v>1902</v>
      </c>
      <c r="AS104" s="117" t="s">
        <v>678</v>
      </c>
      <c r="AT104" s="117" t="s">
        <v>1921</v>
      </c>
      <c r="AU104" s="117" t="b">
        <v>1</v>
      </c>
      <c r="AV104" s="117" t="b">
        <v>1</v>
      </c>
      <c r="AW104" s="117" t="s">
        <v>1768</v>
      </c>
      <c r="AX104" s="117" t="s">
        <v>1767</v>
      </c>
      <c r="AY104" s="117" t="s">
        <v>2000</v>
      </c>
      <c r="AZ104" s="117" t="s">
        <v>2001</v>
      </c>
      <c r="BA104" s="117" t="b">
        <v>1</v>
      </c>
      <c r="BB104" s="117" t="b">
        <v>1</v>
      </c>
      <c r="BC104" s="117"/>
      <c r="BD104" s="117"/>
      <c r="BE104" s="117">
        <v>0</v>
      </c>
    </row>
    <row r="105" spans="1:57" ht="16">
      <c r="A105" s="160" t="s">
        <v>2752</v>
      </c>
      <c r="B105" s="160" t="s">
        <v>675</v>
      </c>
      <c r="C105" s="160" t="s">
        <v>676</v>
      </c>
      <c r="D105" s="160" t="s">
        <v>677</v>
      </c>
      <c r="E105" s="160" t="s">
        <v>678</v>
      </c>
      <c r="F105" s="160" t="s">
        <v>1893</v>
      </c>
      <c r="G105" s="160" t="s">
        <v>1892</v>
      </c>
      <c r="H105" s="162" t="s">
        <v>1893</v>
      </c>
      <c r="I105" s="164" t="s">
        <v>1892</v>
      </c>
      <c r="J105" s="166" t="s">
        <v>2508</v>
      </c>
      <c r="K105" s="166" t="s">
        <v>2508</v>
      </c>
      <c r="L105" s="162"/>
      <c r="M105" s="164"/>
      <c r="N105" s="162"/>
      <c r="O105" s="164"/>
      <c r="P105" s="160" t="s">
        <v>28</v>
      </c>
      <c r="Q105" s="160" t="s">
        <v>45</v>
      </c>
      <c r="R105" s="160" t="b">
        <v>1</v>
      </c>
      <c r="S105" s="160" t="b">
        <v>1</v>
      </c>
      <c r="T105" s="160" t="b">
        <v>1</v>
      </c>
      <c r="U105" s="160" t="b">
        <v>1</v>
      </c>
      <c r="V105" s="160" t="b">
        <v>1</v>
      </c>
      <c r="W105" s="160" t="b">
        <v>1</v>
      </c>
      <c r="X105" s="160" t="b">
        <v>1</v>
      </c>
      <c r="Y105" s="160" t="b">
        <v>0</v>
      </c>
      <c r="Z105" s="160" t="b">
        <v>0</v>
      </c>
      <c r="AA105" s="160"/>
      <c r="AB105" s="160" t="s">
        <v>1894</v>
      </c>
      <c r="AC105" s="160"/>
      <c r="AD105" s="160"/>
      <c r="AE105" s="160"/>
      <c r="AF105" s="160"/>
      <c r="AG105" s="117" t="s">
        <v>2844</v>
      </c>
      <c r="AH105" s="160">
        <v>3674040302020000</v>
      </c>
      <c r="AI105" s="160" t="s">
        <v>68</v>
      </c>
      <c r="AJ105" s="160" t="s">
        <v>32</v>
      </c>
      <c r="AK105" s="160"/>
      <c r="AL105" s="160">
        <v>6289602777880</v>
      </c>
      <c r="AM105" s="160"/>
      <c r="AN105" s="160"/>
      <c r="AO105" s="160" t="s">
        <v>1897</v>
      </c>
      <c r="AP105" s="160"/>
      <c r="AQ105" s="160" t="s">
        <v>677</v>
      </c>
      <c r="AR105" s="160" t="s">
        <v>1902</v>
      </c>
      <c r="AS105" s="160" t="s">
        <v>678</v>
      </c>
      <c r="AT105" s="160" t="s">
        <v>1921</v>
      </c>
      <c r="AU105" s="160" t="b">
        <v>1</v>
      </c>
      <c r="AV105" s="160" t="b">
        <v>1</v>
      </c>
      <c r="AW105" s="160" t="s">
        <v>1893</v>
      </c>
      <c r="AX105" s="160" t="s">
        <v>1892</v>
      </c>
      <c r="AY105" s="160" t="s">
        <v>2002</v>
      </c>
      <c r="AZ105" s="160" t="s">
        <v>2003</v>
      </c>
      <c r="BA105" s="160" t="b">
        <v>1</v>
      </c>
      <c r="BB105" s="160" t="b">
        <v>1</v>
      </c>
      <c r="BC105" s="160"/>
      <c r="BD105" s="160"/>
      <c r="BE105" s="160">
        <v>0</v>
      </c>
    </row>
    <row r="106" spans="1:57" ht="16">
      <c r="A106" s="160"/>
      <c r="B106" s="160"/>
      <c r="C106" s="160"/>
      <c r="D106" s="160"/>
      <c r="E106" s="160"/>
      <c r="F106" s="160"/>
      <c r="G106" s="160"/>
      <c r="H106" s="162"/>
      <c r="I106" s="164"/>
      <c r="J106" s="166"/>
      <c r="K106" s="166"/>
      <c r="L106" s="162"/>
      <c r="M106" s="164"/>
      <c r="N106" s="162"/>
      <c r="O106" s="164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  <c r="AE106" s="160"/>
      <c r="AF106" s="160"/>
      <c r="AG106" s="117" t="s">
        <v>2845</v>
      </c>
      <c r="AH106" s="160"/>
      <c r="AI106" s="160"/>
      <c r="AJ106" s="160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</row>
    <row r="107" spans="1:57" ht="16">
      <c r="A107" s="117" t="s">
        <v>58</v>
      </c>
      <c r="B107" s="117" t="s">
        <v>1097</v>
      </c>
      <c r="C107" s="117" t="s">
        <v>1098</v>
      </c>
      <c r="D107" s="117" t="s">
        <v>1099</v>
      </c>
      <c r="E107" s="117" t="s">
        <v>1100</v>
      </c>
      <c r="F107" s="117" t="s">
        <v>1102</v>
      </c>
      <c r="G107" s="117" t="s">
        <v>1103</v>
      </c>
      <c r="H107" s="118" t="s">
        <v>1102</v>
      </c>
      <c r="I107" s="119" t="s">
        <v>1103</v>
      </c>
      <c r="J107" s="120" t="s">
        <v>2508</v>
      </c>
      <c r="K107" s="120" t="s">
        <v>2508</v>
      </c>
      <c r="L107" s="118"/>
      <c r="M107" s="119"/>
      <c r="N107" s="118"/>
      <c r="O107" s="119"/>
      <c r="P107" s="117" t="s">
        <v>28</v>
      </c>
      <c r="Q107" s="117" t="s">
        <v>45</v>
      </c>
      <c r="R107" s="117" t="b">
        <v>1</v>
      </c>
      <c r="S107" s="117" t="b">
        <v>1</v>
      </c>
      <c r="T107" s="117" t="b">
        <v>1</v>
      </c>
      <c r="U107" s="117" t="b">
        <v>0</v>
      </c>
      <c r="V107" s="117" t="b">
        <v>0</v>
      </c>
      <c r="W107" s="117" t="b">
        <v>1</v>
      </c>
      <c r="X107" s="117" t="b">
        <v>1</v>
      </c>
      <c r="Y107" s="117" t="b">
        <v>0</v>
      </c>
      <c r="Z107" s="117" t="b">
        <v>0</v>
      </c>
      <c r="AA107" s="117"/>
      <c r="AB107" s="117" t="s">
        <v>1104</v>
      </c>
      <c r="AC107" s="117"/>
      <c r="AD107" s="117"/>
      <c r="AE107" s="117"/>
      <c r="AF107" s="117"/>
      <c r="AG107" s="117" t="s">
        <v>1105</v>
      </c>
      <c r="AH107" s="117">
        <v>3171052507950000</v>
      </c>
      <c r="AI107" s="117" t="s">
        <v>68</v>
      </c>
      <c r="AJ107" s="117" t="s">
        <v>32</v>
      </c>
      <c r="AK107" s="117"/>
      <c r="AL107" s="117">
        <v>6285792000083</v>
      </c>
      <c r="AM107" s="117"/>
      <c r="AN107" s="117"/>
      <c r="AO107" s="117" t="s">
        <v>1107</v>
      </c>
      <c r="AP107" s="117"/>
      <c r="AQ107" s="117" t="s">
        <v>1099</v>
      </c>
      <c r="AR107" s="117" t="s">
        <v>1910</v>
      </c>
      <c r="AS107" s="117" t="s">
        <v>1100</v>
      </c>
      <c r="AT107" s="117" t="s">
        <v>1935</v>
      </c>
      <c r="AU107" s="117" t="b">
        <v>1</v>
      </c>
      <c r="AV107" s="117" t="b">
        <v>1</v>
      </c>
      <c r="AW107" s="117" t="s">
        <v>1102</v>
      </c>
      <c r="AX107" s="117" t="s">
        <v>1103</v>
      </c>
      <c r="AY107" s="117" t="s">
        <v>2280</v>
      </c>
      <c r="AZ107" s="117" t="s">
        <v>2281</v>
      </c>
      <c r="BA107" s="117" t="b">
        <v>1</v>
      </c>
      <c r="BB107" s="117" t="b">
        <v>1</v>
      </c>
      <c r="BC107" s="117"/>
      <c r="BD107" s="117"/>
      <c r="BE107" s="117">
        <v>0</v>
      </c>
    </row>
    <row r="108" spans="1:57" ht="16">
      <c r="A108" s="117" t="s">
        <v>58</v>
      </c>
      <c r="B108" s="117" t="s">
        <v>1097</v>
      </c>
      <c r="C108" s="117" t="s">
        <v>1098</v>
      </c>
      <c r="D108" s="117" t="s">
        <v>1099</v>
      </c>
      <c r="E108" s="117" t="s">
        <v>1100</v>
      </c>
      <c r="F108" s="117" t="s">
        <v>1108</v>
      </c>
      <c r="G108" s="117" t="s">
        <v>1109</v>
      </c>
      <c r="H108" s="118" t="s">
        <v>1108</v>
      </c>
      <c r="I108" s="119" t="s">
        <v>1109</v>
      </c>
      <c r="J108" s="120" t="s">
        <v>2508</v>
      </c>
      <c r="K108" s="120" t="s">
        <v>2508</v>
      </c>
      <c r="L108" s="118"/>
      <c r="M108" s="119"/>
      <c r="N108" s="118"/>
      <c r="O108" s="119"/>
      <c r="P108" s="117" t="s">
        <v>28</v>
      </c>
      <c r="Q108" s="117" t="s">
        <v>45</v>
      </c>
      <c r="R108" s="117" t="b">
        <v>1</v>
      </c>
      <c r="S108" s="117" t="b">
        <v>1</v>
      </c>
      <c r="T108" s="117" t="b">
        <v>1</v>
      </c>
      <c r="U108" s="117" t="b">
        <v>0</v>
      </c>
      <c r="V108" s="117" t="b">
        <v>0</v>
      </c>
      <c r="W108" s="117" t="b">
        <v>1</v>
      </c>
      <c r="X108" s="117" t="b">
        <v>1</v>
      </c>
      <c r="Y108" s="117" t="b">
        <v>0</v>
      </c>
      <c r="Z108" s="117" t="b">
        <v>0</v>
      </c>
      <c r="AA108" s="117"/>
      <c r="AB108" s="117" t="s">
        <v>1110</v>
      </c>
      <c r="AC108" s="117"/>
      <c r="AD108" s="117"/>
      <c r="AE108" s="117"/>
      <c r="AF108" s="117"/>
      <c r="AG108" s="117" t="s">
        <v>1111</v>
      </c>
      <c r="AH108" s="117">
        <v>3201072003980000</v>
      </c>
      <c r="AI108" s="117" t="s">
        <v>68</v>
      </c>
      <c r="AJ108" s="117" t="s">
        <v>32</v>
      </c>
      <c r="AK108" s="117"/>
      <c r="AL108" s="117">
        <v>6285710911929</v>
      </c>
      <c r="AM108" s="117"/>
      <c r="AN108" s="117"/>
      <c r="AO108" s="117" t="s">
        <v>1113</v>
      </c>
      <c r="AP108" s="117"/>
      <c r="AQ108" s="117" t="s">
        <v>1099</v>
      </c>
      <c r="AR108" s="117" t="s">
        <v>1910</v>
      </c>
      <c r="AS108" s="117" t="s">
        <v>1100</v>
      </c>
      <c r="AT108" s="117" t="s">
        <v>1935</v>
      </c>
      <c r="AU108" s="117" t="b">
        <v>1</v>
      </c>
      <c r="AV108" s="117" t="b">
        <v>1</v>
      </c>
      <c r="AW108" s="117" t="s">
        <v>1108</v>
      </c>
      <c r="AX108" s="117" t="s">
        <v>1109</v>
      </c>
      <c r="AY108" s="117" t="s">
        <v>2282</v>
      </c>
      <c r="AZ108" s="117" t="s">
        <v>2283</v>
      </c>
      <c r="BA108" s="117" t="b">
        <v>1</v>
      </c>
      <c r="BB108" s="117" t="b">
        <v>1</v>
      </c>
      <c r="BC108" s="117"/>
      <c r="BD108" s="117"/>
      <c r="BE108" s="117">
        <v>0</v>
      </c>
    </row>
    <row r="109" spans="1:57" ht="16">
      <c r="A109" s="117" t="s">
        <v>58</v>
      </c>
      <c r="B109" s="117" t="s">
        <v>1097</v>
      </c>
      <c r="C109" s="117" t="s">
        <v>1098</v>
      </c>
      <c r="D109" s="117" t="s">
        <v>1099</v>
      </c>
      <c r="E109" s="117" t="s">
        <v>1100</v>
      </c>
      <c r="F109" s="117" t="s">
        <v>1114</v>
      </c>
      <c r="G109" s="117" t="s">
        <v>1115</v>
      </c>
      <c r="H109" s="118" t="s">
        <v>1114</v>
      </c>
      <c r="I109" s="119" t="s">
        <v>1115</v>
      </c>
      <c r="J109" s="120" t="s">
        <v>2508</v>
      </c>
      <c r="K109" s="120" t="s">
        <v>2508</v>
      </c>
      <c r="L109" s="118"/>
      <c r="M109" s="119"/>
      <c r="N109" s="118"/>
      <c r="O109" s="119"/>
      <c r="P109" s="117" t="s">
        <v>28</v>
      </c>
      <c r="Q109" s="117" t="s">
        <v>45</v>
      </c>
      <c r="R109" s="117" t="b">
        <v>1</v>
      </c>
      <c r="S109" s="117" t="b">
        <v>1</v>
      </c>
      <c r="T109" s="117" t="b">
        <v>1</v>
      </c>
      <c r="U109" s="117" t="b">
        <v>0</v>
      </c>
      <c r="V109" s="117" t="b">
        <v>0</v>
      </c>
      <c r="W109" s="117" t="b">
        <v>1</v>
      </c>
      <c r="X109" s="117" t="b">
        <v>1</v>
      </c>
      <c r="Y109" s="117" t="b">
        <v>0</v>
      </c>
      <c r="Z109" s="117" t="b">
        <v>0</v>
      </c>
      <c r="AA109" s="117"/>
      <c r="AB109" s="117" t="s">
        <v>1116</v>
      </c>
      <c r="AC109" s="117"/>
      <c r="AD109" s="117"/>
      <c r="AE109" s="117"/>
      <c r="AF109" s="117"/>
      <c r="AG109" s="117" t="s">
        <v>1117</v>
      </c>
      <c r="AH109" s="117">
        <v>3208230807970000</v>
      </c>
      <c r="AI109" s="117" t="s">
        <v>68</v>
      </c>
      <c r="AJ109" s="117" t="s">
        <v>32</v>
      </c>
      <c r="AK109" s="117"/>
      <c r="AL109" s="117">
        <v>6285775999311</v>
      </c>
      <c r="AM109" s="117"/>
      <c r="AN109" s="117"/>
      <c r="AO109" s="117" t="s">
        <v>1119</v>
      </c>
      <c r="AP109" s="117"/>
      <c r="AQ109" s="117" t="s">
        <v>1099</v>
      </c>
      <c r="AR109" s="117" t="s">
        <v>1910</v>
      </c>
      <c r="AS109" s="117" t="s">
        <v>1100</v>
      </c>
      <c r="AT109" s="117" t="s">
        <v>1935</v>
      </c>
      <c r="AU109" s="117" t="b">
        <v>1</v>
      </c>
      <c r="AV109" s="117" t="b">
        <v>1</v>
      </c>
      <c r="AW109" s="117" t="s">
        <v>1114</v>
      </c>
      <c r="AX109" s="117" t="s">
        <v>1115</v>
      </c>
      <c r="AY109" s="117" t="s">
        <v>2284</v>
      </c>
      <c r="AZ109" s="117" t="s">
        <v>2285</v>
      </c>
      <c r="BA109" s="117" t="b">
        <v>1</v>
      </c>
      <c r="BB109" s="117" t="b">
        <v>1</v>
      </c>
      <c r="BC109" s="117"/>
      <c r="BD109" s="117"/>
      <c r="BE109" s="117">
        <v>0</v>
      </c>
    </row>
    <row r="110" spans="1:57" ht="16">
      <c r="A110" s="117" t="s">
        <v>58</v>
      </c>
      <c r="B110" s="117" t="s">
        <v>1097</v>
      </c>
      <c r="C110" s="117" t="s">
        <v>1098</v>
      </c>
      <c r="D110" s="117" t="s">
        <v>1099</v>
      </c>
      <c r="E110" s="117" t="s">
        <v>1100</v>
      </c>
      <c r="F110" s="117" t="s">
        <v>1120</v>
      </c>
      <c r="G110" s="117" t="s">
        <v>1121</v>
      </c>
      <c r="H110" s="118" t="s">
        <v>1120</v>
      </c>
      <c r="I110" s="119" t="s">
        <v>1121</v>
      </c>
      <c r="J110" s="120" t="s">
        <v>2508</v>
      </c>
      <c r="K110" s="120" t="s">
        <v>2508</v>
      </c>
      <c r="L110" s="118"/>
      <c r="M110" s="119"/>
      <c r="N110" s="118"/>
      <c r="O110" s="119"/>
      <c r="P110" s="117" t="s">
        <v>28</v>
      </c>
      <c r="Q110" s="117" t="s">
        <v>45</v>
      </c>
      <c r="R110" s="117" t="b">
        <v>1</v>
      </c>
      <c r="S110" s="117" t="b">
        <v>1</v>
      </c>
      <c r="T110" s="117" t="b">
        <v>1</v>
      </c>
      <c r="U110" s="117" t="b">
        <v>0</v>
      </c>
      <c r="V110" s="117" t="b">
        <v>0</v>
      </c>
      <c r="W110" s="117" t="b">
        <v>1</v>
      </c>
      <c r="X110" s="117" t="b">
        <v>1</v>
      </c>
      <c r="Y110" s="117" t="b">
        <v>0</v>
      </c>
      <c r="Z110" s="117" t="b">
        <v>0</v>
      </c>
      <c r="AA110" s="117"/>
      <c r="AB110" s="117" t="s">
        <v>1122</v>
      </c>
      <c r="AC110" s="117"/>
      <c r="AD110" s="117"/>
      <c r="AE110" s="117"/>
      <c r="AF110" s="117"/>
      <c r="AG110" s="117" t="s">
        <v>1123</v>
      </c>
      <c r="AH110" s="117">
        <v>3172051706980000</v>
      </c>
      <c r="AI110" s="117" t="s">
        <v>68</v>
      </c>
      <c r="AJ110" s="117" t="s">
        <v>32</v>
      </c>
      <c r="AK110" s="117"/>
      <c r="AL110" s="117">
        <v>6285697352707</v>
      </c>
      <c r="AM110" s="117"/>
      <c r="AN110" s="117"/>
      <c r="AO110" s="117" t="s">
        <v>1125</v>
      </c>
      <c r="AP110" s="117"/>
      <c r="AQ110" s="117" t="s">
        <v>1099</v>
      </c>
      <c r="AR110" s="117" t="s">
        <v>1910</v>
      </c>
      <c r="AS110" s="117" t="s">
        <v>1100</v>
      </c>
      <c r="AT110" s="117" t="s">
        <v>1935</v>
      </c>
      <c r="AU110" s="117" t="b">
        <v>1</v>
      </c>
      <c r="AV110" s="117" t="b">
        <v>1</v>
      </c>
      <c r="AW110" s="117" t="s">
        <v>1120</v>
      </c>
      <c r="AX110" s="117" t="s">
        <v>1121</v>
      </c>
      <c r="AY110" s="117" t="s">
        <v>2286</v>
      </c>
      <c r="AZ110" s="117" t="s">
        <v>2287</v>
      </c>
      <c r="BA110" s="117" t="b">
        <v>1</v>
      </c>
      <c r="BB110" s="117" t="b">
        <v>1</v>
      </c>
      <c r="BC110" s="117"/>
      <c r="BD110" s="117"/>
      <c r="BE110" s="117">
        <v>0</v>
      </c>
    </row>
    <row r="111" spans="1:57" ht="16">
      <c r="A111" s="117" t="s">
        <v>58</v>
      </c>
      <c r="B111" s="117" t="s">
        <v>1097</v>
      </c>
      <c r="C111" s="117" t="s">
        <v>1098</v>
      </c>
      <c r="D111" s="117" t="s">
        <v>1099</v>
      </c>
      <c r="E111" s="117" t="s">
        <v>1100</v>
      </c>
      <c r="F111" s="117" t="s">
        <v>1126</v>
      </c>
      <c r="G111" s="117" t="s">
        <v>1127</v>
      </c>
      <c r="H111" s="118" t="s">
        <v>1126</v>
      </c>
      <c r="I111" s="119" t="s">
        <v>1127</v>
      </c>
      <c r="J111" s="120" t="s">
        <v>2508</v>
      </c>
      <c r="K111" s="120" t="s">
        <v>2508</v>
      </c>
      <c r="L111" s="118"/>
      <c r="M111" s="119"/>
      <c r="N111" s="118"/>
      <c r="O111" s="119"/>
      <c r="P111" s="117" t="s">
        <v>28</v>
      </c>
      <c r="Q111" s="117" t="s">
        <v>45</v>
      </c>
      <c r="R111" s="117" t="b">
        <v>1</v>
      </c>
      <c r="S111" s="117" t="b">
        <v>1</v>
      </c>
      <c r="T111" s="117" t="b">
        <v>0</v>
      </c>
      <c r="U111" s="117" t="b">
        <v>0</v>
      </c>
      <c r="V111" s="117" t="b">
        <v>0</v>
      </c>
      <c r="W111" s="117" t="b">
        <v>1</v>
      </c>
      <c r="X111" s="117" t="b">
        <v>0</v>
      </c>
      <c r="Y111" s="117" t="b">
        <v>0</v>
      </c>
      <c r="Z111" s="117" t="b">
        <v>0</v>
      </c>
      <c r="AA111" s="117"/>
      <c r="AB111" s="117" t="s">
        <v>1128</v>
      </c>
      <c r="AC111" s="117"/>
      <c r="AD111" s="117"/>
      <c r="AE111" s="117"/>
      <c r="AF111" s="117"/>
      <c r="AG111" s="117" t="s">
        <v>1129</v>
      </c>
      <c r="AH111" s="117">
        <v>3172031905880000</v>
      </c>
      <c r="AI111" s="117" t="s">
        <v>68</v>
      </c>
      <c r="AJ111" s="117" t="s">
        <v>32</v>
      </c>
      <c r="AK111" s="117"/>
      <c r="AL111" s="117">
        <v>6285697351957</v>
      </c>
      <c r="AM111" s="117"/>
      <c r="AN111" s="117"/>
      <c r="AO111" s="117" t="s">
        <v>1131</v>
      </c>
      <c r="AP111" s="117"/>
      <c r="AQ111" s="117" t="s">
        <v>1099</v>
      </c>
      <c r="AR111" s="117" t="s">
        <v>1910</v>
      </c>
      <c r="AS111" s="117" t="s">
        <v>1100</v>
      </c>
      <c r="AT111" s="117" t="s">
        <v>1935</v>
      </c>
      <c r="AU111" s="117" t="b">
        <v>1</v>
      </c>
      <c r="AV111" s="117" t="b">
        <v>1</v>
      </c>
      <c r="AW111" s="117" t="s">
        <v>1126</v>
      </c>
      <c r="AX111" s="117" t="s">
        <v>1127</v>
      </c>
      <c r="AY111" s="117" t="s">
        <v>2288</v>
      </c>
      <c r="AZ111" s="117" t="s">
        <v>2289</v>
      </c>
      <c r="BA111" s="117" t="b">
        <v>1</v>
      </c>
      <c r="BB111" s="117" t="b">
        <v>1</v>
      </c>
      <c r="BC111" s="117"/>
      <c r="BD111" s="117"/>
      <c r="BE111" s="117">
        <v>0</v>
      </c>
    </row>
    <row r="112" spans="1:57" ht="16">
      <c r="A112" s="117" t="s">
        <v>58</v>
      </c>
      <c r="B112" s="117" t="s">
        <v>1097</v>
      </c>
      <c r="C112" s="117" t="s">
        <v>1098</v>
      </c>
      <c r="D112" s="117" t="s">
        <v>1099</v>
      </c>
      <c r="E112" s="117" t="s">
        <v>1100</v>
      </c>
      <c r="F112" s="117" t="s">
        <v>1816</v>
      </c>
      <c r="G112" s="117" t="s">
        <v>1815</v>
      </c>
      <c r="H112" s="118" t="s">
        <v>1816</v>
      </c>
      <c r="I112" s="119" t="s">
        <v>1815</v>
      </c>
      <c r="J112" s="120" t="s">
        <v>2508</v>
      </c>
      <c r="K112" s="120" t="s">
        <v>2508</v>
      </c>
      <c r="L112" s="118"/>
      <c r="M112" s="119"/>
      <c r="N112" s="118"/>
      <c r="O112" s="119"/>
      <c r="P112" s="117" t="s">
        <v>28</v>
      </c>
      <c r="Q112" s="117" t="s">
        <v>45</v>
      </c>
      <c r="R112" s="117" t="b">
        <v>1</v>
      </c>
      <c r="S112" s="117" t="b">
        <v>1</v>
      </c>
      <c r="T112" s="117" t="b">
        <v>1</v>
      </c>
      <c r="U112" s="117" t="b">
        <v>0</v>
      </c>
      <c r="V112" s="117" t="b">
        <v>0</v>
      </c>
      <c r="W112" s="117" t="b">
        <v>1</v>
      </c>
      <c r="X112" s="117" t="b">
        <v>1</v>
      </c>
      <c r="Y112" s="117" t="b">
        <v>0</v>
      </c>
      <c r="Z112" s="117" t="b">
        <v>0</v>
      </c>
      <c r="AA112" s="117"/>
      <c r="AB112" s="117" t="s">
        <v>1817</v>
      </c>
      <c r="AC112" s="117"/>
      <c r="AD112" s="117"/>
      <c r="AE112" s="117"/>
      <c r="AF112" s="117"/>
      <c r="AG112" s="117" t="s">
        <v>1818</v>
      </c>
      <c r="AH112" s="117">
        <v>3174105404990000</v>
      </c>
      <c r="AI112" s="117" t="s">
        <v>119</v>
      </c>
      <c r="AJ112" s="117" t="s">
        <v>32</v>
      </c>
      <c r="AK112" s="117"/>
      <c r="AL112" s="117">
        <v>6289602778003</v>
      </c>
      <c r="AM112" s="117"/>
      <c r="AN112" s="117"/>
      <c r="AO112" s="117" t="s">
        <v>1820</v>
      </c>
      <c r="AP112" s="117"/>
      <c r="AQ112" s="117" t="s">
        <v>1099</v>
      </c>
      <c r="AR112" s="117" t="s">
        <v>1910</v>
      </c>
      <c r="AS112" s="117" t="s">
        <v>1100</v>
      </c>
      <c r="AT112" s="117" t="s">
        <v>1935</v>
      </c>
      <c r="AU112" s="117" t="b">
        <v>1</v>
      </c>
      <c r="AV112" s="117" t="b">
        <v>1</v>
      </c>
      <c r="AW112" s="117" t="s">
        <v>1816</v>
      </c>
      <c r="AX112" s="117" t="s">
        <v>1815</v>
      </c>
      <c r="AY112" s="117" t="s">
        <v>2478</v>
      </c>
      <c r="AZ112" s="117" t="s">
        <v>2479</v>
      </c>
      <c r="BA112" s="117" t="b">
        <v>1</v>
      </c>
      <c r="BB112" s="117" t="b">
        <v>1</v>
      </c>
      <c r="BC112" s="117"/>
      <c r="BD112" s="117"/>
      <c r="BE112" s="117">
        <v>0</v>
      </c>
    </row>
    <row r="113" spans="1:57" ht="16">
      <c r="A113" s="117" t="s">
        <v>58</v>
      </c>
      <c r="B113" s="117" t="s">
        <v>1097</v>
      </c>
      <c r="C113" s="117" t="s">
        <v>1098</v>
      </c>
      <c r="D113" s="117" t="s">
        <v>1099</v>
      </c>
      <c r="E113" s="117" t="s">
        <v>1100</v>
      </c>
      <c r="F113" s="117" t="s">
        <v>1822</v>
      </c>
      <c r="G113" s="117" t="s">
        <v>1821</v>
      </c>
      <c r="H113" s="118" t="s">
        <v>1822</v>
      </c>
      <c r="I113" s="119" t="s">
        <v>1821</v>
      </c>
      <c r="J113" s="120" t="s">
        <v>2508</v>
      </c>
      <c r="K113" s="120" t="s">
        <v>2508</v>
      </c>
      <c r="L113" s="118"/>
      <c r="M113" s="119"/>
      <c r="N113" s="118"/>
      <c r="O113" s="119"/>
      <c r="P113" s="117" t="s">
        <v>28</v>
      </c>
      <c r="Q113" s="117" t="s">
        <v>45</v>
      </c>
      <c r="R113" s="117" t="b">
        <v>1</v>
      </c>
      <c r="S113" s="117" t="b">
        <v>1</v>
      </c>
      <c r="T113" s="117" t="b">
        <v>1</v>
      </c>
      <c r="U113" s="117" t="b">
        <v>0</v>
      </c>
      <c r="V113" s="117" t="b">
        <v>0</v>
      </c>
      <c r="W113" s="117" t="b">
        <v>1</v>
      </c>
      <c r="X113" s="117" t="b">
        <v>1</v>
      </c>
      <c r="Y113" s="117" t="b">
        <v>0</v>
      </c>
      <c r="Z113" s="117" t="b">
        <v>0</v>
      </c>
      <c r="AA113" s="117"/>
      <c r="AB113" s="117" t="s">
        <v>1823</v>
      </c>
      <c r="AC113" s="117"/>
      <c r="AD113" s="117"/>
      <c r="AE113" s="117"/>
      <c r="AF113" s="117"/>
      <c r="AG113" s="117" t="s">
        <v>1824</v>
      </c>
      <c r="AH113" s="117">
        <v>3175060611900000</v>
      </c>
      <c r="AI113" s="117" t="s">
        <v>68</v>
      </c>
      <c r="AJ113" s="117" t="s">
        <v>32</v>
      </c>
      <c r="AK113" s="117"/>
      <c r="AL113" s="117">
        <v>6289602778005</v>
      </c>
      <c r="AM113" s="117"/>
      <c r="AN113" s="117"/>
      <c r="AO113" s="117" t="s">
        <v>1826</v>
      </c>
      <c r="AP113" s="117"/>
      <c r="AQ113" s="117" t="s">
        <v>1099</v>
      </c>
      <c r="AR113" s="117" t="s">
        <v>1910</v>
      </c>
      <c r="AS113" s="117" t="s">
        <v>1100</v>
      </c>
      <c r="AT113" s="117" t="s">
        <v>1935</v>
      </c>
      <c r="AU113" s="117" t="b">
        <v>1</v>
      </c>
      <c r="AV113" s="117" t="b">
        <v>1</v>
      </c>
      <c r="AW113" s="117" t="s">
        <v>1822</v>
      </c>
      <c r="AX113" s="117" t="s">
        <v>1821</v>
      </c>
      <c r="AY113" s="117" t="s">
        <v>2480</v>
      </c>
      <c r="AZ113" s="117" t="s">
        <v>2481</v>
      </c>
      <c r="BA113" s="117" t="b">
        <v>1</v>
      </c>
      <c r="BB113" s="117" t="b">
        <v>1</v>
      </c>
      <c r="BC113" s="117"/>
      <c r="BD113" s="117"/>
      <c r="BE113" s="117">
        <v>0</v>
      </c>
    </row>
    <row r="114" spans="1:57" ht="16">
      <c r="A114" s="117" t="s">
        <v>58</v>
      </c>
      <c r="B114" s="117" t="s">
        <v>1097</v>
      </c>
      <c r="C114" s="117" t="s">
        <v>1098</v>
      </c>
      <c r="D114" s="117" t="s">
        <v>1099</v>
      </c>
      <c r="E114" s="117" t="s">
        <v>1100</v>
      </c>
      <c r="F114" s="117" t="s">
        <v>1834</v>
      </c>
      <c r="G114" s="117" t="s">
        <v>1833</v>
      </c>
      <c r="H114" s="118" t="s">
        <v>1834</v>
      </c>
      <c r="I114" s="119" t="s">
        <v>1833</v>
      </c>
      <c r="J114" s="120" t="s">
        <v>2508</v>
      </c>
      <c r="K114" s="120" t="s">
        <v>2508</v>
      </c>
      <c r="L114" s="118"/>
      <c r="M114" s="119"/>
      <c r="N114" s="118"/>
      <c r="O114" s="119"/>
      <c r="P114" s="117" t="s">
        <v>28</v>
      </c>
      <c r="Q114" s="117" t="s">
        <v>45</v>
      </c>
      <c r="R114" s="117" t="b">
        <v>1</v>
      </c>
      <c r="S114" s="117" t="b">
        <v>1</v>
      </c>
      <c r="T114" s="117" t="b">
        <v>1</v>
      </c>
      <c r="U114" s="117" t="b">
        <v>0</v>
      </c>
      <c r="V114" s="117" t="b">
        <v>0</v>
      </c>
      <c r="W114" s="117" t="b">
        <v>1</v>
      </c>
      <c r="X114" s="117" t="b">
        <v>1</v>
      </c>
      <c r="Y114" s="117" t="b">
        <v>0</v>
      </c>
      <c r="Z114" s="117" t="b">
        <v>0</v>
      </c>
      <c r="AA114" s="117"/>
      <c r="AB114" s="117" t="s">
        <v>1835</v>
      </c>
      <c r="AC114" s="117"/>
      <c r="AD114" s="117"/>
      <c r="AE114" s="117"/>
      <c r="AF114" s="117"/>
      <c r="AG114" s="117" t="s">
        <v>1836</v>
      </c>
      <c r="AH114" s="117">
        <v>3175020309810000</v>
      </c>
      <c r="AI114" s="117" t="s">
        <v>68</v>
      </c>
      <c r="AJ114" s="117" t="s">
        <v>32</v>
      </c>
      <c r="AK114" s="117"/>
      <c r="AL114" s="117">
        <v>6289602778007</v>
      </c>
      <c r="AM114" s="117"/>
      <c r="AN114" s="117"/>
      <c r="AO114" s="117" t="s">
        <v>1838</v>
      </c>
      <c r="AP114" s="117"/>
      <c r="AQ114" s="117" t="s">
        <v>1099</v>
      </c>
      <c r="AR114" s="117" t="s">
        <v>1910</v>
      </c>
      <c r="AS114" s="117" t="s">
        <v>1100</v>
      </c>
      <c r="AT114" s="117" t="s">
        <v>1935</v>
      </c>
      <c r="AU114" s="117" t="b">
        <v>1</v>
      </c>
      <c r="AV114" s="117" t="b">
        <v>1</v>
      </c>
      <c r="AW114" s="117" t="s">
        <v>1834</v>
      </c>
      <c r="AX114" s="117" t="s">
        <v>1833</v>
      </c>
      <c r="AY114" s="117" t="s">
        <v>2484</v>
      </c>
      <c r="AZ114" s="117" t="s">
        <v>2485</v>
      </c>
      <c r="BA114" s="117" t="b">
        <v>1</v>
      </c>
      <c r="BB114" s="117" t="b">
        <v>1</v>
      </c>
      <c r="BC114" s="117"/>
      <c r="BD114" s="117"/>
      <c r="BE114" s="117">
        <v>0</v>
      </c>
    </row>
    <row r="115" spans="1:57" ht="16">
      <c r="A115" s="117" t="s">
        <v>58</v>
      </c>
      <c r="B115" s="117" t="s">
        <v>1097</v>
      </c>
      <c r="C115" s="117" t="s">
        <v>1098</v>
      </c>
      <c r="D115" s="117" t="s">
        <v>1099</v>
      </c>
      <c r="E115" s="117" t="s">
        <v>1100</v>
      </c>
      <c r="F115" s="117" t="s">
        <v>1857</v>
      </c>
      <c r="G115" s="117" t="s">
        <v>1856</v>
      </c>
      <c r="H115" s="118" t="s">
        <v>1857</v>
      </c>
      <c r="I115" s="119" t="s">
        <v>1856</v>
      </c>
      <c r="J115" s="120" t="s">
        <v>2508</v>
      </c>
      <c r="K115" s="120" t="s">
        <v>2508</v>
      </c>
      <c r="L115" s="118"/>
      <c r="M115" s="119"/>
      <c r="N115" s="118"/>
      <c r="O115" s="119"/>
      <c r="P115" s="117" t="s">
        <v>28</v>
      </c>
      <c r="Q115" s="117" t="s">
        <v>45</v>
      </c>
      <c r="R115" s="117" t="b">
        <v>1</v>
      </c>
      <c r="S115" s="117" t="b">
        <v>1</v>
      </c>
      <c r="T115" s="117" t="b">
        <v>1</v>
      </c>
      <c r="U115" s="117" t="b">
        <v>0</v>
      </c>
      <c r="V115" s="117" t="b">
        <v>0</v>
      </c>
      <c r="W115" s="117" t="b">
        <v>1</v>
      </c>
      <c r="X115" s="117" t="b">
        <v>1</v>
      </c>
      <c r="Y115" s="117" t="b">
        <v>0</v>
      </c>
      <c r="Z115" s="117" t="b">
        <v>0</v>
      </c>
      <c r="AA115" s="117"/>
      <c r="AB115" s="117" t="s">
        <v>1858</v>
      </c>
      <c r="AC115" s="117"/>
      <c r="AD115" s="117"/>
      <c r="AE115" s="117"/>
      <c r="AF115" s="117"/>
      <c r="AG115" s="117" t="s">
        <v>1859</v>
      </c>
      <c r="AH115" s="117">
        <v>3174032610840000</v>
      </c>
      <c r="AI115" s="117" t="s">
        <v>68</v>
      </c>
      <c r="AJ115" s="117" t="s">
        <v>32</v>
      </c>
      <c r="AK115" s="117"/>
      <c r="AL115" s="117">
        <v>6289602778015</v>
      </c>
      <c r="AM115" s="117"/>
      <c r="AN115" s="117"/>
      <c r="AO115" s="117" t="s">
        <v>1861</v>
      </c>
      <c r="AP115" s="117"/>
      <c r="AQ115" s="117" t="s">
        <v>1099</v>
      </c>
      <c r="AR115" s="117" t="s">
        <v>1910</v>
      </c>
      <c r="AS115" s="117" t="s">
        <v>1100</v>
      </c>
      <c r="AT115" s="117" t="s">
        <v>1935</v>
      </c>
      <c r="AU115" s="117" t="b">
        <v>1</v>
      </c>
      <c r="AV115" s="117" t="b">
        <v>1</v>
      </c>
      <c r="AW115" s="117" t="s">
        <v>1857</v>
      </c>
      <c r="AX115" s="117" t="s">
        <v>1856</v>
      </c>
      <c r="AY115" s="117" t="s">
        <v>2492</v>
      </c>
      <c r="AZ115" s="117" t="s">
        <v>2493</v>
      </c>
      <c r="BA115" s="117" t="b">
        <v>1</v>
      </c>
      <c r="BB115" s="117" t="b">
        <v>1</v>
      </c>
      <c r="BC115" s="117"/>
      <c r="BD115" s="117"/>
      <c r="BE115" s="117">
        <v>0</v>
      </c>
    </row>
    <row r="116" spans="1:57" ht="16">
      <c r="A116" s="117" t="s">
        <v>58</v>
      </c>
      <c r="B116" s="117" t="s">
        <v>1097</v>
      </c>
      <c r="C116" s="117" t="s">
        <v>1098</v>
      </c>
      <c r="D116" s="117" t="s">
        <v>1099</v>
      </c>
      <c r="E116" s="117" t="s">
        <v>1100</v>
      </c>
      <c r="F116" s="117" t="s">
        <v>1863</v>
      </c>
      <c r="G116" s="117" t="s">
        <v>1862</v>
      </c>
      <c r="H116" s="118" t="s">
        <v>1863</v>
      </c>
      <c r="I116" s="119" t="s">
        <v>1862</v>
      </c>
      <c r="J116" s="120" t="s">
        <v>2508</v>
      </c>
      <c r="K116" s="120" t="s">
        <v>2508</v>
      </c>
      <c r="L116" s="118"/>
      <c r="M116" s="119"/>
      <c r="N116" s="118"/>
      <c r="O116" s="119"/>
      <c r="P116" s="117" t="s">
        <v>28</v>
      </c>
      <c r="Q116" s="117" t="s">
        <v>45</v>
      </c>
      <c r="R116" s="117" t="b">
        <v>1</v>
      </c>
      <c r="S116" s="117" t="b">
        <v>1</v>
      </c>
      <c r="T116" s="117" t="b">
        <v>1</v>
      </c>
      <c r="U116" s="117" t="b">
        <v>0</v>
      </c>
      <c r="V116" s="117" t="b">
        <v>0</v>
      </c>
      <c r="W116" s="117" t="b">
        <v>1</v>
      </c>
      <c r="X116" s="117" t="b">
        <v>1</v>
      </c>
      <c r="Y116" s="117" t="b">
        <v>0</v>
      </c>
      <c r="Z116" s="117" t="b">
        <v>0</v>
      </c>
      <c r="AA116" s="117"/>
      <c r="AB116" s="117" t="s">
        <v>1864</v>
      </c>
      <c r="AC116" s="117"/>
      <c r="AD116" s="117"/>
      <c r="AE116" s="117"/>
      <c r="AF116" s="117"/>
      <c r="AG116" s="117" t="s">
        <v>1865</v>
      </c>
      <c r="AH116" s="117">
        <v>3175062401810010</v>
      </c>
      <c r="AI116" s="117" t="s">
        <v>68</v>
      </c>
      <c r="AJ116" s="117" t="s">
        <v>32</v>
      </c>
      <c r="AK116" s="117"/>
      <c r="AL116" s="117">
        <v>62089687777050</v>
      </c>
      <c r="AM116" s="117"/>
      <c r="AN116" s="117"/>
      <c r="AO116" s="117" t="s">
        <v>1867</v>
      </c>
      <c r="AP116" s="117"/>
      <c r="AQ116" s="117" t="s">
        <v>1099</v>
      </c>
      <c r="AR116" s="117" t="s">
        <v>1910</v>
      </c>
      <c r="AS116" s="117" t="s">
        <v>1100</v>
      </c>
      <c r="AT116" s="117" t="s">
        <v>1935</v>
      </c>
      <c r="AU116" s="117" t="b">
        <v>1</v>
      </c>
      <c r="AV116" s="117" t="b">
        <v>1</v>
      </c>
      <c r="AW116" s="117" t="s">
        <v>1863</v>
      </c>
      <c r="AX116" s="117" t="s">
        <v>1862</v>
      </c>
      <c r="AY116" s="117" t="s">
        <v>2494</v>
      </c>
      <c r="AZ116" s="117" t="s">
        <v>2495</v>
      </c>
      <c r="BA116" s="117" t="b">
        <v>1</v>
      </c>
      <c r="BB116" s="117" t="b">
        <v>1</v>
      </c>
      <c r="BC116" s="117"/>
      <c r="BD116" s="117"/>
      <c r="BE116" s="117">
        <v>0</v>
      </c>
    </row>
    <row r="117" spans="1:57" ht="16">
      <c r="A117" s="117" t="s">
        <v>58</v>
      </c>
      <c r="B117" s="117" t="s">
        <v>1097</v>
      </c>
      <c r="C117" s="117" t="s">
        <v>1098</v>
      </c>
      <c r="D117" s="117" t="s">
        <v>1099</v>
      </c>
      <c r="E117" s="117" t="s">
        <v>1100</v>
      </c>
      <c r="F117" s="117" t="s">
        <v>1881</v>
      </c>
      <c r="G117" s="117" t="s">
        <v>1880</v>
      </c>
      <c r="H117" s="118" t="s">
        <v>1881</v>
      </c>
      <c r="I117" s="119" t="s">
        <v>1880</v>
      </c>
      <c r="J117" s="120" t="s">
        <v>2508</v>
      </c>
      <c r="K117" s="120" t="s">
        <v>2508</v>
      </c>
      <c r="L117" s="118"/>
      <c r="M117" s="119"/>
      <c r="N117" s="118"/>
      <c r="O117" s="119"/>
      <c r="P117" s="117" t="s">
        <v>28</v>
      </c>
      <c r="Q117" s="117" t="s">
        <v>45</v>
      </c>
      <c r="R117" s="117" t="b">
        <v>1</v>
      </c>
      <c r="S117" s="117" t="b">
        <v>1</v>
      </c>
      <c r="T117" s="117" t="b">
        <v>1</v>
      </c>
      <c r="U117" s="117" t="b">
        <v>0</v>
      </c>
      <c r="V117" s="117" t="b">
        <v>0</v>
      </c>
      <c r="W117" s="117" t="b">
        <v>1</v>
      </c>
      <c r="X117" s="117" t="b">
        <v>1</v>
      </c>
      <c r="Y117" s="117" t="b">
        <v>0</v>
      </c>
      <c r="Z117" s="117" t="b">
        <v>0</v>
      </c>
      <c r="AA117" s="117"/>
      <c r="AB117" s="117" t="s">
        <v>1882</v>
      </c>
      <c r="AC117" s="117"/>
      <c r="AD117" s="117"/>
      <c r="AE117" s="117"/>
      <c r="AF117" s="117"/>
      <c r="AG117" s="117" t="s">
        <v>1883</v>
      </c>
      <c r="AH117" s="117">
        <v>3275081802880000</v>
      </c>
      <c r="AI117" s="117" t="s">
        <v>68</v>
      </c>
      <c r="AJ117" s="117" t="s">
        <v>32</v>
      </c>
      <c r="AK117" s="117"/>
      <c r="AL117" s="117">
        <v>6289618181881</v>
      </c>
      <c r="AM117" s="117"/>
      <c r="AN117" s="117"/>
      <c r="AO117" s="117" t="s">
        <v>1885</v>
      </c>
      <c r="AP117" s="117"/>
      <c r="AQ117" s="117" t="s">
        <v>1099</v>
      </c>
      <c r="AR117" s="117" t="s">
        <v>1910</v>
      </c>
      <c r="AS117" s="117" t="s">
        <v>1100</v>
      </c>
      <c r="AT117" s="117" t="s">
        <v>1935</v>
      </c>
      <c r="AU117" s="117" t="b">
        <v>1</v>
      </c>
      <c r="AV117" s="117" t="b">
        <v>1</v>
      </c>
      <c r="AW117" s="117" t="s">
        <v>1881</v>
      </c>
      <c r="AX117" s="117" t="s">
        <v>1880</v>
      </c>
      <c r="AY117" s="117" t="s">
        <v>2500</v>
      </c>
      <c r="AZ117" s="117" t="s">
        <v>2501</v>
      </c>
      <c r="BA117" s="117" t="b">
        <v>1</v>
      </c>
      <c r="BB117" s="117" t="b">
        <v>1</v>
      </c>
      <c r="BC117" s="117"/>
      <c r="BD117" s="117"/>
      <c r="BE117" s="117" t="s">
        <v>2505</v>
      </c>
    </row>
    <row r="118" spans="1:57" ht="16">
      <c r="A118" s="117" t="s">
        <v>58</v>
      </c>
      <c r="B118" s="117" t="s">
        <v>1097</v>
      </c>
      <c r="C118" s="117" t="s">
        <v>1098</v>
      </c>
      <c r="D118" s="117" t="s">
        <v>1099</v>
      </c>
      <c r="E118" s="117" t="s">
        <v>1100</v>
      </c>
      <c r="F118" s="117" t="s">
        <v>1210</v>
      </c>
      <c r="G118" s="117" t="s">
        <v>1211</v>
      </c>
      <c r="H118" s="118" t="s">
        <v>2570</v>
      </c>
      <c r="I118" s="119" t="s">
        <v>2593</v>
      </c>
      <c r="J118" s="120" t="s">
        <v>2508</v>
      </c>
      <c r="K118" s="120" t="s">
        <v>2508</v>
      </c>
      <c r="L118" s="118"/>
      <c r="M118" s="119"/>
      <c r="N118" s="118"/>
      <c r="O118" s="119"/>
      <c r="P118" s="117" t="s">
        <v>28</v>
      </c>
      <c r="Q118" s="117" t="s">
        <v>45</v>
      </c>
      <c r="R118" s="117" t="b">
        <v>1</v>
      </c>
      <c r="S118" s="117" t="b">
        <v>1</v>
      </c>
      <c r="T118" s="117" t="b">
        <v>1</v>
      </c>
      <c r="U118" s="117" t="b">
        <v>0</v>
      </c>
      <c r="V118" s="117" t="b">
        <v>0</v>
      </c>
      <c r="W118" s="117" t="b">
        <v>1</v>
      </c>
      <c r="X118" s="117" t="b">
        <v>1</v>
      </c>
      <c r="Y118" s="117" t="b">
        <v>0</v>
      </c>
      <c r="Z118" s="117" t="b">
        <v>0</v>
      </c>
      <c r="AA118" s="117"/>
      <c r="AB118" s="117" t="s">
        <v>1212</v>
      </c>
      <c r="AC118" s="117"/>
      <c r="AD118" s="117"/>
      <c r="AE118" s="117"/>
      <c r="AF118" s="117"/>
      <c r="AG118" s="117" t="s">
        <v>1213</v>
      </c>
      <c r="AH118" s="117">
        <v>3171081610880000</v>
      </c>
      <c r="AI118" s="117" t="s">
        <v>68</v>
      </c>
      <c r="AJ118" s="117" t="s">
        <v>32</v>
      </c>
      <c r="AK118" s="117"/>
      <c r="AL118" s="117">
        <v>6285692581643</v>
      </c>
      <c r="AM118" s="117"/>
      <c r="AN118" s="117"/>
      <c r="AO118" s="117" t="s">
        <v>1215</v>
      </c>
      <c r="AP118" s="117"/>
      <c r="AQ118" s="117" t="s">
        <v>1099</v>
      </c>
      <c r="AR118" s="117" t="s">
        <v>1910</v>
      </c>
      <c r="AS118" s="117" t="s">
        <v>1100</v>
      </c>
      <c r="AT118" s="117" t="s">
        <v>1935</v>
      </c>
      <c r="AU118" s="117" t="b">
        <v>1</v>
      </c>
      <c r="AV118" s="117" t="b">
        <v>1</v>
      </c>
      <c r="AW118" s="117" t="s">
        <v>1210</v>
      </c>
      <c r="AX118" s="117" t="s">
        <v>1211</v>
      </c>
      <c r="AY118" s="117" t="s">
        <v>2316</v>
      </c>
      <c r="AZ118" s="117" t="s">
        <v>2317</v>
      </c>
      <c r="BA118" s="117" t="b">
        <v>1</v>
      </c>
      <c r="BB118" s="117" t="b">
        <v>1</v>
      </c>
      <c r="BC118" s="117"/>
      <c r="BD118" s="117"/>
      <c r="BE118" s="117">
        <v>0</v>
      </c>
    </row>
    <row r="119" spans="1:57" ht="16">
      <c r="A119" s="117" t="s">
        <v>58</v>
      </c>
      <c r="B119" s="117" t="s">
        <v>93</v>
      </c>
      <c r="C119" s="117" t="s">
        <v>94</v>
      </c>
      <c r="D119" s="117" t="s">
        <v>95</v>
      </c>
      <c r="E119" s="117" t="s">
        <v>96</v>
      </c>
      <c r="F119" s="117">
        <v>2613050742</v>
      </c>
      <c r="G119" s="117" t="s">
        <v>97</v>
      </c>
      <c r="H119" s="118">
        <v>2613050742</v>
      </c>
      <c r="I119" s="119" t="s">
        <v>97</v>
      </c>
      <c r="J119" s="120" t="s">
        <v>2508</v>
      </c>
      <c r="K119" s="120" t="s">
        <v>2508</v>
      </c>
      <c r="L119" s="118"/>
      <c r="M119" s="119"/>
      <c r="N119" s="118"/>
      <c r="O119" s="119"/>
      <c r="P119" s="117" t="s">
        <v>28</v>
      </c>
      <c r="Q119" s="117" t="s">
        <v>45</v>
      </c>
      <c r="R119" s="117" t="b">
        <v>1</v>
      </c>
      <c r="S119" s="117" t="b">
        <v>1</v>
      </c>
      <c r="T119" s="117" t="b">
        <v>1</v>
      </c>
      <c r="U119" s="117" t="b">
        <v>0</v>
      </c>
      <c r="V119" s="117" t="b">
        <v>0</v>
      </c>
      <c r="W119" s="117" t="b">
        <v>1</v>
      </c>
      <c r="X119" s="117" t="b">
        <v>1</v>
      </c>
      <c r="Y119" s="117" t="b">
        <v>0</v>
      </c>
      <c r="Z119" s="117" t="b">
        <v>0</v>
      </c>
      <c r="AA119" s="117"/>
      <c r="AB119" s="117" t="s">
        <v>98</v>
      </c>
      <c r="AC119" s="117"/>
      <c r="AD119" s="117"/>
      <c r="AE119" s="117"/>
      <c r="AF119" s="117"/>
      <c r="AG119" s="117" t="s">
        <v>99</v>
      </c>
      <c r="AH119" s="117">
        <v>3275092404860010</v>
      </c>
      <c r="AI119" s="117" t="s">
        <v>68</v>
      </c>
      <c r="AJ119" s="117" t="s">
        <v>32</v>
      </c>
      <c r="AK119" s="117"/>
      <c r="AL119" s="117">
        <v>6285781223500</v>
      </c>
      <c r="AM119" s="117"/>
      <c r="AN119" s="117"/>
      <c r="AO119" s="117" t="s">
        <v>101</v>
      </c>
      <c r="AP119" s="117"/>
      <c r="AQ119" s="117" t="s">
        <v>95</v>
      </c>
      <c r="AR119" s="117" t="s">
        <v>1902</v>
      </c>
      <c r="AS119" s="117" t="s">
        <v>96</v>
      </c>
      <c r="AT119" s="117" t="s">
        <v>1911</v>
      </c>
      <c r="AU119" s="117" t="b">
        <v>1</v>
      </c>
      <c r="AV119" s="117" t="b">
        <v>1</v>
      </c>
      <c r="AW119" s="117">
        <v>2613050742</v>
      </c>
      <c r="AX119" s="117" t="s">
        <v>97</v>
      </c>
      <c r="AY119" s="117" t="s">
        <v>2010</v>
      </c>
      <c r="AZ119" s="117" t="s">
        <v>2011</v>
      </c>
      <c r="BA119" s="117" t="b">
        <v>1</v>
      </c>
      <c r="BB119" s="117" t="b">
        <v>1</v>
      </c>
      <c r="BC119" s="117"/>
      <c r="BD119" s="117"/>
      <c r="BE119" s="117">
        <v>0</v>
      </c>
    </row>
    <row r="120" spans="1:57" ht="16">
      <c r="A120" s="117" t="s">
        <v>58</v>
      </c>
      <c r="B120" s="117" t="s">
        <v>93</v>
      </c>
      <c r="C120" s="117" t="s">
        <v>94</v>
      </c>
      <c r="D120" s="117" t="s">
        <v>95</v>
      </c>
      <c r="E120" s="117" t="s">
        <v>96</v>
      </c>
      <c r="F120" s="117" t="s">
        <v>1037</v>
      </c>
      <c r="G120" s="117" t="s">
        <v>1038</v>
      </c>
      <c r="H120" s="118" t="s">
        <v>1037</v>
      </c>
      <c r="I120" s="119" t="s">
        <v>1038</v>
      </c>
      <c r="J120" s="120" t="s">
        <v>2508</v>
      </c>
      <c r="K120" s="120" t="s">
        <v>2508</v>
      </c>
      <c r="L120" s="118"/>
      <c r="M120" s="119"/>
      <c r="N120" s="118"/>
      <c r="O120" s="119"/>
      <c r="P120" s="117" t="s">
        <v>28</v>
      </c>
      <c r="Q120" s="117" t="s">
        <v>45</v>
      </c>
      <c r="R120" s="117" t="b">
        <v>1</v>
      </c>
      <c r="S120" s="117" t="b">
        <v>1</v>
      </c>
      <c r="T120" s="117" t="b">
        <v>1</v>
      </c>
      <c r="U120" s="117" t="b">
        <v>0</v>
      </c>
      <c r="V120" s="117" t="b">
        <v>0</v>
      </c>
      <c r="W120" s="117" t="b">
        <v>1</v>
      </c>
      <c r="X120" s="117" t="b">
        <v>1</v>
      </c>
      <c r="Y120" s="117" t="b">
        <v>0</v>
      </c>
      <c r="Z120" s="117" t="b">
        <v>0</v>
      </c>
      <c r="AA120" s="117"/>
      <c r="AB120" s="117" t="s">
        <v>1039</v>
      </c>
      <c r="AC120" s="117"/>
      <c r="AD120" s="117"/>
      <c r="AE120" s="117"/>
      <c r="AF120" s="117"/>
      <c r="AG120" s="117" t="s">
        <v>1040</v>
      </c>
      <c r="AH120" s="117">
        <v>3275060204790020</v>
      </c>
      <c r="AI120" s="117" t="s">
        <v>68</v>
      </c>
      <c r="AJ120" s="117" t="s">
        <v>32</v>
      </c>
      <c r="AK120" s="117"/>
      <c r="AL120" s="117">
        <v>6285711188480</v>
      </c>
      <c r="AM120" s="117"/>
      <c r="AN120" s="117"/>
      <c r="AO120" s="117" t="s">
        <v>1042</v>
      </c>
      <c r="AP120" s="117"/>
      <c r="AQ120" s="117" t="s">
        <v>95</v>
      </c>
      <c r="AR120" s="117" t="s">
        <v>1902</v>
      </c>
      <c r="AS120" s="117" t="s">
        <v>96</v>
      </c>
      <c r="AT120" s="117" t="s">
        <v>1911</v>
      </c>
      <c r="AU120" s="117" t="b">
        <v>1</v>
      </c>
      <c r="AV120" s="117" t="b">
        <v>1</v>
      </c>
      <c r="AW120" s="117" t="s">
        <v>1037</v>
      </c>
      <c r="AX120" s="117" t="s">
        <v>1038</v>
      </c>
      <c r="AY120" s="117" t="s">
        <v>2260</v>
      </c>
      <c r="AZ120" s="117" t="s">
        <v>2261</v>
      </c>
      <c r="BA120" s="117" t="b">
        <v>1</v>
      </c>
      <c r="BB120" s="117" t="b">
        <v>1</v>
      </c>
      <c r="BC120" s="117"/>
      <c r="BD120" s="117"/>
      <c r="BE120" s="117">
        <v>0</v>
      </c>
    </row>
    <row r="121" spans="1:57" ht="16">
      <c r="A121" s="117" t="s">
        <v>58</v>
      </c>
      <c r="B121" s="117" t="s">
        <v>93</v>
      </c>
      <c r="C121" s="117" t="s">
        <v>94</v>
      </c>
      <c r="D121" s="117" t="s">
        <v>95</v>
      </c>
      <c r="E121" s="117" t="s">
        <v>96</v>
      </c>
      <c r="F121" s="117" t="s">
        <v>1043</v>
      </c>
      <c r="G121" s="117" t="s">
        <v>1044</v>
      </c>
      <c r="H121" s="118" t="s">
        <v>1043</v>
      </c>
      <c r="I121" s="119" t="s">
        <v>1044</v>
      </c>
      <c r="J121" s="120" t="s">
        <v>2508</v>
      </c>
      <c r="K121" s="120" t="s">
        <v>2508</v>
      </c>
      <c r="L121" s="118"/>
      <c r="M121" s="119"/>
      <c r="N121" s="118"/>
      <c r="O121" s="119"/>
      <c r="P121" s="117" t="s">
        <v>28</v>
      </c>
      <c r="Q121" s="117" t="s">
        <v>45</v>
      </c>
      <c r="R121" s="117" t="b">
        <v>1</v>
      </c>
      <c r="S121" s="117" t="b">
        <v>1</v>
      </c>
      <c r="T121" s="117" t="b">
        <v>1</v>
      </c>
      <c r="U121" s="117" t="b">
        <v>0</v>
      </c>
      <c r="V121" s="117" t="b">
        <v>0</v>
      </c>
      <c r="W121" s="117" t="b">
        <v>1</v>
      </c>
      <c r="X121" s="117" t="b">
        <v>1</v>
      </c>
      <c r="Y121" s="117" t="b">
        <v>0</v>
      </c>
      <c r="Z121" s="117" t="b">
        <v>0</v>
      </c>
      <c r="AA121" s="117"/>
      <c r="AB121" s="117" t="s">
        <v>1045</v>
      </c>
      <c r="AC121" s="117"/>
      <c r="AD121" s="117"/>
      <c r="AE121" s="117"/>
      <c r="AF121" s="117"/>
      <c r="AG121" s="117" t="s">
        <v>1046</v>
      </c>
      <c r="AH121" s="117">
        <v>3175073006010000</v>
      </c>
      <c r="AI121" s="117" t="s">
        <v>68</v>
      </c>
      <c r="AJ121" s="117" t="s">
        <v>32</v>
      </c>
      <c r="AK121" s="117"/>
      <c r="AL121" s="117">
        <v>62085714266661</v>
      </c>
      <c r="AM121" s="117"/>
      <c r="AN121" s="117"/>
      <c r="AO121" s="117" t="s">
        <v>1048</v>
      </c>
      <c r="AP121" s="117"/>
      <c r="AQ121" s="117" t="s">
        <v>95</v>
      </c>
      <c r="AR121" s="117" t="s">
        <v>1902</v>
      </c>
      <c r="AS121" s="117" t="s">
        <v>96</v>
      </c>
      <c r="AT121" s="117" t="s">
        <v>1911</v>
      </c>
      <c r="AU121" s="117" t="b">
        <v>1</v>
      </c>
      <c r="AV121" s="117" t="b">
        <v>1</v>
      </c>
      <c r="AW121" s="117" t="s">
        <v>1043</v>
      </c>
      <c r="AX121" s="117" t="s">
        <v>1044</v>
      </c>
      <c r="AY121" s="117" t="s">
        <v>2262</v>
      </c>
      <c r="AZ121" s="117" t="s">
        <v>2263</v>
      </c>
      <c r="BA121" s="117" t="b">
        <v>1</v>
      </c>
      <c r="BB121" s="117" t="b">
        <v>1</v>
      </c>
      <c r="BC121" s="117"/>
      <c r="BD121" s="117"/>
      <c r="BE121" s="117">
        <v>0</v>
      </c>
    </row>
    <row r="122" spans="1:57" ht="16">
      <c r="A122" s="117" t="s">
        <v>58</v>
      </c>
      <c r="B122" s="117" t="s">
        <v>93</v>
      </c>
      <c r="C122" s="117" t="s">
        <v>94</v>
      </c>
      <c r="D122" s="117" t="s">
        <v>95</v>
      </c>
      <c r="E122" s="117" t="s">
        <v>96</v>
      </c>
      <c r="F122" s="117" t="s">
        <v>1049</v>
      </c>
      <c r="G122" s="117" t="s">
        <v>1050</v>
      </c>
      <c r="H122" s="118" t="s">
        <v>1049</v>
      </c>
      <c r="I122" s="119" t="s">
        <v>1050</v>
      </c>
      <c r="J122" s="120" t="s">
        <v>2508</v>
      </c>
      <c r="K122" s="120" t="s">
        <v>2508</v>
      </c>
      <c r="L122" s="118"/>
      <c r="M122" s="119"/>
      <c r="N122" s="118"/>
      <c r="O122" s="119"/>
      <c r="P122" s="117" t="s">
        <v>28</v>
      </c>
      <c r="Q122" s="117" t="s">
        <v>45</v>
      </c>
      <c r="R122" s="117" t="b">
        <v>1</v>
      </c>
      <c r="S122" s="117" t="b">
        <v>1</v>
      </c>
      <c r="T122" s="117" t="b">
        <v>1</v>
      </c>
      <c r="U122" s="117" t="b">
        <v>0</v>
      </c>
      <c r="V122" s="117" t="b">
        <v>0</v>
      </c>
      <c r="W122" s="117" t="b">
        <v>1</v>
      </c>
      <c r="X122" s="117" t="b">
        <v>1</v>
      </c>
      <c r="Y122" s="117" t="b">
        <v>0</v>
      </c>
      <c r="Z122" s="117" t="b">
        <v>0</v>
      </c>
      <c r="AA122" s="117"/>
      <c r="AB122" s="117" t="s">
        <v>1051</v>
      </c>
      <c r="AC122" s="117"/>
      <c r="AD122" s="117"/>
      <c r="AE122" s="117"/>
      <c r="AF122" s="117"/>
      <c r="AG122" s="117" t="s">
        <v>1052</v>
      </c>
      <c r="AH122" s="117">
        <v>3175082709980000</v>
      </c>
      <c r="AI122" s="117" t="s">
        <v>68</v>
      </c>
      <c r="AJ122" s="117" t="s">
        <v>32</v>
      </c>
      <c r="AK122" s="117"/>
      <c r="AL122" s="117">
        <v>6285711127998</v>
      </c>
      <c r="AM122" s="117"/>
      <c r="AN122" s="117"/>
      <c r="AO122" s="117" t="s">
        <v>1054</v>
      </c>
      <c r="AP122" s="117"/>
      <c r="AQ122" s="117" t="s">
        <v>95</v>
      </c>
      <c r="AR122" s="117" t="s">
        <v>1902</v>
      </c>
      <c r="AS122" s="117" t="s">
        <v>96</v>
      </c>
      <c r="AT122" s="117" t="s">
        <v>1911</v>
      </c>
      <c r="AU122" s="117" t="b">
        <v>1</v>
      </c>
      <c r="AV122" s="117" t="b">
        <v>1</v>
      </c>
      <c r="AW122" s="117" t="s">
        <v>1049</v>
      </c>
      <c r="AX122" s="117" t="s">
        <v>1050</v>
      </c>
      <c r="AY122" s="117" t="s">
        <v>2264</v>
      </c>
      <c r="AZ122" s="117" t="s">
        <v>2265</v>
      </c>
      <c r="BA122" s="117" t="b">
        <v>1</v>
      </c>
      <c r="BB122" s="117" t="b">
        <v>1</v>
      </c>
      <c r="BC122" s="117"/>
      <c r="BD122" s="117"/>
      <c r="BE122" s="117">
        <v>0</v>
      </c>
    </row>
    <row r="123" spans="1:57" ht="16">
      <c r="A123" s="117" t="s">
        <v>58</v>
      </c>
      <c r="B123" s="117" t="s">
        <v>93</v>
      </c>
      <c r="C123" s="117" t="s">
        <v>94</v>
      </c>
      <c r="D123" s="117" t="s">
        <v>95</v>
      </c>
      <c r="E123" s="117" t="s">
        <v>96</v>
      </c>
      <c r="F123" s="117" t="s">
        <v>1055</v>
      </c>
      <c r="G123" s="117" t="s">
        <v>1056</v>
      </c>
      <c r="H123" s="118" t="s">
        <v>1055</v>
      </c>
      <c r="I123" s="119" t="s">
        <v>1056</v>
      </c>
      <c r="J123" s="120" t="s">
        <v>2508</v>
      </c>
      <c r="K123" s="120" t="s">
        <v>2508</v>
      </c>
      <c r="L123" s="118"/>
      <c r="M123" s="119"/>
      <c r="N123" s="118"/>
      <c r="O123" s="119"/>
      <c r="P123" s="117" t="s">
        <v>28</v>
      </c>
      <c r="Q123" s="117" t="s">
        <v>45</v>
      </c>
      <c r="R123" s="117" t="b">
        <v>1</v>
      </c>
      <c r="S123" s="117" t="b">
        <v>1</v>
      </c>
      <c r="T123" s="117" t="b">
        <v>1</v>
      </c>
      <c r="U123" s="117" t="b">
        <v>0</v>
      </c>
      <c r="V123" s="117" t="b">
        <v>0</v>
      </c>
      <c r="W123" s="117" t="b">
        <v>1</v>
      </c>
      <c r="X123" s="117" t="b">
        <v>1</v>
      </c>
      <c r="Y123" s="117" t="b">
        <v>0</v>
      </c>
      <c r="Z123" s="117" t="b">
        <v>0</v>
      </c>
      <c r="AA123" s="117"/>
      <c r="AB123" s="117" t="s">
        <v>1057</v>
      </c>
      <c r="AC123" s="117"/>
      <c r="AD123" s="117"/>
      <c r="AE123" s="117"/>
      <c r="AF123" s="117"/>
      <c r="AG123" s="117" t="s">
        <v>1058</v>
      </c>
      <c r="AH123" s="117">
        <v>3276012711910000</v>
      </c>
      <c r="AI123" s="117" t="s">
        <v>68</v>
      </c>
      <c r="AJ123" s="117" t="s">
        <v>32</v>
      </c>
      <c r="AK123" s="117"/>
      <c r="AL123" s="117">
        <v>6280086422494</v>
      </c>
      <c r="AM123" s="117"/>
      <c r="AN123" s="117"/>
      <c r="AO123" s="117" t="s">
        <v>1060</v>
      </c>
      <c r="AP123" s="117"/>
      <c r="AQ123" s="117" t="s">
        <v>95</v>
      </c>
      <c r="AR123" s="117" t="s">
        <v>1902</v>
      </c>
      <c r="AS123" s="117" t="s">
        <v>96</v>
      </c>
      <c r="AT123" s="117" t="s">
        <v>1911</v>
      </c>
      <c r="AU123" s="117" t="b">
        <v>1</v>
      </c>
      <c r="AV123" s="117" t="b">
        <v>1</v>
      </c>
      <c r="AW123" s="117" t="s">
        <v>1055</v>
      </c>
      <c r="AX123" s="117" t="s">
        <v>1056</v>
      </c>
      <c r="AY123" s="117" t="s">
        <v>2266</v>
      </c>
      <c r="AZ123" s="117" t="s">
        <v>2267</v>
      </c>
      <c r="BA123" s="117" t="b">
        <v>1</v>
      </c>
      <c r="BB123" s="117" t="b">
        <v>1</v>
      </c>
      <c r="BC123" s="117"/>
      <c r="BD123" s="117"/>
      <c r="BE123" s="117">
        <v>0</v>
      </c>
    </row>
    <row r="124" spans="1:57" ht="16">
      <c r="A124" s="117" t="s">
        <v>58</v>
      </c>
      <c r="B124" s="117" t="s">
        <v>93</v>
      </c>
      <c r="C124" s="117" t="s">
        <v>94</v>
      </c>
      <c r="D124" s="117" t="s">
        <v>95</v>
      </c>
      <c r="E124" s="117" t="s">
        <v>96</v>
      </c>
      <c r="F124" s="117" t="s">
        <v>1732</v>
      </c>
      <c r="G124" s="117" t="s">
        <v>1731</v>
      </c>
      <c r="H124" s="118" t="s">
        <v>1732</v>
      </c>
      <c r="I124" s="119" t="s">
        <v>1731</v>
      </c>
      <c r="J124" s="120" t="s">
        <v>2508</v>
      </c>
      <c r="K124" s="120" t="s">
        <v>2508</v>
      </c>
      <c r="L124" s="118"/>
      <c r="M124" s="119"/>
      <c r="N124" s="118"/>
      <c r="O124" s="119"/>
      <c r="P124" s="117" t="s">
        <v>28</v>
      </c>
      <c r="Q124" s="117" t="s">
        <v>45</v>
      </c>
      <c r="R124" s="117" t="b">
        <v>1</v>
      </c>
      <c r="S124" s="117" t="b">
        <v>1</v>
      </c>
      <c r="T124" s="117" t="b">
        <v>1</v>
      </c>
      <c r="U124" s="117" t="b">
        <v>0</v>
      </c>
      <c r="V124" s="117" t="b">
        <v>0</v>
      </c>
      <c r="W124" s="117" t="b">
        <v>1</v>
      </c>
      <c r="X124" s="117" t="b">
        <v>1</v>
      </c>
      <c r="Y124" s="117" t="b">
        <v>0</v>
      </c>
      <c r="Z124" s="117" t="b">
        <v>0</v>
      </c>
      <c r="AA124" s="117"/>
      <c r="AB124" s="117" t="s">
        <v>1733</v>
      </c>
      <c r="AC124" s="117"/>
      <c r="AD124" s="117"/>
      <c r="AE124" s="117"/>
      <c r="AF124" s="117"/>
      <c r="AG124" s="117" t="s">
        <v>1734</v>
      </c>
      <c r="AH124" s="117">
        <v>3175040108790000</v>
      </c>
      <c r="AI124" s="117" t="s">
        <v>68</v>
      </c>
      <c r="AJ124" s="117" t="s">
        <v>32</v>
      </c>
      <c r="AK124" s="117"/>
      <c r="AL124" s="117">
        <v>62895386853434</v>
      </c>
      <c r="AM124" s="117"/>
      <c r="AN124" s="117"/>
      <c r="AO124" s="117" t="s">
        <v>1736</v>
      </c>
      <c r="AP124" s="117"/>
      <c r="AQ124" s="117" t="s">
        <v>95</v>
      </c>
      <c r="AR124" s="117" t="s">
        <v>1902</v>
      </c>
      <c r="AS124" s="117" t="s">
        <v>96</v>
      </c>
      <c r="AT124" s="117" t="s">
        <v>1911</v>
      </c>
      <c r="AU124" s="117" t="b">
        <v>1</v>
      </c>
      <c r="AV124" s="117" t="b">
        <v>1</v>
      </c>
      <c r="AW124" s="117" t="s">
        <v>1732</v>
      </c>
      <c r="AX124" s="117" t="s">
        <v>1731</v>
      </c>
      <c r="AY124" s="117" t="s">
        <v>2454</v>
      </c>
      <c r="AZ124" s="117" t="s">
        <v>2455</v>
      </c>
      <c r="BA124" s="117" t="b">
        <v>1</v>
      </c>
      <c r="BB124" s="117" t="b">
        <v>1</v>
      </c>
      <c r="BC124" s="117"/>
      <c r="BD124" s="117"/>
      <c r="BE124" s="117" t="s">
        <v>2505</v>
      </c>
    </row>
    <row r="125" spans="1:57" ht="16">
      <c r="A125" s="117" t="s">
        <v>58</v>
      </c>
      <c r="B125" s="117" t="s">
        <v>93</v>
      </c>
      <c r="C125" s="117" t="s">
        <v>94</v>
      </c>
      <c r="D125" s="117" t="s">
        <v>95</v>
      </c>
      <c r="E125" s="117" t="s">
        <v>96</v>
      </c>
      <c r="F125" s="117" t="s">
        <v>1744</v>
      </c>
      <c r="G125" s="117" t="s">
        <v>1743</v>
      </c>
      <c r="H125" s="118" t="s">
        <v>1744</v>
      </c>
      <c r="I125" s="119" t="s">
        <v>1743</v>
      </c>
      <c r="J125" s="120" t="s">
        <v>2508</v>
      </c>
      <c r="K125" s="120" t="s">
        <v>2508</v>
      </c>
      <c r="L125" s="118"/>
      <c r="M125" s="119"/>
      <c r="N125" s="118"/>
      <c r="O125" s="119"/>
      <c r="P125" s="117" t="s">
        <v>28</v>
      </c>
      <c r="Q125" s="117" t="s">
        <v>45</v>
      </c>
      <c r="R125" s="117" t="b">
        <v>1</v>
      </c>
      <c r="S125" s="117" t="b">
        <v>1</v>
      </c>
      <c r="T125" s="117" t="b">
        <v>1</v>
      </c>
      <c r="U125" s="117" t="b">
        <v>0</v>
      </c>
      <c r="V125" s="117" t="b">
        <v>0</v>
      </c>
      <c r="W125" s="117" t="b">
        <v>1</v>
      </c>
      <c r="X125" s="117" t="b">
        <v>1</v>
      </c>
      <c r="Y125" s="117" t="b">
        <v>0</v>
      </c>
      <c r="Z125" s="117" t="b">
        <v>0</v>
      </c>
      <c r="AA125" s="117"/>
      <c r="AB125" s="117" t="s">
        <v>1745</v>
      </c>
      <c r="AC125" s="117"/>
      <c r="AD125" s="117"/>
      <c r="AE125" s="117"/>
      <c r="AF125" s="117"/>
      <c r="AG125" s="117" t="s">
        <v>2846</v>
      </c>
      <c r="AH125" s="117">
        <v>3275122002820000</v>
      </c>
      <c r="AI125" s="117" t="s">
        <v>68</v>
      </c>
      <c r="AJ125" s="117" t="s">
        <v>32</v>
      </c>
      <c r="AK125" s="117"/>
      <c r="AL125" s="117">
        <v>62895386859030</v>
      </c>
      <c r="AM125" s="117"/>
      <c r="AN125" s="117"/>
      <c r="AO125" s="117" t="s">
        <v>1748</v>
      </c>
      <c r="AP125" s="117"/>
      <c r="AQ125" s="117" t="s">
        <v>95</v>
      </c>
      <c r="AR125" s="117" t="s">
        <v>1902</v>
      </c>
      <c r="AS125" s="117" t="s">
        <v>96</v>
      </c>
      <c r="AT125" s="117" t="s">
        <v>1911</v>
      </c>
      <c r="AU125" s="117" t="b">
        <v>1</v>
      </c>
      <c r="AV125" s="117" t="b">
        <v>1</v>
      </c>
      <c r="AW125" s="117" t="s">
        <v>1744</v>
      </c>
      <c r="AX125" s="117" t="s">
        <v>1743</v>
      </c>
      <c r="AY125" s="117" t="s">
        <v>2458</v>
      </c>
      <c r="AZ125" s="117" t="s">
        <v>2459</v>
      </c>
      <c r="BA125" s="117" t="b">
        <v>1</v>
      </c>
      <c r="BB125" s="117" t="b">
        <v>1</v>
      </c>
      <c r="BC125" s="117"/>
      <c r="BD125" s="117"/>
      <c r="BE125" s="117">
        <v>0</v>
      </c>
    </row>
    <row r="126" spans="1:57" ht="16">
      <c r="A126" s="117" t="s">
        <v>58</v>
      </c>
      <c r="B126" s="117" t="s">
        <v>93</v>
      </c>
      <c r="C126" s="117" t="s">
        <v>94</v>
      </c>
      <c r="D126" s="117" t="s">
        <v>95</v>
      </c>
      <c r="E126" s="117" t="s">
        <v>96</v>
      </c>
      <c r="F126" s="117" t="s">
        <v>1869</v>
      </c>
      <c r="G126" s="117" t="s">
        <v>1868</v>
      </c>
      <c r="H126" s="118" t="s">
        <v>1869</v>
      </c>
      <c r="I126" s="119" t="s">
        <v>1868</v>
      </c>
      <c r="J126" s="120" t="s">
        <v>2508</v>
      </c>
      <c r="K126" s="120" t="s">
        <v>2508</v>
      </c>
      <c r="L126" s="118"/>
      <c r="M126" s="119"/>
      <c r="N126" s="118"/>
      <c r="O126" s="119"/>
      <c r="P126" s="117" t="s">
        <v>28</v>
      </c>
      <c r="Q126" s="117" t="s">
        <v>45</v>
      </c>
      <c r="R126" s="117" t="b">
        <v>1</v>
      </c>
      <c r="S126" s="117" t="b">
        <v>1</v>
      </c>
      <c r="T126" s="117" t="b">
        <v>1</v>
      </c>
      <c r="U126" s="117" t="b">
        <v>0</v>
      </c>
      <c r="V126" s="117" t="b">
        <v>0</v>
      </c>
      <c r="W126" s="117" t="b">
        <v>1</v>
      </c>
      <c r="X126" s="117" t="b">
        <v>1</v>
      </c>
      <c r="Y126" s="117" t="b">
        <v>0</v>
      </c>
      <c r="Z126" s="117" t="b">
        <v>0</v>
      </c>
      <c r="AA126" s="117"/>
      <c r="AB126" s="117" t="s">
        <v>1870</v>
      </c>
      <c r="AC126" s="117"/>
      <c r="AD126" s="117"/>
      <c r="AE126" s="117"/>
      <c r="AF126" s="117"/>
      <c r="AG126" s="117" t="s">
        <v>1871</v>
      </c>
      <c r="AH126" s="117">
        <v>3175030202720000</v>
      </c>
      <c r="AI126" s="117" t="s">
        <v>68</v>
      </c>
      <c r="AJ126" s="117" t="s">
        <v>32</v>
      </c>
      <c r="AK126" s="117"/>
      <c r="AL126" s="117">
        <v>6289602778024</v>
      </c>
      <c r="AM126" s="117"/>
      <c r="AN126" s="117"/>
      <c r="AO126" s="117" t="s">
        <v>1873</v>
      </c>
      <c r="AP126" s="117"/>
      <c r="AQ126" s="117" t="s">
        <v>95</v>
      </c>
      <c r="AR126" s="117" t="s">
        <v>1902</v>
      </c>
      <c r="AS126" s="117" t="s">
        <v>96</v>
      </c>
      <c r="AT126" s="117" t="s">
        <v>1911</v>
      </c>
      <c r="AU126" s="117" t="b">
        <v>1</v>
      </c>
      <c r="AV126" s="117" t="b">
        <v>1</v>
      </c>
      <c r="AW126" s="117" t="s">
        <v>1869</v>
      </c>
      <c r="AX126" s="117" t="s">
        <v>1868</v>
      </c>
      <c r="AY126" s="117" t="s">
        <v>2496</v>
      </c>
      <c r="AZ126" s="117" t="s">
        <v>2497</v>
      </c>
      <c r="BA126" s="117" t="b">
        <v>1</v>
      </c>
      <c r="BB126" s="117" t="b">
        <v>1</v>
      </c>
      <c r="BC126" s="117"/>
      <c r="BD126" s="117"/>
      <c r="BE126" s="117">
        <v>0</v>
      </c>
    </row>
    <row r="127" spans="1:57" ht="16">
      <c r="A127" s="117" t="s">
        <v>58</v>
      </c>
      <c r="B127" s="117" t="s">
        <v>93</v>
      </c>
      <c r="C127" s="117" t="s">
        <v>94</v>
      </c>
      <c r="D127" s="117" t="s">
        <v>95</v>
      </c>
      <c r="E127" s="117" t="s">
        <v>96</v>
      </c>
      <c r="F127" s="117" t="s">
        <v>1875</v>
      </c>
      <c r="G127" s="117" t="s">
        <v>1874</v>
      </c>
      <c r="H127" s="118" t="s">
        <v>1875</v>
      </c>
      <c r="I127" s="119" t="s">
        <v>1874</v>
      </c>
      <c r="J127" s="120" t="s">
        <v>2508</v>
      </c>
      <c r="K127" s="120" t="s">
        <v>2508</v>
      </c>
      <c r="L127" s="118"/>
      <c r="M127" s="119"/>
      <c r="N127" s="118"/>
      <c r="O127" s="119"/>
      <c r="P127" s="117" t="s">
        <v>28</v>
      </c>
      <c r="Q127" s="117" t="s">
        <v>45</v>
      </c>
      <c r="R127" s="117" t="b">
        <v>1</v>
      </c>
      <c r="S127" s="117" t="b">
        <v>1</v>
      </c>
      <c r="T127" s="117" t="b">
        <v>1</v>
      </c>
      <c r="U127" s="117" t="b">
        <v>0</v>
      </c>
      <c r="V127" s="117" t="b">
        <v>0</v>
      </c>
      <c r="W127" s="117" t="b">
        <v>1</v>
      </c>
      <c r="X127" s="117" t="b">
        <v>1</v>
      </c>
      <c r="Y127" s="117" t="b">
        <v>0</v>
      </c>
      <c r="Z127" s="117" t="b">
        <v>0</v>
      </c>
      <c r="AA127" s="117"/>
      <c r="AB127" s="117" t="s">
        <v>1876</v>
      </c>
      <c r="AC127" s="117"/>
      <c r="AD127" s="117"/>
      <c r="AE127" s="117"/>
      <c r="AF127" s="117"/>
      <c r="AG127" s="117" t="s">
        <v>1877</v>
      </c>
      <c r="AH127" s="117">
        <v>3172021605931000</v>
      </c>
      <c r="AI127" s="117" t="s">
        <v>68</v>
      </c>
      <c r="AJ127" s="117" t="s">
        <v>32</v>
      </c>
      <c r="AK127" s="117"/>
      <c r="AL127" s="117">
        <v>6289602778025</v>
      </c>
      <c r="AM127" s="117"/>
      <c r="AN127" s="117"/>
      <c r="AO127" s="117" t="s">
        <v>1879</v>
      </c>
      <c r="AP127" s="117"/>
      <c r="AQ127" s="117" t="s">
        <v>95</v>
      </c>
      <c r="AR127" s="117" t="s">
        <v>1902</v>
      </c>
      <c r="AS127" s="117" t="s">
        <v>96</v>
      </c>
      <c r="AT127" s="117" t="s">
        <v>1911</v>
      </c>
      <c r="AU127" s="117" t="b">
        <v>1</v>
      </c>
      <c r="AV127" s="117" t="b">
        <v>1</v>
      </c>
      <c r="AW127" s="117" t="s">
        <v>1875</v>
      </c>
      <c r="AX127" s="117" t="s">
        <v>1874</v>
      </c>
      <c r="AY127" s="117" t="s">
        <v>2498</v>
      </c>
      <c r="AZ127" s="117" t="s">
        <v>2499</v>
      </c>
      <c r="BA127" s="117" t="b">
        <v>1</v>
      </c>
      <c r="BB127" s="117" t="b">
        <v>1</v>
      </c>
      <c r="BC127" s="117"/>
      <c r="BD127" s="117"/>
      <c r="BE127" s="117">
        <v>0</v>
      </c>
    </row>
    <row r="128" spans="1:57" ht="16">
      <c r="A128" s="117" t="s">
        <v>58</v>
      </c>
      <c r="B128" s="117" t="s">
        <v>59</v>
      </c>
      <c r="C128" s="117" t="s">
        <v>60</v>
      </c>
      <c r="D128" s="117" t="s">
        <v>61</v>
      </c>
      <c r="E128" s="117" t="s">
        <v>62</v>
      </c>
      <c r="F128" s="117">
        <v>2613050467</v>
      </c>
      <c r="G128" s="117" t="s">
        <v>64</v>
      </c>
      <c r="H128" s="118">
        <v>2613050467</v>
      </c>
      <c r="I128" s="119" t="s">
        <v>64</v>
      </c>
      <c r="J128" s="120" t="s">
        <v>2508</v>
      </c>
      <c r="K128" s="120" t="s">
        <v>2508</v>
      </c>
      <c r="L128" s="118"/>
      <c r="M128" s="119"/>
      <c r="N128" s="118"/>
      <c r="O128" s="119"/>
      <c r="P128" s="117" t="s">
        <v>28</v>
      </c>
      <c r="Q128" s="117" t="s">
        <v>45</v>
      </c>
      <c r="R128" s="117" t="b">
        <v>1</v>
      </c>
      <c r="S128" s="117" t="b">
        <v>1</v>
      </c>
      <c r="T128" s="117" t="b">
        <v>1</v>
      </c>
      <c r="U128" s="117" t="b">
        <v>0</v>
      </c>
      <c r="V128" s="117" t="b">
        <v>0</v>
      </c>
      <c r="W128" s="117" t="b">
        <v>1</v>
      </c>
      <c r="X128" s="117" t="b">
        <v>1</v>
      </c>
      <c r="Y128" s="117" t="b">
        <v>0</v>
      </c>
      <c r="Z128" s="117" t="b">
        <v>0</v>
      </c>
      <c r="AA128" s="117"/>
      <c r="AB128" s="117" t="s">
        <v>65</v>
      </c>
      <c r="AC128" s="117"/>
      <c r="AD128" s="117"/>
      <c r="AE128" s="117"/>
      <c r="AF128" s="117"/>
      <c r="AG128" s="117" t="s">
        <v>66</v>
      </c>
      <c r="AH128" s="117">
        <v>3201072504850000</v>
      </c>
      <c r="AI128" s="117" t="s">
        <v>68</v>
      </c>
      <c r="AJ128" s="117" t="s">
        <v>32</v>
      </c>
      <c r="AK128" s="117"/>
      <c r="AL128" s="117">
        <v>6280086422493</v>
      </c>
      <c r="AM128" s="117"/>
      <c r="AN128" s="117"/>
      <c r="AO128" s="117" t="s">
        <v>69</v>
      </c>
      <c r="AP128" s="117"/>
      <c r="AQ128" s="117" t="s">
        <v>61</v>
      </c>
      <c r="AR128" s="117" t="s">
        <v>1902</v>
      </c>
      <c r="AS128" s="117" t="s">
        <v>62</v>
      </c>
      <c r="AT128" s="117" t="s">
        <v>1911</v>
      </c>
      <c r="AU128" s="117" t="b">
        <v>1</v>
      </c>
      <c r="AV128" s="117" t="b">
        <v>1</v>
      </c>
      <c r="AW128" s="117">
        <v>2613050467</v>
      </c>
      <c r="AX128" s="117" t="s">
        <v>64</v>
      </c>
      <c r="AY128" s="117" t="s">
        <v>2004</v>
      </c>
      <c r="AZ128" s="117" t="s">
        <v>2005</v>
      </c>
      <c r="BA128" s="117" t="b">
        <v>1</v>
      </c>
      <c r="BB128" s="117" t="b">
        <v>1</v>
      </c>
      <c r="BC128" s="117"/>
      <c r="BD128" s="117"/>
      <c r="BE128" s="117">
        <v>0</v>
      </c>
    </row>
    <row r="129" spans="1:57" ht="16">
      <c r="A129" s="117" t="s">
        <v>58</v>
      </c>
      <c r="B129" s="117" t="s">
        <v>59</v>
      </c>
      <c r="C129" s="117" t="s">
        <v>60</v>
      </c>
      <c r="D129" s="117" t="s">
        <v>61</v>
      </c>
      <c r="E129" s="117" t="s">
        <v>62</v>
      </c>
      <c r="F129" s="117" t="s">
        <v>1516</v>
      </c>
      <c r="G129" s="117" t="s">
        <v>1515</v>
      </c>
      <c r="H129" s="118" t="s">
        <v>1516</v>
      </c>
      <c r="I129" s="119" t="s">
        <v>1515</v>
      </c>
      <c r="J129" s="120" t="s">
        <v>2508</v>
      </c>
      <c r="K129" s="120" t="s">
        <v>2508</v>
      </c>
      <c r="L129" s="118"/>
      <c r="M129" s="119"/>
      <c r="N129" s="118"/>
      <c r="O129" s="119"/>
      <c r="P129" s="117" t="s">
        <v>28</v>
      </c>
      <c r="Q129" s="117" t="s">
        <v>45</v>
      </c>
      <c r="R129" s="117" t="b">
        <v>1</v>
      </c>
      <c r="S129" s="117" t="b">
        <v>1</v>
      </c>
      <c r="T129" s="117" t="b">
        <v>1</v>
      </c>
      <c r="U129" s="117" t="b">
        <v>0</v>
      </c>
      <c r="V129" s="117" t="b">
        <v>0</v>
      </c>
      <c r="W129" s="117" t="b">
        <v>1</v>
      </c>
      <c r="X129" s="117" t="b">
        <v>1</v>
      </c>
      <c r="Y129" s="117" t="b">
        <v>0</v>
      </c>
      <c r="Z129" s="117" t="b">
        <v>0</v>
      </c>
      <c r="AA129" s="117"/>
      <c r="AB129" s="117" t="s">
        <v>1517</v>
      </c>
      <c r="AC129" s="117"/>
      <c r="AD129" s="117" t="s">
        <v>1517</v>
      </c>
      <c r="AE129" s="117" t="s">
        <v>1517</v>
      </c>
      <c r="AF129" s="117" t="b">
        <v>0</v>
      </c>
      <c r="AG129" s="117" t="s">
        <v>1518</v>
      </c>
      <c r="AH129" s="117">
        <v>3172020607770010</v>
      </c>
      <c r="AI129" s="117" t="s">
        <v>68</v>
      </c>
      <c r="AJ129" s="117" t="s">
        <v>32</v>
      </c>
      <c r="AK129" s="117"/>
      <c r="AL129" s="117">
        <v>62895386853131</v>
      </c>
      <c r="AM129" s="117"/>
      <c r="AN129" s="117"/>
      <c r="AO129" s="117" t="s">
        <v>1520</v>
      </c>
      <c r="AP129" s="117" t="s">
        <v>519</v>
      </c>
      <c r="AQ129" s="117" t="s">
        <v>61</v>
      </c>
      <c r="AR129" s="117" t="s">
        <v>1902</v>
      </c>
      <c r="AS129" s="117" t="s">
        <v>62</v>
      </c>
      <c r="AT129" s="117" t="s">
        <v>1911</v>
      </c>
      <c r="AU129" s="117" t="b">
        <v>1</v>
      </c>
      <c r="AV129" s="117" t="b">
        <v>1</v>
      </c>
      <c r="AW129" s="117" t="s">
        <v>1516</v>
      </c>
      <c r="AX129" s="117" t="s">
        <v>1515</v>
      </c>
      <c r="AY129" s="117" t="s">
        <v>2396</v>
      </c>
      <c r="AZ129" s="117" t="s">
        <v>2397</v>
      </c>
      <c r="BA129" s="117" t="b">
        <v>1</v>
      </c>
      <c r="BB129" s="117" t="b">
        <v>1</v>
      </c>
      <c r="BC129" s="117"/>
      <c r="BD129" s="117"/>
      <c r="BE129" s="117" t="s">
        <v>2505</v>
      </c>
    </row>
    <row r="130" spans="1:57" ht="16">
      <c r="A130" s="117" t="s">
        <v>58</v>
      </c>
      <c r="B130" s="117" t="s">
        <v>59</v>
      </c>
      <c r="C130" s="117" t="s">
        <v>60</v>
      </c>
      <c r="D130" s="117" t="s">
        <v>61</v>
      </c>
      <c r="E130" s="117" t="s">
        <v>62</v>
      </c>
      <c r="F130" s="117" t="s">
        <v>1726</v>
      </c>
      <c r="G130" s="117" t="s">
        <v>1725</v>
      </c>
      <c r="H130" s="118" t="s">
        <v>1726</v>
      </c>
      <c r="I130" s="119" t="s">
        <v>1725</v>
      </c>
      <c r="J130" s="120" t="s">
        <v>2508</v>
      </c>
      <c r="K130" s="120" t="s">
        <v>2508</v>
      </c>
      <c r="L130" s="118"/>
      <c r="M130" s="119"/>
      <c r="N130" s="118"/>
      <c r="O130" s="119"/>
      <c r="P130" s="117" t="s">
        <v>28</v>
      </c>
      <c r="Q130" s="117" t="s">
        <v>45</v>
      </c>
      <c r="R130" s="117" t="b">
        <v>1</v>
      </c>
      <c r="S130" s="117" t="b">
        <v>1</v>
      </c>
      <c r="T130" s="117" t="b">
        <v>1</v>
      </c>
      <c r="U130" s="117" t="b">
        <v>0</v>
      </c>
      <c r="V130" s="117" t="b">
        <v>0</v>
      </c>
      <c r="W130" s="117" t="b">
        <v>1</v>
      </c>
      <c r="X130" s="117" t="b">
        <v>1</v>
      </c>
      <c r="Y130" s="117" t="b">
        <v>0</v>
      </c>
      <c r="Z130" s="117" t="b">
        <v>0</v>
      </c>
      <c r="AA130" s="117"/>
      <c r="AB130" s="117" t="s">
        <v>1727</v>
      </c>
      <c r="AC130" s="117"/>
      <c r="AD130" s="117"/>
      <c r="AE130" s="117"/>
      <c r="AF130" s="117"/>
      <c r="AG130" s="117" t="s">
        <v>1728</v>
      </c>
      <c r="AH130" s="117">
        <v>3275083009810010</v>
      </c>
      <c r="AI130" s="117" t="s">
        <v>68</v>
      </c>
      <c r="AJ130" s="117" t="s">
        <v>32</v>
      </c>
      <c r="AK130" s="117"/>
      <c r="AL130" s="117">
        <v>62895386584545</v>
      </c>
      <c r="AM130" s="117"/>
      <c r="AN130" s="117"/>
      <c r="AO130" s="117" t="s">
        <v>1730</v>
      </c>
      <c r="AP130" s="117"/>
      <c r="AQ130" s="117" t="s">
        <v>61</v>
      </c>
      <c r="AR130" s="117" t="s">
        <v>1902</v>
      </c>
      <c r="AS130" s="117" t="s">
        <v>62</v>
      </c>
      <c r="AT130" s="117" t="s">
        <v>1911</v>
      </c>
      <c r="AU130" s="117" t="b">
        <v>1</v>
      </c>
      <c r="AV130" s="117" t="b">
        <v>1</v>
      </c>
      <c r="AW130" s="117" t="s">
        <v>1726</v>
      </c>
      <c r="AX130" s="117" t="s">
        <v>1725</v>
      </c>
      <c r="AY130" s="117" t="s">
        <v>2452</v>
      </c>
      <c r="AZ130" s="117" t="s">
        <v>2453</v>
      </c>
      <c r="BA130" s="117" t="b">
        <v>1</v>
      </c>
      <c r="BB130" s="117" t="b">
        <v>1</v>
      </c>
      <c r="BC130" s="117"/>
      <c r="BD130" s="117"/>
      <c r="BE130" s="117" t="s">
        <v>2505</v>
      </c>
    </row>
    <row r="131" spans="1:57" ht="16">
      <c r="A131" s="117" t="s">
        <v>58</v>
      </c>
      <c r="B131" s="117" t="s">
        <v>59</v>
      </c>
      <c r="C131" s="117" t="s">
        <v>60</v>
      </c>
      <c r="D131" s="117" t="s">
        <v>61</v>
      </c>
      <c r="E131" s="117" t="s">
        <v>62</v>
      </c>
      <c r="F131" s="117" t="s">
        <v>1738</v>
      </c>
      <c r="G131" s="117" t="s">
        <v>1737</v>
      </c>
      <c r="H131" s="118" t="s">
        <v>1738</v>
      </c>
      <c r="I131" s="119" t="s">
        <v>1737</v>
      </c>
      <c r="J131" s="120" t="s">
        <v>2508</v>
      </c>
      <c r="K131" s="120" t="s">
        <v>2508</v>
      </c>
      <c r="L131" s="118"/>
      <c r="M131" s="119"/>
      <c r="N131" s="118"/>
      <c r="O131" s="119"/>
      <c r="P131" s="117" t="s">
        <v>28</v>
      </c>
      <c r="Q131" s="117" t="s">
        <v>45</v>
      </c>
      <c r="R131" s="117" t="b">
        <v>1</v>
      </c>
      <c r="S131" s="117" t="b">
        <v>1</v>
      </c>
      <c r="T131" s="117" t="b">
        <v>1</v>
      </c>
      <c r="U131" s="117" t="b">
        <v>0</v>
      </c>
      <c r="V131" s="117" t="b">
        <v>0</v>
      </c>
      <c r="W131" s="117" t="b">
        <v>1</v>
      </c>
      <c r="X131" s="117" t="b">
        <v>1</v>
      </c>
      <c r="Y131" s="117" t="b">
        <v>0</v>
      </c>
      <c r="Z131" s="117" t="b">
        <v>0</v>
      </c>
      <c r="AA131" s="117"/>
      <c r="AB131" s="117" t="s">
        <v>1739</v>
      </c>
      <c r="AC131" s="117"/>
      <c r="AD131" s="117"/>
      <c r="AE131" s="117"/>
      <c r="AF131" s="117"/>
      <c r="AG131" s="117" t="s">
        <v>1740</v>
      </c>
      <c r="AH131" s="117">
        <v>3275085603950000</v>
      </c>
      <c r="AI131" s="117" t="s">
        <v>119</v>
      </c>
      <c r="AJ131" s="117" t="s">
        <v>32</v>
      </c>
      <c r="AK131" s="117"/>
      <c r="AL131" s="117">
        <v>62895386854646</v>
      </c>
      <c r="AM131" s="117"/>
      <c r="AN131" s="117"/>
      <c r="AO131" s="117" t="s">
        <v>1742</v>
      </c>
      <c r="AP131" s="117"/>
      <c r="AQ131" s="117" t="s">
        <v>61</v>
      </c>
      <c r="AR131" s="117" t="s">
        <v>1902</v>
      </c>
      <c r="AS131" s="117" t="s">
        <v>62</v>
      </c>
      <c r="AT131" s="117" t="s">
        <v>1911</v>
      </c>
      <c r="AU131" s="117" t="b">
        <v>1</v>
      </c>
      <c r="AV131" s="117" t="b">
        <v>1</v>
      </c>
      <c r="AW131" s="117" t="s">
        <v>1738</v>
      </c>
      <c r="AX131" s="117" t="s">
        <v>1737</v>
      </c>
      <c r="AY131" s="117" t="s">
        <v>2456</v>
      </c>
      <c r="AZ131" s="117" t="s">
        <v>2457</v>
      </c>
      <c r="BA131" s="117" t="b">
        <v>1</v>
      </c>
      <c r="BB131" s="117" t="b">
        <v>1</v>
      </c>
      <c r="BC131" s="117"/>
      <c r="BD131" s="117"/>
      <c r="BE131" s="117" t="s">
        <v>2505</v>
      </c>
    </row>
    <row r="132" spans="1:57" ht="16">
      <c r="A132" s="117" t="s">
        <v>58</v>
      </c>
      <c r="B132" s="117" t="s">
        <v>59</v>
      </c>
      <c r="C132" s="117" t="s">
        <v>60</v>
      </c>
      <c r="D132" s="117" t="s">
        <v>61</v>
      </c>
      <c r="E132" s="117" t="s">
        <v>62</v>
      </c>
      <c r="F132" s="117" t="s">
        <v>1750</v>
      </c>
      <c r="G132" s="117" t="s">
        <v>1749</v>
      </c>
      <c r="H132" s="118" t="s">
        <v>1750</v>
      </c>
      <c r="I132" s="119" t="s">
        <v>1749</v>
      </c>
      <c r="J132" s="120" t="s">
        <v>2508</v>
      </c>
      <c r="K132" s="120" t="s">
        <v>2508</v>
      </c>
      <c r="L132" s="118"/>
      <c r="M132" s="119"/>
      <c r="N132" s="118"/>
      <c r="O132" s="119"/>
      <c r="P132" s="117" t="s">
        <v>28</v>
      </c>
      <c r="Q132" s="117" t="s">
        <v>45</v>
      </c>
      <c r="R132" s="117" t="b">
        <v>1</v>
      </c>
      <c r="S132" s="117" t="b">
        <v>1</v>
      </c>
      <c r="T132" s="117" t="b">
        <v>1</v>
      </c>
      <c r="U132" s="117" t="b">
        <v>0</v>
      </c>
      <c r="V132" s="117" t="b">
        <v>0</v>
      </c>
      <c r="W132" s="117" t="b">
        <v>1</v>
      </c>
      <c r="X132" s="117" t="b">
        <v>1</v>
      </c>
      <c r="Y132" s="117" t="b">
        <v>0</v>
      </c>
      <c r="Z132" s="117" t="b">
        <v>0</v>
      </c>
      <c r="AA132" s="117"/>
      <c r="AB132" s="117" t="s">
        <v>1751</v>
      </c>
      <c r="AC132" s="117"/>
      <c r="AD132" s="117"/>
      <c r="AE132" s="117"/>
      <c r="AF132" s="117"/>
      <c r="AG132" s="117" t="s">
        <v>1752</v>
      </c>
      <c r="AH132" s="117">
        <v>3175102112780000</v>
      </c>
      <c r="AI132" s="117" t="s">
        <v>68</v>
      </c>
      <c r="AJ132" s="117" t="s">
        <v>32</v>
      </c>
      <c r="AK132" s="117"/>
      <c r="AL132" s="117">
        <v>62895386870202</v>
      </c>
      <c r="AM132" s="117"/>
      <c r="AN132" s="117"/>
      <c r="AO132" s="117" t="s">
        <v>1754</v>
      </c>
      <c r="AP132" s="117"/>
      <c r="AQ132" s="117" t="s">
        <v>61</v>
      </c>
      <c r="AR132" s="117" t="s">
        <v>1902</v>
      </c>
      <c r="AS132" s="117" t="s">
        <v>62</v>
      </c>
      <c r="AT132" s="117" t="s">
        <v>1911</v>
      </c>
      <c r="AU132" s="117" t="b">
        <v>1</v>
      </c>
      <c r="AV132" s="117" t="b">
        <v>1</v>
      </c>
      <c r="AW132" s="117" t="s">
        <v>1750</v>
      </c>
      <c r="AX132" s="117" t="s">
        <v>1749</v>
      </c>
      <c r="AY132" s="117" t="s">
        <v>2460</v>
      </c>
      <c r="AZ132" s="117" t="s">
        <v>2461</v>
      </c>
      <c r="BA132" s="117" t="b">
        <v>1</v>
      </c>
      <c r="BB132" s="117" t="b">
        <v>1</v>
      </c>
      <c r="BC132" s="117"/>
      <c r="BD132" s="117"/>
      <c r="BE132" s="117" t="s">
        <v>2505</v>
      </c>
    </row>
    <row r="133" spans="1:57" ht="16">
      <c r="A133" s="117" t="s">
        <v>58</v>
      </c>
      <c r="B133" s="117" t="s">
        <v>59</v>
      </c>
      <c r="C133" s="117" t="s">
        <v>60</v>
      </c>
      <c r="D133" s="117" t="s">
        <v>61</v>
      </c>
      <c r="E133" s="117" t="s">
        <v>62</v>
      </c>
      <c r="F133" s="117" t="s">
        <v>1232</v>
      </c>
      <c r="G133" s="117" t="s">
        <v>1233</v>
      </c>
      <c r="H133" s="118" t="s">
        <v>1232</v>
      </c>
      <c r="I133" s="119" t="s">
        <v>1233</v>
      </c>
      <c r="J133" s="120" t="s">
        <v>2508</v>
      </c>
      <c r="K133" s="120" t="s">
        <v>2508</v>
      </c>
      <c r="L133" s="118"/>
      <c r="M133" s="119"/>
      <c r="N133" s="118"/>
      <c r="O133" s="119"/>
      <c r="P133" s="117" t="s">
        <v>28</v>
      </c>
      <c r="Q133" s="117" t="s">
        <v>45</v>
      </c>
      <c r="R133" s="117" t="b">
        <v>1</v>
      </c>
      <c r="S133" s="117" t="b">
        <v>1</v>
      </c>
      <c r="T133" s="117" t="b">
        <v>1</v>
      </c>
      <c r="U133" s="117" t="b">
        <v>0</v>
      </c>
      <c r="V133" s="117" t="b">
        <v>0</v>
      </c>
      <c r="W133" s="117" t="b">
        <v>1</v>
      </c>
      <c r="X133" s="117" t="b">
        <v>1</v>
      </c>
      <c r="Y133" s="117" t="b">
        <v>0</v>
      </c>
      <c r="Z133" s="117" t="b">
        <v>0</v>
      </c>
      <c r="AA133" s="117"/>
      <c r="AB133" s="117" t="s">
        <v>1234</v>
      </c>
      <c r="AC133" s="117"/>
      <c r="AD133" s="117"/>
      <c r="AE133" s="117"/>
      <c r="AF133" s="117"/>
      <c r="AG133" s="117" t="s">
        <v>1235</v>
      </c>
      <c r="AH133" s="117">
        <v>3204081702830000</v>
      </c>
      <c r="AI133" s="117" t="s">
        <v>68</v>
      </c>
      <c r="AJ133" s="117" t="s">
        <v>32</v>
      </c>
      <c r="AK133" s="117"/>
      <c r="AL133" s="117">
        <v>6285691611168</v>
      </c>
      <c r="AM133" s="117"/>
      <c r="AN133" s="117"/>
      <c r="AO133" s="117" t="s">
        <v>1237</v>
      </c>
      <c r="AP133" s="117"/>
      <c r="AQ133" s="117" t="s">
        <v>61</v>
      </c>
      <c r="AR133" s="117" t="s">
        <v>1902</v>
      </c>
      <c r="AS133" s="117" t="s">
        <v>62</v>
      </c>
      <c r="AT133" s="117" t="s">
        <v>1911</v>
      </c>
      <c r="AU133" s="117" t="b">
        <v>1</v>
      </c>
      <c r="AV133" s="117" t="b">
        <v>1</v>
      </c>
      <c r="AW133" s="117" t="s">
        <v>1232</v>
      </c>
      <c r="AX133" s="117" t="s">
        <v>1233</v>
      </c>
      <c r="AY133" s="117" t="s">
        <v>2322</v>
      </c>
      <c r="AZ133" s="117" t="s">
        <v>2323</v>
      </c>
      <c r="BA133" s="117" t="b">
        <v>1</v>
      </c>
      <c r="BB133" s="117" t="b">
        <v>1</v>
      </c>
      <c r="BC133" s="117"/>
      <c r="BD133" s="117"/>
      <c r="BE133" s="117" t="s">
        <v>2505</v>
      </c>
    </row>
    <row r="134" spans="1:57" ht="16">
      <c r="A134" s="117" t="s">
        <v>58</v>
      </c>
      <c r="B134" s="117" t="s">
        <v>59</v>
      </c>
      <c r="C134" s="117" t="s">
        <v>60</v>
      </c>
      <c r="D134" s="117" t="s">
        <v>61</v>
      </c>
      <c r="E134" s="117" t="s">
        <v>62</v>
      </c>
      <c r="F134" s="117" t="s">
        <v>1238</v>
      </c>
      <c r="G134" s="117" t="s">
        <v>1239</v>
      </c>
      <c r="H134" s="118" t="s">
        <v>1238</v>
      </c>
      <c r="I134" s="119" t="s">
        <v>1239</v>
      </c>
      <c r="J134" s="120" t="s">
        <v>2508</v>
      </c>
      <c r="K134" s="120" t="s">
        <v>2508</v>
      </c>
      <c r="L134" s="118"/>
      <c r="M134" s="119"/>
      <c r="N134" s="118"/>
      <c r="O134" s="119"/>
      <c r="P134" s="117" t="s">
        <v>28</v>
      </c>
      <c r="Q134" s="117" t="s">
        <v>45</v>
      </c>
      <c r="R134" s="117" t="b">
        <v>1</v>
      </c>
      <c r="S134" s="117" t="b">
        <v>1</v>
      </c>
      <c r="T134" s="117" t="b">
        <v>1</v>
      </c>
      <c r="U134" s="117" t="b">
        <v>0</v>
      </c>
      <c r="V134" s="117" t="b">
        <v>0</v>
      </c>
      <c r="W134" s="117" t="b">
        <v>1</v>
      </c>
      <c r="X134" s="117" t="b">
        <v>1</v>
      </c>
      <c r="Y134" s="117" t="b">
        <v>0</v>
      </c>
      <c r="Z134" s="117" t="b">
        <v>0</v>
      </c>
      <c r="AA134" s="117"/>
      <c r="AB134" s="117" t="s">
        <v>1240</v>
      </c>
      <c r="AC134" s="117"/>
      <c r="AD134" s="117"/>
      <c r="AE134" s="117"/>
      <c r="AF134" s="117"/>
      <c r="AG134" s="117" t="s">
        <v>1241</v>
      </c>
      <c r="AH134" s="117">
        <v>3175041010920000</v>
      </c>
      <c r="AI134" s="117" t="s">
        <v>68</v>
      </c>
      <c r="AJ134" s="117" t="s">
        <v>32</v>
      </c>
      <c r="AK134" s="117"/>
      <c r="AL134" s="117">
        <v>62085711111159</v>
      </c>
      <c r="AM134" s="117"/>
      <c r="AN134" s="117"/>
      <c r="AO134" s="117" t="s">
        <v>1243</v>
      </c>
      <c r="AP134" s="117"/>
      <c r="AQ134" s="117" t="s">
        <v>61</v>
      </c>
      <c r="AR134" s="117" t="s">
        <v>1902</v>
      </c>
      <c r="AS134" s="117" t="s">
        <v>62</v>
      </c>
      <c r="AT134" s="117" t="s">
        <v>1911</v>
      </c>
      <c r="AU134" s="117" t="b">
        <v>1</v>
      </c>
      <c r="AV134" s="117" t="b">
        <v>1</v>
      </c>
      <c r="AW134" s="117" t="s">
        <v>1238</v>
      </c>
      <c r="AX134" s="117" t="s">
        <v>1239</v>
      </c>
      <c r="AY134" s="117" t="s">
        <v>2324</v>
      </c>
      <c r="AZ134" s="117" t="s">
        <v>2325</v>
      </c>
      <c r="BA134" s="117" t="b">
        <v>1</v>
      </c>
      <c r="BB134" s="117" t="b">
        <v>1</v>
      </c>
      <c r="BC134" s="117"/>
      <c r="BD134" s="117"/>
      <c r="BE134" s="117" t="s">
        <v>2505</v>
      </c>
    </row>
    <row r="135" spans="1:57" ht="16">
      <c r="A135" s="117" t="s">
        <v>58</v>
      </c>
      <c r="B135" s="117" t="s">
        <v>1216</v>
      </c>
      <c r="C135" s="117" t="s">
        <v>1217</v>
      </c>
      <c r="D135" s="117" t="s">
        <v>1218</v>
      </c>
      <c r="E135" s="117" t="s">
        <v>1219</v>
      </c>
      <c r="F135" s="117" t="s">
        <v>1828</v>
      </c>
      <c r="G135" s="117" t="s">
        <v>1827</v>
      </c>
      <c r="H135" s="118" t="s">
        <v>1828</v>
      </c>
      <c r="I135" s="119" t="s">
        <v>1827</v>
      </c>
      <c r="J135" s="120" t="s">
        <v>2508</v>
      </c>
      <c r="K135" s="120" t="s">
        <v>2508</v>
      </c>
      <c r="L135" s="118"/>
      <c r="M135" s="119"/>
      <c r="N135" s="118"/>
      <c r="O135" s="119"/>
      <c r="P135" s="117" t="s">
        <v>28</v>
      </c>
      <c r="Q135" s="117" t="s">
        <v>45</v>
      </c>
      <c r="R135" s="117" t="b">
        <v>1</v>
      </c>
      <c r="S135" s="117" t="b">
        <v>1</v>
      </c>
      <c r="T135" s="117" t="b">
        <v>1</v>
      </c>
      <c r="U135" s="117" t="b">
        <v>0</v>
      </c>
      <c r="V135" s="117" t="b">
        <v>0</v>
      </c>
      <c r="W135" s="117" t="b">
        <v>1</v>
      </c>
      <c r="X135" s="117" t="b">
        <v>1</v>
      </c>
      <c r="Y135" s="117" t="b">
        <v>0</v>
      </c>
      <c r="Z135" s="117" t="b">
        <v>0</v>
      </c>
      <c r="AA135" s="117"/>
      <c r="AB135" s="117" t="s">
        <v>1829</v>
      </c>
      <c r="AC135" s="117"/>
      <c r="AD135" s="117"/>
      <c r="AE135" s="117"/>
      <c r="AF135" s="117"/>
      <c r="AG135" s="117" t="s">
        <v>1830</v>
      </c>
      <c r="AH135" s="117">
        <v>3275020110880000</v>
      </c>
      <c r="AI135" s="117" t="s">
        <v>68</v>
      </c>
      <c r="AJ135" s="117" t="s">
        <v>32</v>
      </c>
      <c r="AK135" s="117"/>
      <c r="AL135" s="117">
        <v>6289602778006</v>
      </c>
      <c r="AM135" s="117"/>
      <c r="AN135" s="117"/>
      <c r="AO135" s="117" t="s">
        <v>1832</v>
      </c>
      <c r="AP135" s="117"/>
      <c r="AQ135" s="117" t="s">
        <v>1218</v>
      </c>
      <c r="AR135" s="117" t="s">
        <v>1910</v>
      </c>
      <c r="AS135" s="117" t="s">
        <v>1219</v>
      </c>
      <c r="AT135" s="117" t="s">
        <v>1936</v>
      </c>
      <c r="AU135" s="117" t="b">
        <v>1</v>
      </c>
      <c r="AV135" s="117" t="b">
        <v>1</v>
      </c>
      <c r="AW135" s="117" t="s">
        <v>1828</v>
      </c>
      <c r="AX135" s="117" t="s">
        <v>1827</v>
      </c>
      <c r="AY135" s="117" t="s">
        <v>2482</v>
      </c>
      <c r="AZ135" s="117" t="s">
        <v>2483</v>
      </c>
      <c r="BA135" s="117" t="b">
        <v>1</v>
      </c>
      <c r="BB135" s="117" t="b">
        <v>1</v>
      </c>
      <c r="BC135" s="117"/>
      <c r="BD135" s="117"/>
      <c r="BE135" s="117">
        <v>0</v>
      </c>
    </row>
    <row r="136" spans="1:57" ht="16">
      <c r="A136" s="117" t="s">
        <v>58</v>
      </c>
      <c r="B136" s="117" t="s">
        <v>1216</v>
      </c>
      <c r="C136" s="117" t="s">
        <v>1217</v>
      </c>
      <c r="D136" s="117" t="s">
        <v>1218</v>
      </c>
      <c r="E136" s="117" t="s">
        <v>1219</v>
      </c>
      <c r="F136" s="117" t="s">
        <v>1840</v>
      </c>
      <c r="G136" s="117" t="s">
        <v>1839</v>
      </c>
      <c r="H136" s="118" t="s">
        <v>1840</v>
      </c>
      <c r="I136" s="119" t="s">
        <v>1839</v>
      </c>
      <c r="J136" s="120" t="s">
        <v>2508</v>
      </c>
      <c r="K136" s="120" t="s">
        <v>2508</v>
      </c>
      <c r="L136" s="118"/>
      <c r="M136" s="119"/>
      <c r="N136" s="118"/>
      <c r="O136" s="119"/>
      <c r="P136" s="117" t="s">
        <v>28</v>
      </c>
      <c r="Q136" s="117" t="s">
        <v>45</v>
      </c>
      <c r="R136" s="117" t="b">
        <v>1</v>
      </c>
      <c r="S136" s="117" t="b">
        <v>1</v>
      </c>
      <c r="T136" s="117" t="b">
        <v>1</v>
      </c>
      <c r="U136" s="117" t="b">
        <v>0</v>
      </c>
      <c r="V136" s="117" t="b">
        <v>0</v>
      </c>
      <c r="W136" s="117" t="b">
        <v>1</v>
      </c>
      <c r="X136" s="117" t="b">
        <v>1</v>
      </c>
      <c r="Y136" s="117" t="b">
        <v>0</v>
      </c>
      <c r="Z136" s="117" t="b">
        <v>0</v>
      </c>
      <c r="AA136" s="117"/>
      <c r="AB136" s="117" t="s">
        <v>1841</v>
      </c>
      <c r="AC136" s="117"/>
      <c r="AD136" s="117"/>
      <c r="AE136" s="117"/>
      <c r="AF136" s="117"/>
      <c r="AG136" s="117" t="s">
        <v>1842</v>
      </c>
      <c r="AH136" s="117">
        <v>3216061605000030</v>
      </c>
      <c r="AI136" s="117" t="s">
        <v>68</v>
      </c>
      <c r="AJ136" s="117" t="s">
        <v>32</v>
      </c>
      <c r="AK136" s="117"/>
      <c r="AL136" s="117">
        <v>6289602778008</v>
      </c>
      <c r="AM136" s="117"/>
      <c r="AN136" s="117"/>
      <c r="AO136" s="117" t="s">
        <v>1844</v>
      </c>
      <c r="AP136" s="117"/>
      <c r="AQ136" s="117" t="s">
        <v>1218</v>
      </c>
      <c r="AR136" s="117" t="s">
        <v>1910</v>
      </c>
      <c r="AS136" s="117" t="s">
        <v>1219</v>
      </c>
      <c r="AT136" s="117" t="s">
        <v>1936</v>
      </c>
      <c r="AU136" s="117" t="b">
        <v>1</v>
      </c>
      <c r="AV136" s="117" t="b">
        <v>1</v>
      </c>
      <c r="AW136" s="117" t="s">
        <v>1840</v>
      </c>
      <c r="AX136" s="117" t="s">
        <v>1839</v>
      </c>
      <c r="AY136" s="117" t="s">
        <v>2486</v>
      </c>
      <c r="AZ136" s="117" t="s">
        <v>2487</v>
      </c>
      <c r="BA136" s="117" t="b">
        <v>1</v>
      </c>
      <c r="BB136" s="117" t="b">
        <v>1</v>
      </c>
      <c r="BC136" s="117"/>
      <c r="BD136" s="117"/>
      <c r="BE136" s="117">
        <v>0</v>
      </c>
    </row>
    <row r="137" spans="1:57" ht="16">
      <c r="A137" s="117" t="s">
        <v>58</v>
      </c>
      <c r="B137" s="117" t="s">
        <v>1216</v>
      </c>
      <c r="C137" s="117" t="s">
        <v>1217</v>
      </c>
      <c r="D137" s="117" t="s">
        <v>1218</v>
      </c>
      <c r="E137" s="117" t="s">
        <v>1219</v>
      </c>
      <c r="F137" s="117" t="s">
        <v>1846</v>
      </c>
      <c r="G137" s="117" t="s">
        <v>1845</v>
      </c>
      <c r="H137" s="118" t="s">
        <v>1846</v>
      </c>
      <c r="I137" s="119" t="s">
        <v>1845</v>
      </c>
      <c r="J137" s="120" t="s">
        <v>2508</v>
      </c>
      <c r="K137" s="120" t="s">
        <v>2508</v>
      </c>
      <c r="L137" s="118"/>
      <c r="M137" s="119"/>
      <c r="N137" s="118"/>
      <c r="O137" s="119"/>
      <c r="P137" s="117" t="s">
        <v>28</v>
      </c>
      <c r="Q137" s="117" t="s">
        <v>45</v>
      </c>
      <c r="R137" s="117" t="b">
        <v>1</v>
      </c>
      <c r="S137" s="117" t="b">
        <v>1</v>
      </c>
      <c r="T137" s="117" t="b">
        <v>1</v>
      </c>
      <c r="U137" s="117" t="b">
        <v>0</v>
      </c>
      <c r="V137" s="117" t="b">
        <v>0</v>
      </c>
      <c r="W137" s="117" t="b">
        <v>1</v>
      </c>
      <c r="X137" s="117" t="b">
        <v>1</v>
      </c>
      <c r="Y137" s="117" t="b">
        <v>0</v>
      </c>
      <c r="Z137" s="117" t="b">
        <v>0</v>
      </c>
      <c r="AA137" s="117"/>
      <c r="AB137" s="117" t="s">
        <v>1847</v>
      </c>
      <c r="AC137" s="117"/>
      <c r="AD137" s="117"/>
      <c r="AE137" s="117"/>
      <c r="AF137" s="117"/>
      <c r="AG137" s="117" t="s">
        <v>1848</v>
      </c>
      <c r="AH137" s="117">
        <v>3175013112860000</v>
      </c>
      <c r="AI137" s="117" t="s">
        <v>68</v>
      </c>
      <c r="AJ137" s="117" t="s">
        <v>32</v>
      </c>
      <c r="AK137" s="117"/>
      <c r="AL137" s="117">
        <v>6289602778009</v>
      </c>
      <c r="AM137" s="117"/>
      <c r="AN137" s="117"/>
      <c r="AO137" s="117" t="s">
        <v>1850</v>
      </c>
      <c r="AP137" s="117"/>
      <c r="AQ137" s="117" t="s">
        <v>1218</v>
      </c>
      <c r="AR137" s="117" t="s">
        <v>1910</v>
      </c>
      <c r="AS137" s="117" t="s">
        <v>1219</v>
      </c>
      <c r="AT137" s="117" t="s">
        <v>1936</v>
      </c>
      <c r="AU137" s="117" t="b">
        <v>1</v>
      </c>
      <c r="AV137" s="117" t="b">
        <v>1</v>
      </c>
      <c r="AW137" s="117" t="s">
        <v>1846</v>
      </c>
      <c r="AX137" s="117" t="s">
        <v>1845</v>
      </c>
      <c r="AY137" s="117" t="s">
        <v>2488</v>
      </c>
      <c r="AZ137" s="117" t="s">
        <v>2489</v>
      </c>
      <c r="BA137" s="117" t="b">
        <v>1</v>
      </c>
      <c r="BB137" s="117" t="b">
        <v>1</v>
      </c>
      <c r="BC137" s="117"/>
      <c r="BD137" s="117"/>
      <c r="BE137" s="117">
        <v>0</v>
      </c>
    </row>
    <row r="138" spans="1:57" ht="16">
      <c r="A138" s="117" t="s">
        <v>58</v>
      </c>
      <c r="B138" s="117" t="s">
        <v>1216</v>
      </c>
      <c r="C138" s="117" t="s">
        <v>1217</v>
      </c>
      <c r="D138" s="117" t="s">
        <v>1218</v>
      </c>
      <c r="E138" s="117" t="s">
        <v>1219</v>
      </c>
      <c r="F138" s="117" t="s">
        <v>1852</v>
      </c>
      <c r="G138" s="117" t="s">
        <v>1851</v>
      </c>
      <c r="H138" s="118" t="s">
        <v>1852</v>
      </c>
      <c r="I138" s="119" t="s">
        <v>1851</v>
      </c>
      <c r="J138" s="120" t="s">
        <v>2508</v>
      </c>
      <c r="K138" s="120" t="s">
        <v>2508</v>
      </c>
      <c r="L138" s="118"/>
      <c r="M138" s="119"/>
      <c r="N138" s="118"/>
      <c r="O138" s="119"/>
      <c r="P138" s="117" t="s">
        <v>28</v>
      </c>
      <c r="Q138" s="117" t="s">
        <v>45</v>
      </c>
      <c r="R138" s="117" t="b">
        <v>1</v>
      </c>
      <c r="S138" s="117" t="b">
        <v>1</v>
      </c>
      <c r="T138" s="117" t="b">
        <v>1</v>
      </c>
      <c r="U138" s="117" t="b">
        <v>0</v>
      </c>
      <c r="V138" s="117" t="b">
        <v>0</v>
      </c>
      <c r="W138" s="117" t="b">
        <v>1</v>
      </c>
      <c r="X138" s="117" t="b">
        <v>1</v>
      </c>
      <c r="Y138" s="117" t="b">
        <v>0</v>
      </c>
      <c r="Z138" s="117" t="b">
        <v>0</v>
      </c>
      <c r="AA138" s="117"/>
      <c r="AB138" s="117" t="s">
        <v>1436</v>
      </c>
      <c r="AC138" s="117"/>
      <c r="AD138" s="117"/>
      <c r="AE138" s="117"/>
      <c r="AF138" s="117"/>
      <c r="AG138" s="117" t="s">
        <v>1853</v>
      </c>
      <c r="AH138" s="117">
        <v>3175021911880000</v>
      </c>
      <c r="AI138" s="117" t="s">
        <v>68</v>
      </c>
      <c r="AJ138" s="117" t="s">
        <v>32</v>
      </c>
      <c r="AK138" s="117"/>
      <c r="AL138" s="117">
        <v>6289602778011</v>
      </c>
      <c r="AM138" s="117"/>
      <c r="AN138" s="117"/>
      <c r="AO138" s="117" t="s">
        <v>1855</v>
      </c>
      <c r="AP138" s="117"/>
      <c r="AQ138" s="117" t="s">
        <v>1218</v>
      </c>
      <c r="AR138" s="117" t="s">
        <v>1910</v>
      </c>
      <c r="AS138" s="117" t="s">
        <v>1219</v>
      </c>
      <c r="AT138" s="117" t="s">
        <v>1936</v>
      </c>
      <c r="AU138" s="117" t="b">
        <v>1</v>
      </c>
      <c r="AV138" s="117" t="b">
        <v>1</v>
      </c>
      <c r="AW138" s="117" t="s">
        <v>1852</v>
      </c>
      <c r="AX138" s="117" t="s">
        <v>1851</v>
      </c>
      <c r="AY138" s="117" t="s">
        <v>2490</v>
      </c>
      <c r="AZ138" s="117" t="s">
        <v>2491</v>
      </c>
      <c r="BA138" s="117" t="b">
        <v>1</v>
      </c>
      <c r="BB138" s="117" t="b">
        <v>1</v>
      </c>
      <c r="BC138" s="117"/>
      <c r="BD138" s="117"/>
      <c r="BE138" s="117">
        <v>0</v>
      </c>
    </row>
    <row r="139" spans="1:57" ht="16">
      <c r="A139" s="117" t="s">
        <v>58</v>
      </c>
      <c r="B139" s="117" t="s">
        <v>1216</v>
      </c>
      <c r="C139" s="117" t="s">
        <v>1217</v>
      </c>
      <c r="D139" s="117" t="s">
        <v>1218</v>
      </c>
      <c r="E139" s="117" t="s">
        <v>1219</v>
      </c>
      <c r="F139" s="117" t="s">
        <v>1220</v>
      </c>
      <c r="G139" s="117" t="s">
        <v>1221</v>
      </c>
      <c r="H139" s="118" t="s">
        <v>1220</v>
      </c>
      <c r="I139" s="119" t="s">
        <v>1221</v>
      </c>
      <c r="J139" s="120" t="s">
        <v>2508</v>
      </c>
      <c r="K139" s="120" t="s">
        <v>2508</v>
      </c>
      <c r="L139" s="118"/>
      <c r="M139" s="119"/>
      <c r="N139" s="118"/>
      <c r="O139" s="119"/>
      <c r="P139" s="117" t="s">
        <v>28</v>
      </c>
      <c r="Q139" s="117" t="s">
        <v>45</v>
      </c>
      <c r="R139" s="117" t="b">
        <v>1</v>
      </c>
      <c r="S139" s="117" t="b">
        <v>1</v>
      </c>
      <c r="T139" s="117" t="b">
        <v>1</v>
      </c>
      <c r="U139" s="117" t="b">
        <v>0</v>
      </c>
      <c r="V139" s="117" t="b">
        <v>0</v>
      </c>
      <c r="W139" s="117" t="b">
        <v>1</v>
      </c>
      <c r="X139" s="117" t="b">
        <v>1</v>
      </c>
      <c r="Y139" s="117" t="b">
        <v>0</v>
      </c>
      <c r="Z139" s="117" t="b">
        <v>0</v>
      </c>
      <c r="AA139" s="117"/>
      <c r="AB139" s="117" t="s">
        <v>1222</v>
      </c>
      <c r="AC139" s="117"/>
      <c r="AD139" s="117"/>
      <c r="AE139" s="117"/>
      <c r="AF139" s="117"/>
      <c r="AG139" s="117" t="s">
        <v>1223</v>
      </c>
      <c r="AH139" s="117">
        <v>3276010208880010</v>
      </c>
      <c r="AI139" s="117" t="s">
        <v>68</v>
      </c>
      <c r="AJ139" s="117" t="s">
        <v>32</v>
      </c>
      <c r="AK139" s="117"/>
      <c r="AL139" s="117">
        <v>6285697352740</v>
      </c>
      <c r="AM139" s="117"/>
      <c r="AN139" s="117"/>
      <c r="AO139" s="117" t="s">
        <v>1225</v>
      </c>
      <c r="AP139" s="117"/>
      <c r="AQ139" s="117" t="s">
        <v>1218</v>
      </c>
      <c r="AR139" s="117" t="s">
        <v>1910</v>
      </c>
      <c r="AS139" s="117" t="s">
        <v>1219</v>
      </c>
      <c r="AT139" s="117" t="s">
        <v>1936</v>
      </c>
      <c r="AU139" s="117" t="b">
        <v>1</v>
      </c>
      <c r="AV139" s="117" t="b">
        <v>1</v>
      </c>
      <c r="AW139" s="117" t="s">
        <v>1220</v>
      </c>
      <c r="AX139" s="117" t="s">
        <v>1221</v>
      </c>
      <c r="AY139" s="117" t="s">
        <v>2318</v>
      </c>
      <c r="AZ139" s="117" t="s">
        <v>2319</v>
      </c>
      <c r="BA139" s="117" t="b">
        <v>1</v>
      </c>
      <c r="BB139" s="117" t="b">
        <v>1</v>
      </c>
      <c r="BC139" s="117"/>
      <c r="BD139" s="117"/>
      <c r="BE139" s="117" t="s">
        <v>2505</v>
      </c>
    </row>
    <row r="140" spans="1:57" ht="16">
      <c r="A140" s="117" t="s">
        <v>58</v>
      </c>
      <c r="B140" s="117" t="s">
        <v>1216</v>
      </c>
      <c r="C140" s="117" t="s">
        <v>1217</v>
      </c>
      <c r="D140" s="117" t="s">
        <v>1218</v>
      </c>
      <c r="E140" s="117" t="s">
        <v>1219</v>
      </c>
      <c r="F140" s="117" t="s">
        <v>1226</v>
      </c>
      <c r="G140" s="117" t="s">
        <v>1227</v>
      </c>
      <c r="H140" s="118" t="s">
        <v>1226</v>
      </c>
      <c r="I140" s="119" t="s">
        <v>1227</v>
      </c>
      <c r="J140" s="120" t="s">
        <v>2508</v>
      </c>
      <c r="K140" s="120" t="s">
        <v>2508</v>
      </c>
      <c r="L140" s="118"/>
      <c r="M140" s="119"/>
      <c r="N140" s="118"/>
      <c r="O140" s="119"/>
      <c r="P140" s="117" t="s">
        <v>28</v>
      </c>
      <c r="Q140" s="117" t="s">
        <v>45</v>
      </c>
      <c r="R140" s="117" t="b">
        <v>1</v>
      </c>
      <c r="S140" s="117" t="b">
        <v>1</v>
      </c>
      <c r="T140" s="117" t="b">
        <v>1</v>
      </c>
      <c r="U140" s="117" t="b">
        <v>0</v>
      </c>
      <c r="V140" s="117" t="b">
        <v>0</v>
      </c>
      <c r="W140" s="117" t="b">
        <v>1</v>
      </c>
      <c r="X140" s="117" t="b">
        <v>1</v>
      </c>
      <c r="Y140" s="117" t="b">
        <v>0</v>
      </c>
      <c r="Z140" s="117" t="b">
        <v>0</v>
      </c>
      <c r="AA140" s="117"/>
      <c r="AB140" s="117" t="s">
        <v>1228</v>
      </c>
      <c r="AC140" s="117"/>
      <c r="AD140" s="117"/>
      <c r="AE140" s="117"/>
      <c r="AF140" s="117"/>
      <c r="AG140" s="117" t="s">
        <v>1229</v>
      </c>
      <c r="AH140" s="117">
        <v>3175072908740000</v>
      </c>
      <c r="AI140" s="117" t="s">
        <v>68</v>
      </c>
      <c r="AJ140" s="117" t="s">
        <v>32</v>
      </c>
      <c r="AK140" s="117"/>
      <c r="AL140" s="117">
        <v>6285881745555</v>
      </c>
      <c r="AM140" s="117"/>
      <c r="AN140" s="117"/>
      <c r="AO140" s="117" t="s">
        <v>1231</v>
      </c>
      <c r="AP140" s="117"/>
      <c r="AQ140" s="117" t="s">
        <v>1218</v>
      </c>
      <c r="AR140" s="117" t="s">
        <v>1910</v>
      </c>
      <c r="AS140" s="117" t="s">
        <v>1219</v>
      </c>
      <c r="AT140" s="117" t="s">
        <v>1936</v>
      </c>
      <c r="AU140" s="117" t="b">
        <v>1</v>
      </c>
      <c r="AV140" s="117" t="b">
        <v>1</v>
      </c>
      <c r="AW140" s="117" t="s">
        <v>1226</v>
      </c>
      <c r="AX140" s="117" t="s">
        <v>1227</v>
      </c>
      <c r="AY140" s="117" t="s">
        <v>2320</v>
      </c>
      <c r="AZ140" s="117" t="s">
        <v>2321</v>
      </c>
      <c r="BA140" s="117" t="b">
        <v>1</v>
      </c>
      <c r="BB140" s="117" t="b">
        <v>1</v>
      </c>
      <c r="BC140" s="117"/>
      <c r="BD140" s="117"/>
      <c r="BE140" s="117" t="s">
        <v>2505</v>
      </c>
    </row>
    <row r="141" spans="1:57" ht="16">
      <c r="A141" s="117" t="s">
        <v>58</v>
      </c>
      <c r="B141" s="117" t="s">
        <v>1216</v>
      </c>
      <c r="C141" s="117" t="s">
        <v>1217</v>
      </c>
      <c r="D141" s="117" t="s">
        <v>1218</v>
      </c>
      <c r="E141" s="117" t="s">
        <v>1219</v>
      </c>
      <c r="F141" s="117" t="s">
        <v>1244</v>
      </c>
      <c r="G141" s="117" t="s">
        <v>1245</v>
      </c>
      <c r="H141" s="118" t="s">
        <v>1244</v>
      </c>
      <c r="I141" s="119" t="s">
        <v>1245</v>
      </c>
      <c r="J141" s="120" t="s">
        <v>2508</v>
      </c>
      <c r="K141" s="120" t="s">
        <v>2508</v>
      </c>
      <c r="L141" s="118"/>
      <c r="M141" s="119"/>
      <c r="N141" s="118"/>
      <c r="O141" s="119"/>
      <c r="P141" s="117" t="s">
        <v>28</v>
      </c>
      <c r="Q141" s="117" t="s">
        <v>45</v>
      </c>
      <c r="R141" s="117" t="b">
        <v>1</v>
      </c>
      <c r="S141" s="117" t="b">
        <v>1</v>
      </c>
      <c r="T141" s="117" t="b">
        <v>1</v>
      </c>
      <c r="U141" s="117" t="b">
        <v>0</v>
      </c>
      <c r="V141" s="117" t="b">
        <v>0</v>
      </c>
      <c r="W141" s="117" t="b">
        <v>1</v>
      </c>
      <c r="X141" s="117" t="b">
        <v>1</v>
      </c>
      <c r="Y141" s="117" t="b">
        <v>0</v>
      </c>
      <c r="Z141" s="117" t="b">
        <v>0</v>
      </c>
      <c r="AA141" s="117"/>
      <c r="AB141" s="117" t="s">
        <v>1246</v>
      </c>
      <c r="AC141" s="117"/>
      <c r="AD141" s="117"/>
      <c r="AE141" s="117"/>
      <c r="AF141" s="117"/>
      <c r="AG141" s="117" t="s">
        <v>1247</v>
      </c>
      <c r="AH141" s="117">
        <v>3175012102780000</v>
      </c>
      <c r="AI141" s="117" t="s">
        <v>68</v>
      </c>
      <c r="AJ141" s="117" t="s">
        <v>32</v>
      </c>
      <c r="AK141" s="117"/>
      <c r="AL141" s="117">
        <v>6285715666615</v>
      </c>
      <c r="AM141" s="117"/>
      <c r="AN141" s="117"/>
      <c r="AO141" s="117" t="s">
        <v>1249</v>
      </c>
      <c r="AP141" s="117"/>
      <c r="AQ141" s="117" t="s">
        <v>1218</v>
      </c>
      <c r="AR141" s="117" t="s">
        <v>1910</v>
      </c>
      <c r="AS141" s="117" t="s">
        <v>1219</v>
      </c>
      <c r="AT141" s="117" t="s">
        <v>1936</v>
      </c>
      <c r="AU141" s="117" t="b">
        <v>1</v>
      </c>
      <c r="AV141" s="117" t="b">
        <v>1</v>
      </c>
      <c r="AW141" s="117" t="s">
        <v>1244</v>
      </c>
      <c r="AX141" s="117" t="s">
        <v>1245</v>
      </c>
      <c r="AY141" s="117" t="s">
        <v>2326</v>
      </c>
      <c r="AZ141" s="117" t="s">
        <v>2327</v>
      </c>
      <c r="BA141" s="117" t="b">
        <v>1</v>
      </c>
      <c r="BB141" s="117" t="b">
        <v>1</v>
      </c>
      <c r="BC141" s="117"/>
      <c r="BD141" s="117"/>
      <c r="BE141" s="117">
        <v>0</v>
      </c>
    </row>
    <row r="142" spans="1:57" ht="16">
      <c r="A142" s="117" t="s">
        <v>58</v>
      </c>
      <c r="B142" s="117" t="s">
        <v>1216</v>
      </c>
      <c r="C142" s="117" t="s">
        <v>1217</v>
      </c>
      <c r="D142" s="117" t="s">
        <v>1218</v>
      </c>
      <c r="E142" s="117" t="s">
        <v>1219</v>
      </c>
      <c r="F142" s="117" t="s">
        <v>1250</v>
      </c>
      <c r="G142" s="117" t="s">
        <v>1251</v>
      </c>
      <c r="H142" s="118" t="s">
        <v>1250</v>
      </c>
      <c r="I142" s="119" t="s">
        <v>1251</v>
      </c>
      <c r="J142" s="120" t="s">
        <v>2508</v>
      </c>
      <c r="K142" s="120" t="s">
        <v>2508</v>
      </c>
      <c r="L142" s="118"/>
      <c r="M142" s="119"/>
      <c r="N142" s="118"/>
      <c r="O142" s="119"/>
      <c r="P142" s="117" t="s">
        <v>28</v>
      </c>
      <c r="Q142" s="117" t="s">
        <v>45</v>
      </c>
      <c r="R142" s="117" t="b">
        <v>1</v>
      </c>
      <c r="S142" s="117" t="b">
        <v>1</v>
      </c>
      <c r="T142" s="117" t="b">
        <v>1</v>
      </c>
      <c r="U142" s="117" t="b">
        <v>0</v>
      </c>
      <c r="V142" s="117" t="b">
        <v>0</v>
      </c>
      <c r="W142" s="117" t="b">
        <v>1</v>
      </c>
      <c r="X142" s="117" t="b">
        <v>1</v>
      </c>
      <c r="Y142" s="117" t="b">
        <v>0</v>
      </c>
      <c r="Z142" s="117" t="b">
        <v>0</v>
      </c>
      <c r="AA142" s="117"/>
      <c r="AB142" s="117" t="s">
        <v>1252</v>
      </c>
      <c r="AC142" s="117"/>
      <c r="AD142" s="117"/>
      <c r="AE142" s="117"/>
      <c r="AF142" s="117"/>
      <c r="AG142" s="117" t="s">
        <v>1253</v>
      </c>
      <c r="AH142" s="117">
        <v>3276010807910000</v>
      </c>
      <c r="AI142" s="117" t="s">
        <v>68</v>
      </c>
      <c r="AJ142" s="117" t="s">
        <v>32</v>
      </c>
      <c r="AK142" s="117"/>
      <c r="AL142" s="117">
        <v>6285777000325</v>
      </c>
      <c r="AM142" s="117"/>
      <c r="AN142" s="117"/>
      <c r="AO142" s="117" t="s">
        <v>1255</v>
      </c>
      <c r="AP142" s="117"/>
      <c r="AQ142" s="117" t="s">
        <v>1218</v>
      </c>
      <c r="AR142" s="117" t="s">
        <v>1910</v>
      </c>
      <c r="AS142" s="117" t="s">
        <v>1219</v>
      </c>
      <c r="AT142" s="117" t="s">
        <v>1936</v>
      </c>
      <c r="AU142" s="117" t="b">
        <v>1</v>
      </c>
      <c r="AV142" s="117" t="b">
        <v>1</v>
      </c>
      <c r="AW142" s="117" t="s">
        <v>1250</v>
      </c>
      <c r="AX142" s="117" t="s">
        <v>1251</v>
      </c>
      <c r="AY142" s="117" t="s">
        <v>2328</v>
      </c>
      <c r="AZ142" s="117" t="s">
        <v>2329</v>
      </c>
      <c r="BA142" s="117" t="b">
        <v>1</v>
      </c>
      <c r="BB142" s="117" t="b">
        <v>1</v>
      </c>
      <c r="BC142" s="117"/>
      <c r="BD142" s="117"/>
      <c r="BE142" s="117">
        <v>0</v>
      </c>
    </row>
    <row r="143" spans="1:57" ht="16">
      <c r="A143" s="117" t="s">
        <v>805</v>
      </c>
      <c r="B143" s="117" t="s">
        <v>1414</v>
      </c>
      <c r="C143" s="117" t="s">
        <v>1415</v>
      </c>
      <c r="D143" s="117" t="s">
        <v>1416</v>
      </c>
      <c r="E143" s="117" t="s">
        <v>1417</v>
      </c>
      <c r="F143" s="117" t="s">
        <v>1485</v>
      </c>
      <c r="G143" s="117" t="s">
        <v>1484</v>
      </c>
      <c r="H143" s="118" t="s">
        <v>1485</v>
      </c>
      <c r="I143" s="119" t="s">
        <v>1484</v>
      </c>
      <c r="J143" s="120" t="s">
        <v>2508</v>
      </c>
      <c r="K143" s="120" t="s">
        <v>2508</v>
      </c>
      <c r="L143" s="118"/>
      <c r="M143" s="119"/>
      <c r="N143" s="118"/>
      <c r="O143" s="119"/>
      <c r="P143" s="117" t="s">
        <v>88</v>
      </c>
      <c r="Q143" s="117" t="s">
        <v>45</v>
      </c>
      <c r="R143" s="117" t="b">
        <v>1</v>
      </c>
      <c r="S143" s="117" t="b">
        <v>1</v>
      </c>
      <c r="T143" s="117" t="b">
        <v>1</v>
      </c>
      <c r="U143" s="117" t="b">
        <v>0</v>
      </c>
      <c r="V143" s="117" t="b">
        <v>0</v>
      </c>
      <c r="W143" s="117" t="b">
        <v>1</v>
      </c>
      <c r="X143" s="117" t="b">
        <v>1</v>
      </c>
      <c r="Y143" s="117" t="b">
        <v>0</v>
      </c>
      <c r="Z143" s="117" t="b">
        <v>0</v>
      </c>
      <c r="AA143" s="117"/>
      <c r="AB143" s="117" t="s">
        <v>1486</v>
      </c>
      <c r="AC143" s="117"/>
      <c r="AD143" s="117" t="s">
        <v>1486</v>
      </c>
      <c r="AE143" s="117" t="s">
        <v>1486</v>
      </c>
      <c r="AF143" s="117"/>
      <c r="AG143" s="117" t="s">
        <v>1487</v>
      </c>
      <c r="AH143" s="117">
        <v>3175071411920000</v>
      </c>
      <c r="AI143" s="117" t="s">
        <v>68</v>
      </c>
      <c r="AJ143" s="117"/>
      <c r="AK143" s="117"/>
      <c r="AL143" s="117">
        <v>628985561827</v>
      </c>
      <c r="AM143" s="117"/>
      <c r="AN143" s="117"/>
      <c r="AO143" s="117" t="s">
        <v>1489</v>
      </c>
      <c r="AP143" s="117"/>
      <c r="AQ143" s="117" t="s">
        <v>1416</v>
      </c>
      <c r="AR143" s="117" t="s">
        <v>1906</v>
      </c>
      <c r="AS143" s="117" t="s">
        <v>1417</v>
      </c>
      <c r="AT143" s="117" t="s">
        <v>1937</v>
      </c>
      <c r="AU143" s="117" t="b">
        <v>1</v>
      </c>
      <c r="AV143" s="117" t="b">
        <v>1</v>
      </c>
      <c r="AW143" s="117" t="s">
        <v>1485</v>
      </c>
      <c r="AX143" s="117" t="s">
        <v>1484</v>
      </c>
      <c r="AY143" s="117" t="s">
        <v>2386</v>
      </c>
      <c r="AZ143" s="117" t="s">
        <v>2387</v>
      </c>
      <c r="BA143" s="117" t="b">
        <v>1</v>
      </c>
      <c r="BB143" s="117" t="b">
        <v>1</v>
      </c>
      <c r="BC143" s="117"/>
      <c r="BD143" s="117"/>
      <c r="BE143" s="117">
        <v>0</v>
      </c>
    </row>
    <row r="144" spans="1:57" ht="16">
      <c r="A144" s="117" t="s">
        <v>805</v>
      </c>
      <c r="B144" s="117" t="s">
        <v>1414</v>
      </c>
      <c r="C144" s="117" t="s">
        <v>1415</v>
      </c>
      <c r="D144" s="117" t="s">
        <v>1416</v>
      </c>
      <c r="E144" s="117" t="s">
        <v>1417</v>
      </c>
      <c r="F144" s="117" t="s">
        <v>1491</v>
      </c>
      <c r="G144" s="117" t="s">
        <v>1490</v>
      </c>
      <c r="H144" s="118" t="s">
        <v>1491</v>
      </c>
      <c r="I144" s="119" t="s">
        <v>1490</v>
      </c>
      <c r="J144" s="120" t="s">
        <v>2508</v>
      </c>
      <c r="K144" s="120" t="s">
        <v>2508</v>
      </c>
      <c r="L144" s="118"/>
      <c r="M144" s="119"/>
      <c r="N144" s="118"/>
      <c r="O144" s="119"/>
      <c r="P144" s="117" t="s">
        <v>88</v>
      </c>
      <c r="Q144" s="117" t="s">
        <v>45</v>
      </c>
      <c r="R144" s="117" t="b">
        <v>1</v>
      </c>
      <c r="S144" s="117" t="b">
        <v>1</v>
      </c>
      <c r="T144" s="117" t="b">
        <v>1</v>
      </c>
      <c r="U144" s="117" t="b">
        <v>0</v>
      </c>
      <c r="V144" s="117" t="b">
        <v>0</v>
      </c>
      <c r="W144" s="117" t="b">
        <v>1</v>
      </c>
      <c r="X144" s="117" t="b">
        <v>1</v>
      </c>
      <c r="Y144" s="117" t="b">
        <v>0</v>
      </c>
      <c r="Z144" s="117" t="b">
        <v>0</v>
      </c>
      <c r="AA144" s="117"/>
      <c r="AB144" s="117" t="s">
        <v>1492</v>
      </c>
      <c r="AC144" s="117"/>
      <c r="AD144" s="117" t="s">
        <v>1492</v>
      </c>
      <c r="AE144" s="117" t="s">
        <v>1492</v>
      </c>
      <c r="AF144" s="117"/>
      <c r="AG144" s="117" t="s">
        <v>1493</v>
      </c>
      <c r="AH144" s="117">
        <v>3275032004890020</v>
      </c>
      <c r="AI144" s="117" t="s">
        <v>68</v>
      </c>
      <c r="AJ144" s="117"/>
      <c r="AK144" s="117"/>
      <c r="AL144" s="117">
        <v>628985561829</v>
      </c>
      <c r="AM144" s="117"/>
      <c r="AN144" s="117"/>
      <c r="AO144" s="117" t="s">
        <v>1495</v>
      </c>
      <c r="AP144" s="117"/>
      <c r="AQ144" s="117" t="s">
        <v>1416</v>
      </c>
      <c r="AR144" s="117" t="s">
        <v>1906</v>
      </c>
      <c r="AS144" s="117" t="s">
        <v>1417</v>
      </c>
      <c r="AT144" s="117" t="s">
        <v>1937</v>
      </c>
      <c r="AU144" s="117" t="b">
        <v>1</v>
      </c>
      <c r="AV144" s="117" t="b">
        <v>1</v>
      </c>
      <c r="AW144" s="117" t="s">
        <v>1491</v>
      </c>
      <c r="AX144" s="117" t="s">
        <v>1490</v>
      </c>
      <c r="AY144" s="117" t="s">
        <v>2388</v>
      </c>
      <c r="AZ144" s="117" t="s">
        <v>2389</v>
      </c>
      <c r="BA144" s="117" t="b">
        <v>1</v>
      </c>
      <c r="BB144" s="117" t="b">
        <v>1</v>
      </c>
      <c r="BC144" s="117"/>
      <c r="BD144" s="117"/>
      <c r="BE144" s="117">
        <v>0</v>
      </c>
    </row>
    <row r="145" spans="1:57" ht="16">
      <c r="A145" s="117" t="s">
        <v>805</v>
      </c>
      <c r="B145" s="117" t="s">
        <v>1414</v>
      </c>
      <c r="C145" s="117" t="s">
        <v>1415</v>
      </c>
      <c r="D145" s="117" t="s">
        <v>1416</v>
      </c>
      <c r="E145" s="117" t="s">
        <v>1417</v>
      </c>
      <c r="F145" s="117" t="s">
        <v>1683</v>
      </c>
      <c r="G145" s="117" t="s">
        <v>1682</v>
      </c>
      <c r="H145" s="118" t="s">
        <v>1683</v>
      </c>
      <c r="I145" s="119" t="s">
        <v>1682</v>
      </c>
      <c r="J145" s="120" t="s">
        <v>2508</v>
      </c>
      <c r="K145" s="120" t="s">
        <v>2508</v>
      </c>
      <c r="L145" s="118"/>
      <c r="M145" s="119"/>
      <c r="N145" s="118"/>
      <c r="O145" s="119"/>
      <c r="P145" s="117" t="s">
        <v>88</v>
      </c>
      <c r="Q145" s="117" t="s">
        <v>44</v>
      </c>
      <c r="R145" s="117" t="b">
        <v>1</v>
      </c>
      <c r="S145" s="117" t="b">
        <v>1</v>
      </c>
      <c r="T145" s="117" t="b">
        <v>1</v>
      </c>
      <c r="U145" s="117" t="b">
        <v>0</v>
      </c>
      <c r="V145" s="117" t="b">
        <v>0</v>
      </c>
      <c r="W145" s="117" t="b">
        <v>1</v>
      </c>
      <c r="X145" s="117" t="b">
        <v>1</v>
      </c>
      <c r="Y145" s="117" t="b">
        <v>0</v>
      </c>
      <c r="Z145" s="117" t="b">
        <v>0</v>
      </c>
      <c r="AA145" s="117"/>
      <c r="AB145" s="117" t="s">
        <v>1684</v>
      </c>
      <c r="AC145" s="117"/>
      <c r="AD145" s="117" t="s">
        <v>1684</v>
      </c>
      <c r="AE145" s="117" t="s">
        <v>1684</v>
      </c>
      <c r="AF145" s="117" t="b">
        <v>0</v>
      </c>
      <c r="AG145" s="117" t="s">
        <v>1685</v>
      </c>
      <c r="AH145" s="117">
        <v>3275030412830020</v>
      </c>
      <c r="AI145" s="117" t="s">
        <v>68</v>
      </c>
      <c r="AJ145" s="117" t="s">
        <v>32</v>
      </c>
      <c r="AK145" s="121">
        <v>6289670000000</v>
      </c>
      <c r="AL145" s="117">
        <v>6289673403339</v>
      </c>
      <c r="AM145" s="117" t="s">
        <v>1687</v>
      </c>
      <c r="AN145" s="117" t="s">
        <v>35</v>
      </c>
      <c r="AO145" s="117" t="s">
        <v>1688</v>
      </c>
      <c r="AP145" s="117" t="s">
        <v>373</v>
      </c>
      <c r="AQ145" s="117" t="s">
        <v>1416</v>
      </c>
      <c r="AR145" s="117" t="s">
        <v>1906</v>
      </c>
      <c r="AS145" s="117" t="s">
        <v>1417</v>
      </c>
      <c r="AT145" s="117" t="s">
        <v>1937</v>
      </c>
      <c r="AU145" s="117" t="b">
        <v>1</v>
      </c>
      <c r="AV145" s="117" t="b">
        <v>1</v>
      </c>
      <c r="AW145" s="117" t="s">
        <v>1683</v>
      </c>
      <c r="AX145" s="117" t="s">
        <v>1682</v>
      </c>
      <c r="AY145" s="117" t="s">
        <v>2438</v>
      </c>
      <c r="AZ145" s="117" t="s">
        <v>2439</v>
      </c>
      <c r="BA145" s="117" t="b">
        <v>1</v>
      </c>
      <c r="BB145" s="117" t="b">
        <v>1</v>
      </c>
      <c r="BC145" s="117"/>
      <c r="BD145" s="117"/>
      <c r="BE145" s="117">
        <v>0</v>
      </c>
    </row>
    <row r="146" spans="1:57" ht="16">
      <c r="A146" s="117" t="s">
        <v>805</v>
      </c>
      <c r="B146" s="117" t="s">
        <v>1414</v>
      </c>
      <c r="C146" s="117" t="s">
        <v>1415</v>
      </c>
      <c r="D146" s="117" t="s">
        <v>1416</v>
      </c>
      <c r="E146" s="117" t="s">
        <v>1417</v>
      </c>
      <c r="F146" s="117" t="s">
        <v>1418</v>
      </c>
      <c r="G146" s="117" t="s">
        <v>1419</v>
      </c>
      <c r="H146" s="118" t="s">
        <v>1418</v>
      </c>
      <c r="I146" s="119" t="s">
        <v>1419</v>
      </c>
      <c r="J146" s="120" t="s">
        <v>2508</v>
      </c>
      <c r="K146" s="120" t="s">
        <v>2508</v>
      </c>
      <c r="L146" s="118"/>
      <c r="M146" s="119"/>
      <c r="N146" s="118"/>
      <c r="O146" s="119"/>
      <c r="P146" s="117" t="s">
        <v>88</v>
      </c>
      <c r="Q146" s="117" t="s">
        <v>45</v>
      </c>
      <c r="R146" s="117" t="b">
        <v>1</v>
      </c>
      <c r="S146" s="117" t="b">
        <v>1</v>
      </c>
      <c r="T146" s="117" t="b">
        <v>1</v>
      </c>
      <c r="U146" s="117" t="b">
        <v>0</v>
      </c>
      <c r="V146" s="117" t="b">
        <v>0</v>
      </c>
      <c r="W146" s="117" t="b">
        <v>1</v>
      </c>
      <c r="X146" s="117" t="b">
        <v>1</v>
      </c>
      <c r="Y146" s="117" t="b">
        <v>0</v>
      </c>
      <c r="Z146" s="117" t="b">
        <v>0</v>
      </c>
      <c r="AA146" s="117"/>
      <c r="AB146" s="117" t="s">
        <v>1420</v>
      </c>
      <c r="AC146" s="117"/>
      <c r="AD146" s="117" t="s">
        <v>1420</v>
      </c>
      <c r="AE146" s="117" t="s">
        <v>1420</v>
      </c>
      <c r="AF146" s="117"/>
      <c r="AG146" s="117" t="s">
        <v>1421</v>
      </c>
      <c r="AH146" s="117">
        <v>3175061908990000</v>
      </c>
      <c r="AI146" s="117" t="s">
        <v>68</v>
      </c>
      <c r="AJ146" s="117"/>
      <c r="AK146" s="117"/>
      <c r="AL146" s="117">
        <v>62085697241191</v>
      </c>
      <c r="AM146" s="117"/>
      <c r="AN146" s="117"/>
      <c r="AO146" s="117" t="s">
        <v>1423</v>
      </c>
      <c r="AP146" s="117"/>
      <c r="AQ146" s="117" t="s">
        <v>1416</v>
      </c>
      <c r="AR146" s="117" t="s">
        <v>1906</v>
      </c>
      <c r="AS146" s="117" t="s">
        <v>1417</v>
      </c>
      <c r="AT146" s="117" t="s">
        <v>1937</v>
      </c>
      <c r="AU146" s="117" t="b">
        <v>1</v>
      </c>
      <c r="AV146" s="117" t="b">
        <v>1</v>
      </c>
      <c r="AW146" s="117" t="s">
        <v>1418</v>
      </c>
      <c r="AX146" s="117" t="s">
        <v>1419</v>
      </c>
      <c r="AY146" s="117" t="s">
        <v>2366</v>
      </c>
      <c r="AZ146" s="117" t="s">
        <v>2367</v>
      </c>
      <c r="BA146" s="117" t="b">
        <v>1</v>
      </c>
      <c r="BB146" s="117" t="b">
        <v>1</v>
      </c>
      <c r="BC146" s="117"/>
      <c r="BD146" s="117"/>
      <c r="BE146" s="117">
        <v>0</v>
      </c>
    </row>
    <row r="147" spans="1:57" ht="16">
      <c r="A147" s="117" t="s">
        <v>805</v>
      </c>
      <c r="B147" s="117" t="s">
        <v>1414</v>
      </c>
      <c r="C147" s="117" t="s">
        <v>1415</v>
      </c>
      <c r="D147" s="117" t="s">
        <v>1416</v>
      </c>
      <c r="E147" s="117" t="s">
        <v>1417</v>
      </c>
      <c r="F147" s="117" t="s">
        <v>1424</v>
      </c>
      <c r="G147" s="117" t="s">
        <v>1425</v>
      </c>
      <c r="H147" s="118" t="s">
        <v>1424</v>
      </c>
      <c r="I147" s="119" t="s">
        <v>1425</v>
      </c>
      <c r="J147" s="120" t="s">
        <v>2508</v>
      </c>
      <c r="K147" s="120" t="s">
        <v>2508</v>
      </c>
      <c r="L147" s="118"/>
      <c r="M147" s="119"/>
      <c r="N147" s="118"/>
      <c r="O147" s="119"/>
      <c r="P147" s="117" t="s">
        <v>88</v>
      </c>
      <c r="Q147" s="117" t="s">
        <v>45</v>
      </c>
      <c r="R147" s="117" t="b">
        <v>1</v>
      </c>
      <c r="S147" s="117" t="b">
        <v>1</v>
      </c>
      <c r="T147" s="117" t="b">
        <v>1</v>
      </c>
      <c r="U147" s="117" t="b">
        <v>0</v>
      </c>
      <c r="V147" s="117" t="b">
        <v>0</v>
      </c>
      <c r="W147" s="117" t="b">
        <v>1</v>
      </c>
      <c r="X147" s="117" t="b">
        <v>1</v>
      </c>
      <c r="Y147" s="117" t="b">
        <v>0</v>
      </c>
      <c r="Z147" s="117" t="b">
        <v>0</v>
      </c>
      <c r="AA147" s="117"/>
      <c r="AB147" s="117" t="s">
        <v>1426</v>
      </c>
      <c r="AC147" s="117"/>
      <c r="AD147" s="117" t="s">
        <v>1426</v>
      </c>
      <c r="AE147" s="117" t="s">
        <v>1426</v>
      </c>
      <c r="AF147" s="117"/>
      <c r="AG147" s="117" t="s">
        <v>1427</v>
      </c>
      <c r="AH147" s="117">
        <v>1771060201910000</v>
      </c>
      <c r="AI147" s="117" t="s">
        <v>68</v>
      </c>
      <c r="AJ147" s="117"/>
      <c r="AK147" s="117"/>
      <c r="AL147" s="117">
        <v>6285770154721</v>
      </c>
      <c r="AM147" s="117"/>
      <c r="AN147" s="117"/>
      <c r="AO147" s="117" t="s">
        <v>1429</v>
      </c>
      <c r="AP147" s="117"/>
      <c r="AQ147" s="117" t="s">
        <v>1416</v>
      </c>
      <c r="AR147" s="117" t="s">
        <v>1906</v>
      </c>
      <c r="AS147" s="117" t="s">
        <v>1417</v>
      </c>
      <c r="AT147" s="117" t="s">
        <v>1937</v>
      </c>
      <c r="AU147" s="117" t="b">
        <v>1</v>
      </c>
      <c r="AV147" s="117" t="b">
        <v>1</v>
      </c>
      <c r="AW147" s="117" t="s">
        <v>1424</v>
      </c>
      <c r="AX147" s="117" t="s">
        <v>1425</v>
      </c>
      <c r="AY147" s="117" t="s">
        <v>2368</v>
      </c>
      <c r="AZ147" s="117" t="s">
        <v>2369</v>
      </c>
      <c r="BA147" s="117" t="b">
        <v>1</v>
      </c>
      <c r="BB147" s="117" t="b">
        <v>1</v>
      </c>
      <c r="BC147" s="117"/>
      <c r="BD147" s="117"/>
      <c r="BE147" s="117">
        <v>0</v>
      </c>
    </row>
    <row r="148" spans="1:57" ht="16">
      <c r="A148" s="117" t="s">
        <v>805</v>
      </c>
      <c r="B148" s="117" t="s">
        <v>1414</v>
      </c>
      <c r="C148" s="117" t="s">
        <v>1415</v>
      </c>
      <c r="D148" s="117" t="s">
        <v>1416</v>
      </c>
      <c r="E148" s="117" t="s">
        <v>1417</v>
      </c>
      <c r="F148" s="117" t="s">
        <v>1430</v>
      </c>
      <c r="G148" s="117" t="s">
        <v>1431</v>
      </c>
      <c r="H148" s="118" t="s">
        <v>1430</v>
      </c>
      <c r="I148" s="119" t="s">
        <v>1431</v>
      </c>
      <c r="J148" s="120" t="s">
        <v>2508</v>
      </c>
      <c r="K148" s="120" t="s">
        <v>2508</v>
      </c>
      <c r="L148" s="118"/>
      <c r="M148" s="119"/>
      <c r="N148" s="118"/>
      <c r="O148" s="119"/>
      <c r="P148" s="117" t="s">
        <v>88</v>
      </c>
      <c r="Q148" s="117" t="s">
        <v>45</v>
      </c>
      <c r="R148" s="117" t="b">
        <v>1</v>
      </c>
      <c r="S148" s="117" t="b">
        <v>1</v>
      </c>
      <c r="T148" s="117" t="b">
        <v>1</v>
      </c>
      <c r="U148" s="117" t="b">
        <v>0</v>
      </c>
      <c r="V148" s="117" t="b">
        <v>0</v>
      </c>
      <c r="W148" s="117" t="b">
        <v>1</v>
      </c>
      <c r="X148" s="117" t="b">
        <v>1</v>
      </c>
      <c r="Y148" s="117" t="b">
        <v>0</v>
      </c>
      <c r="Z148" s="117" t="b">
        <v>0</v>
      </c>
      <c r="AA148" s="117"/>
      <c r="AB148" s="117" t="s">
        <v>1432</v>
      </c>
      <c r="AC148" s="117"/>
      <c r="AD148" s="117" t="s">
        <v>1432</v>
      </c>
      <c r="AE148" s="117" t="s">
        <v>1432</v>
      </c>
      <c r="AF148" s="117"/>
      <c r="AG148" s="117" t="s">
        <v>1433</v>
      </c>
      <c r="AH148" s="117">
        <v>3216021608910000</v>
      </c>
      <c r="AI148" s="117" t="s">
        <v>68</v>
      </c>
      <c r="AJ148" s="117"/>
      <c r="AK148" s="117"/>
      <c r="AL148" s="117">
        <v>6208567160016</v>
      </c>
      <c r="AM148" s="117"/>
      <c r="AN148" s="117"/>
      <c r="AO148" s="117" t="s">
        <v>1435</v>
      </c>
      <c r="AP148" s="117"/>
      <c r="AQ148" s="117" t="s">
        <v>1416</v>
      </c>
      <c r="AR148" s="117" t="s">
        <v>1906</v>
      </c>
      <c r="AS148" s="117" t="s">
        <v>1417</v>
      </c>
      <c r="AT148" s="117" t="s">
        <v>1937</v>
      </c>
      <c r="AU148" s="117" t="b">
        <v>1</v>
      </c>
      <c r="AV148" s="117" t="b">
        <v>1</v>
      </c>
      <c r="AW148" s="117" t="s">
        <v>1430</v>
      </c>
      <c r="AX148" s="117" t="s">
        <v>1431</v>
      </c>
      <c r="AY148" s="117" t="s">
        <v>2370</v>
      </c>
      <c r="AZ148" s="117" t="s">
        <v>2371</v>
      </c>
      <c r="BA148" s="117" t="b">
        <v>1</v>
      </c>
      <c r="BB148" s="117" t="b">
        <v>1</v>
      </c>
      <c r="BC148" s="117"/>
      <c r="BD148" s="117"/>
      <c r="BE148" s="117">
        <v>0</v>
      </c>
    </row>
    <row r="149" spans="1:57" ht="16">
      <c r="A149" s="117" t="s">
        <v>805</v>
      </c>
      <c r="B149" s="117" t="s">
        <v>838</v>
      </c>
      <c r="C149" s="117" t="s">
        <v>839</v>
      </c>
      <c r="D149" s="117" t="s">
        <v>840</v>
      </c>
      <c r="E149" s="117" t="s">
        <v>841</v>
      </c>
      <c r="F149" s="117" t="s">
        <v>842</v>
      </c>
      <c r="G149" s="117" t="s">
        <v>843</v>
      </c>
      <c r="H149" s="118" t="s">
        <v>2571</v>
      </c>
      <c r="I149" s="119" t="s">
        <v>2594</v>
      </c>
      <c r="J149" s="120" t="s">
        <v>2508</v>
      </c>
      <c r="K149" s="120" t="s">
        <v>2508</v>
      </c>
      <c r="L149" s="118"/>
      <c r="M149" s="119"/>
      <c r="N149" s="118"/>
      <c r="O149" s="119"/>
      <c r="P149" s="117" t="s">
        <v>88</v>
      </c>
      <c r="Q149" s="117" t="s">
        <v>44</v>
      </c>
      <c r="R149" s="117" t="b">
        <v>1</v>
      </c>
      <c r="S149" s="117" t="b">
        <v>1</v>
      </c>
      <c r="T149" s="117" t="b">
        <v>1</v>
      </c>
      <c r="U149" s="117" t="b">
        <v>0</v>
      </c>
      <c r="V149" s="117" t="b">
        <v>0</v>
      </c>
      <c r="W149" s="117" t="b">
        <v>1</v>
      </c>
      <c r="X149" s="117" t="b">
        <v>1</v>
      </c>
      <c r="Y149" s="117" t="b">
        <v>0</v>
      </c>
      <c r="Z149" s="117" t="b">
        <v>0</v>
      </c>
      <c r="AA149" s="117"/>
      <c r="AB149" s="117" t="s">
        <v>844</v>
      </c>
      <c r="AC149" s="117"/>
      <c r="AD149" s="117" t="s">
        <v>844</v>
      </c>
      <c r="AE149" s="117" t="s">
        <v>845</v>
      </c>
      <c r="AF149" s="117" t="b">
        <v>0</v>
      </c>
      <c r="AG149" s="117" t="s">
        <v>846</v>
      </c>
      <c r="AH149" s="117">
        <v>3216152701030000</v>
      </c>
      <c r="AI149" s="117" t="s">
        <v>68</v>
      </c>
      <c r="AJ149" s="117" t="s">
        <v>816</v>
      </c>
      <c r="AK149" s="117">
        <v>6285882632792</v>
      </c>
      <c r="AL149" s="117">
        <v>6285882632792</v>
      </c>
      <c r="AM149" s="117" t="s">
        <v>849</v>
      </c>
      <c r="AN149" s="117"/>
      <c r="AO149" s="117" t="s">
        <v>850</v>
      </c>
      <c r="AP149" s="117" t="s">
        <v>373</v>
      </c>
      <c r="AQ149" s="117" t="s">
        <v>840</v>
      </c>
      <c r="AR149" s="117" t="s">
        <v>1908</v>
      </c>
      <c r="AS149" s="117" t="s">
        <v>841</v>
      </c>
      <c r="AT149" s="117" t="s">
        <v>1931</v>
      </c>
      <c r="AU149" s="117" t="b">
        <v>1</v>
      </c>
      <c r="AV149" s="117" t="b">
        <v>1</v>
      </c>
      <c r="AW149" s="117" t="s">
        <v>842</v>
      </c>
      <c r="AX149" s="117" t="s">
        <v>843</v>
      </c>
      <c r="AY149" s="117" t="s">
        <v>2206</v>
      </c>
      <c r="AZ149" s="117" t="s">
        <v>2207</v>
      </c>
      <c r="BA149" s="117" t="b">
        <v>1</v>
      </c>
      <c r="BB149" s="117" t="b">
        <v>1</v>
      </c>
      <c r="BC149" s="117"/>
      <c r="BD149" s="117"/>
      <c r="BE149" s="117" t="s">
        <v>2505</v>
      </c>
    </row>
    <row r="150" spans="1:57" ht="16">
      <c r="A150" s="117" t="s">
        <v>805</v>
      </c>
      <c r="B150" s="117" t="s">
        <v>838</v>
      </c>
      <c r="C150" s="117" t="s">
        <v>839</v>
      </c>
      <c r="D150" s="117" t="s">
        <v>840</v>
      </c>
      <c r="E150" s="117" t="s">
        <v>841</v>
      </c>
      <c r="F150" s="117" t="s">
        <v>1082</v>
      </c>
      <c r="G150" s="117" t="s">
        <v>1083</v>
      </c>
      <c r="H150" s="118" t="s">
        <v>1082</v>
      </c>
      <c r="I150" s="119" t="s">
        <v>1083</v>
      </c>
      <c r="J150" s="120" t="s">
        <v>2508</v>
      </c>
      <c r="K150" s="120" t="s">
        <v>2508</v>
      </c>
      <c r="L150" s="118"/>
      <c r="M150" s="119"/>
      <c r="N150" s="118"/>
      <c r="O150" s="119"/>
      <c r="P150" s="117" t="s">
        <v>88</v>
      </c>
      <c r="Q150" s="117" t="s">
        <v>45</v>
      </c>
      <c r="R150" s="117" t="b">
        <v>1</v>
      </c>
      <c r="S150" s="117" t="b">
        <v>1</v>
      </c>
      <c r="T150" s="117" t="b">
        <v>1</v>
      </c>
      <c r="U150" s="117" t="b">
        <v>0</v>
      </c>
      <c r="V150" s="117" t="b">
        <v>0</v>
      </c>
      <c r="W150" s="117" t="b">
        <v>1</v>
      </c>
      <c r="X150" s="117" t="b">
        <v>1</v>
      </c>
      <c r="Y150" s="117" t="b">
        <v>0</v>
      </c>
      <c r="Z150" s="117" t="b">
        <v>0</v>
      </c>
      <c r="AA150" s="117"/>
      <c r="AB150" s="117" t="s">
        <v>1084</v>
      </c>
      <c r="AC150" s="117"/>
      <c r="AD150" s="117" t="s">
        <v>1084</v>
      </c>
      <c r="AE150" s="117" t="s">
        <v>1084</v>
      </c>
      <c r="AF150" s="117"/>
      <c r="AG150" s="117">
        <v>0</v>
      </c>
      <c r="AH150" s="117">
        <v>3216092101890000</v>
      </c>
      <c r="AI150" s="117" t="s">
        <v>68</v>
      </c>
      <c r="AJ150" s="117"/>
      <c r="AK150" s="117"/>
      <c r="AL150" s="117">
        <v>6285813087817</v>
      </c>
      <c r="AM150" s="117"/>
      <c r="AN150" s="117"/>
      <c r="AO150" s="117" t="s">
        <v>1086</v>
      </c>
      <c r="AP150" s="117"/>
      <c r="AQ150" s="117" t="s">
        <v>840</v>
      </c>
      <c r="AR150" s="117" t="s">
        <v>1908</v>
      </c>
      <c r="AS150" s="117" t="s">
        <v>841</v>
      </c>
      <c r="AT150" s="117" t="s">
        <v>1931</v>
      </c>
      <c r="AU150" s="117" t="b">
        <v>1</v>
      </c>
      <c r="AV150" s="117" t="b">
        <v>1</v>
      </c>
      <c r="AW150" s="117" t="s">
        <v>1082</v>
      </c>
      <c r="AX150" s="117" t="s">
        <v>1083</v>
      </c>
      <c r="AY150" s="117" t="s">
        <v>2274</v>
      </c>
      <c r="AZ150" s="117" t="s">
        <v>2275</v>
      </c>
      <c r="BA150" s="117" t="b">
        <v>1</v>
      </c>
      <c r="BB150" s="117" t="b">
        <v>1</v>
      </c>
      <c r="BC150" s="117"/>
      <c r="BD150" s="117"/>
      <c r="BE150" s="117" t="s">
        <v>2505</v>
      </c>
    </row>
    <row r="151" spans="1:57" ht="16">
      <c r="A151" s="117" t="s">
        <v>805</v>
      </c>
      <c r="B151" s="117" t="s">
        <v>838</v>
      </c>
      <c r="C151" s="117" t="s">
        <v>839</v>
      </c>
      <c r="D151" s="117" t="s">
        <v>840</v>
      </c>
      <c r="E151" s="117" t="s">
        <v>841</v>
      </c>
      <c r="F151" s="117" t="s">
        <v>1092</v>
      </c>
      <c r="G151" s="117" t="s">
        <v>1093</v>
      </c>
      <c r="H151" s="118" t="s">
        <v>2572</v>
      </c>
      <c r="I151" s="119" t="s">
        <v>2595</v>
      </c>
      <c r="J151" s="120" t="s">
        <v>2508</v>
      </c>
      <c r="K151" s="120" t="s">
        <v>2508</v>
      </c>
      <c r="L151" s="118"/>
      <c r="M151" s="119"/>
      <c r="N151" s="118"/>
      <c r="O151" s="119"/>
      <c r="P151" s="117" t="s">
        <v>88</v>
      </c>
      <c r="Q151" s="117" t="s">
        <v>45</v>
      </c>
      <c r="R151" s="117" t="b">
        <v>1</v>
      </c>
      <c r="S151" s="117" t="b">
        <v>1</v>
      </c>
      <c r="T151" s="117" t="b">
        <v>1</v>
      </c>
      <c r="U151" s="117" t="b">
        <v>0</v>
      </c>
      <c r="V151" s="117" t="b">
        <v>0</v>
      </c>
      <c r="W151" s="117" t="b">
        <v>1</v>
      </c>
      <c r="X151" s="117" t="b">
        <v>1</v>
      </c>
      <c r="Y151" s="117" t="b">
        <v>0</v>
      </c>
      <c r="Z151" s="117" t="b">
        <v>0</v>
      </c>
      <c r="AA151" s="117"/>
      <c r="AB151" s="117" t="s">
        <v>1094</v>
      </c>
      <c r="AC151" s="117"/>
      <c r="AD151" s="117" t="s">
        <v>1094</v>
      </c>
      <c r="AE151" s="117" t="s">
        <v>1094</v>
      </c>
      <c r="AF151" s="117"/>
      <c r="AG151" s="117">
        <v>0</v>
      </c>
      <c r="AH151" s="117">
        <v>3215100206910000</v>
      </c>
      <c r="AI151" s="117" t="s">
        <v>68</v>
      </c>
      <c r="AJ151" s="117"/>
      <c r="AK151" s="117"/>
      <c r="AL151" s="117">
        <v>6285695001961</v>
      </c>
      <c r="AM151" s="117"/>
      <c r="AN151" s="117"/>
      <c r="AO151" s="117" t="s">
        <v>1096</v>
      </c>
      <c r="AP151" s="117"/>
      <c r="AQ151" s="117" t="s">
        <v>840</v>
      </c>
      <c r="AR151" s="117" t="s">
        <v>1908</v>
      </c>
      <c r="AS151" s="117" t="s">
        <v>841</v>
      </c>
      <c r="AT151" s="117" t="s">
        <v>1931</v>
      </c>
      <c r="AU151" s="117" t="b">
        <v>1</v>
      </c>
      <c r="AV151" s="117" t="b">
        <v>1</v>
      </c>
      <c r="AW151" s="117" t="s">
        <v>1092</v>
      </c>
      <c r="AX151" s="117" t="s">
        <v>1093</v>
      </c>
      <c r="AY151" s="117" t="s">
        <v>2278</v>
      </c>
      <c r="AZ151" s="117" t="s">
        <v>2279</v>
      </c>
      <c r="BA151" s="117" t="b">
        <v>1</v>
      </c>
      <c r="BB151" s="117" t="b">
        <v>1</v>
      </c>
      <c r="BC151" s="117"/>
      <c r="BD151" s="117"/>
      <c r="BE151" s="117" t="s">
        <v>2505</v>
      </c>
    </row>
    <row r="152" spans="1:57" ht="16">
      <c r="A152" s="117" t="s">
        <v>805</v>
      </c>
      <c r="B152" s="117" t="s">
        <v>838</v>
      </c>
      <c r="C152" s="117" t="s">
        <v>839</v>
      </c>
      <c r="D152" s="117" t="s">
        <v>840</v>
      </c>
      <c r="E152" s="117" t="s">
        <v>841</v>
      </c>
      <c r="F152" s="117" t="s">
        <v>1593</v>
      </c>
      <c r="G152" s="117" t="s">
        <v>1592</v>
      </c>
      <c r="H152" s="118" t="s">
        <v>1593</v>
      </c>
      <c r="I152" s="119" t="s">
        <v>1592</v>
      </c>
      <c r="J152" s="120" t="s">
        <v>2508</v>
      </c>
      <c r="K152" s="120" t="s">
        <v>2508</v>
      </c>
      <c r="L152" s="118"/>
      <c r="M152" s="119"/>
      <c r="N152" s="118"/>
      <c r="O152" s="119"/>
      <c r="P152" s="117" t="s">
        <v>88</v>
      </c>
      <c r="Q152" s="117" t="s">
        <v>45</v>
      </c>
      <c r="R152" s="117" t="b">
        <v>1</v>
      </c>
      <c r="S152" s="117" t="b">
        <v>1</v>
      </c>
      <c r="T152" s="117" t="b">
        <v>1</v>
      </c>
      <c r="U152" s="117" t="b">
        <v>0</v>
      </c>
      <c r="V152" s="117" t="b">
        <v>0</v>
      </c>
      <c r="W152" s="117" t="b">
        <v>1</v>
      </c>
      <c r="X152" s="117" t="b">
        <v>1</v>
      </c>
      <c r="Y152" s="117" t="b">
        <v>0</v>
      </c>
      <c r="Z152" s="117" t="b">
        <v>0</v>
      </c>
      <c r="AA152" s="117"/>
      <c r="AB152" s="117" t="s">
        <v>1594</v>
      </c>
      <c r="AC152" s="117"/>
      <c r="AD152" s="117" t="s">
        <v>1594</v>
      </c>
      <c r="AE152" s="117" t="s">
        <v>1594</v>
      </c>
      <c r="AF152" s="117"/>
      <c r="AG152" s="117" t="s">
        <v>1595</v>
      </c>
      <c r="AH152" s="117">
        <v>3216210102010000</v>
      </c>
      <c r="AI152" s="117" t="s">
        <v>68</v>
      </c>
      <c r="AJ152" s="117"/>
      <c r="AK152" s="117"/>
      <c r="AL152" s="117">
        <v>6289602777922</v>
      </c>
      <c r="AM152" s="117"/>
      <c r="AN152" s="117"/>
      <c r="AO152" s="117" t="s">
        <v>1597</v>
      </c>
      <c r="AP152" s="117"/>
      <c r="AQ152" s="117" t="s">
        <v>840</v>
      </c>
      <c r="AR152" s="117" t="s">
        <v>1908</v>
      </c>
      <c r="AS152" s="117" t="s">
        <v>841</v>
      </c>
      <c r="AT152" s="117" t="s">
        <v>1931</v>
      </c>
      <c r="AU152" s="117" t="b">
        <v>1</v>
      </c>
      <c r="AV152" s="117" t="b">
        <v>1</v>
      </c>
      <c r="AW152" s="117" t="s">
        <v>1593</v>
      </c>
      <c r="AX152" s="117" t="s">
        <v>1592</v>
      </c>
      <c r="AY152" s="117" t="s">
        <v>2412</v>
      </c>
      <c r="AZ152" s="117" t="s">
        <v>2413</v>
      </c>
      <c r="BA152" s="117" t="b">
        <v>1</v>
      </c>
      <c r="BB152" s="117" t="b">
        <v>1</v>
      </c>
      <c r="BC152" s="117"/>
      <c r="BD152" s="117"/>
      <c r="BE152" s="117">
        <v>0</v>
      </c>
    </row>
    <row r="153" spans="1:57" ht="16">
      <c r="A153" s="117" t="s">
        <v>805</v>
      </c>
      <c r="B153" s="117" t="s">
        <v>838</v>
      </c>
      <c r="C153" s="117" t="s">
        <v>839</v>
      </c>
      <c r="D153" s="117" t="s">
        <v>840</v>
      </c>
      <c r="E153" s="117" t="s">
        <v>841</v>
      </c>
      <c r="F153" s="117" t="s">
        <v>1648</v>
      </c>
      <c r="G153" s="117" t="s">
        <v>1647</v>
      </c>
      <c r="H153" s="118" t="s">
        <v>1648</v>
      </c>
      <c r="I153" s="119" t="s">
        <v>1647</v>
      </c>
      <c r="J153" s="120" t="s">
        <v>2508</v>
      </c>
      <c r="K153" s="120" t="s">
        <v>2508</v>
      </c>
      <c r="L153" s="118"/>
      <c r="M153" s="119"/>
      <c r="N153" s="118"/>
      <c r="O153" s="119"/>
      <c r="P153" s="117" t="s">
        <v>88</v>
      </c>
      <c r="Q153" s="117" t="s">
        <v>45</v>
      </c>
      <c r="R153" s="117" t="b">
        <v>1</v>
      </c>
      <c r="S153" s="117" t="b">
        <v>1</v>
      </c>
      <c r="T153" s="117" t="b">
        <v>1</v>
      </c>
      <c r="U153" s="117" t="b">
        <v>0</v>
      </c>
      <c r="V153" s="117" t="b">
        <v>0</v>
      </c>
      <c r="W153" s="117" t="b">
        <v>1</v>
      </c>
      <c r="X153" s="117" t="b">
        <v>1</v>
      </c>
      <c r="Y153" s="117" t="b">
        <v>0</v>
      </c>
      <c r="Z153" s="117" t="b">
        <v>0</v>
      </c>
      <c r="AA153" s="117"/>
      <c r="AB153" s="117" t="s">
        <v>1649</v>
      </c>
      <c r="AC153" s="117"/>
      <c r="AD153" s="117" t="s">
        <v>1649</v>
      </c>
      <c r="AE153" s="117" t="s">
        <v>1649</v>
      </c>
      <c r="AF153" s="117"/>
      <c r="AG153" s="117" t="s">
        <v>1650</v>
      </c>
      <c r="AH153" s="117">
        <v>3278091807920000</v>
      </c>
      <c r="AI153" s="117" t="s">
        <v>68</v>
      </c>
      <c r="AJ153" s="117"/>
      <c r="AK153" s="117"/>
      <c r="AL153" s="117">
        <v>6289602777921</v>
      </c>
      <c r="AM153" s="117"/>
      <c r="AN153" s="117"/>
      <c r="AO153" s="117" t="s">
        <v>1652</v>
      </c>
      <c r="AP153" s="117"/>
      <c r="AQ153" s="117" t="s">
        <v>840</v>
      </c>
      <c r="AR153" s="117" t="s">
        <v>1908</v>
      </c>
      <c r="AS153" s="117" t="s">
        <v>841</v>
      </c>
      <c r="AT153" s="117" t="s">
        <v>1931</v>
      </c>
      <c r="AU153" s="117" t="b">
        <v>1</v>
      </c>
      <c r="AV153" s="117" t="b">
        <v>1</v>
      </c>
      <c r="AW153" s="117" t="s">
        <v>1648</v>
      </c>
      <c r="AX153" s="117" t="s">
        <v>1647</v>
      </c>
      <c r="AY153" s="117" t="s">
        <v>2426</v>
      </c>
      <c r="AZ153" s="117" t="s">
        <v>2427</v>
      </c>
      <c r="BA153" s="117" t="b">
        <v>1</v>
      </c>
      <c r="BB153" s="117" t="b">
        <v>1</v>
      </c>
      <c r="BC153" s="117"/>
      <c r="BD153" s="117"/>
      <c r="BE153" s="117">
        <v>0</v>
      </c>
    </row>
    <row r="154" spans="1:57" ht="16">
      <c r="A154" s="117" t="s">
        <v>805</v>
      </c>
      <c r="B154" s="117" t="s">
        <v>878</v>
      </c>
      <c r="C154" s="117" t="s">
        <v>879</v>
      </c>
      <c r="D154" s="117" t="s">
        <v>880</v>
      </c>
      <c r="E154" s="117" t="s">
        <v>881</v>
      </c>
      <c r="F154" s="117" t="s">
        <v>882</v>
      </c>
      <c r="G154" s="117" t="s">
        <v>883</v>
      </c>
      <c r="H154" s="118" t="s">
        <v>882</v>
      </c>
      <c r="I154" s="119" t="s">
        <v>883</v>
      </c>
      <c r="J154" s="120" t="s">
        <v>2508</v>
      </c>
      <c r="K154" s="120" t="s">
        <v>2508</v>
      </c>
      <c r="L154" s="118"/>
      <c r="M154" s="119"/>
      <c r="N154" s="118"/>
      <c r="O154" s="119"/>
      <c r="P154" s="117" t="s">
        <v>88</v>
      </c>
      <c r="Q154" s="117" t="s">
        <v>45</v>
      </c>
      <c r="R154" s="117" t="b">
        <v>1</v>
      </c>
      <c r="S154" s="117" t="b">
        <v>1</v>
      </c>
      <c r="T154" s="117" t="b">
        <v>1</v>
      </c>
      <c r="U154" s="117" t="b">
        <v>0</v>
      </c>
      <c r="V154" s="117" t="b">
        <v>0</v>
      </c>
      <c r="W154" s="117" t="b">
        <v>1</v>
      </c>
      <c r="X154" s="117" t="b">
        <v>1</v>
      </c>
      <c r="Y154" s="117" t="b">
        <v>0</v>
      </c>
      <c r="Z154" s="117" t="b">
        <v>0</v>
      </c>
      <c r="AA154" s="117"/>
      <c r="AB154" s="117" t="s">
        <v>884</v>
      </c>
      <c r="AC154" s="117"/>
      <c r="AD154" s="117" t="s">
        <v>884</v>
      </c>
      <c r="AE154" s="117" t="s">
        <v>884</v>
      </c>
      <c r="AF154" s="117"/>
      <c r="AG154" s="117" t="s">
        <v>885</v>
      </c>
      <c r="AH154" s="117">
        <v>3216031102000000</v>
      </c>
      <c r="AI154" s="117" t="s">
        <v>68</v>
      </c>
      <c r="AJ154" s="117"/>
      <c r="AK154" s="117"/>
      <c r="AL154" s="117">
        <v>6280086422475</v>
      </c>
      <c r="AM154" s="117"/>
      <c r="AN154" s="117"/>
      <c r="AO154" s="117" t="s">
        <v>887</v>
      </c>
      <c r="AP154" s="117"/>
      <c r="AQ154" s="117" t="s">
        <v>880</v>
      </c>
      <c r="AR154" s="117" t="s">
        <v>1907</v>
      </c>
      <c r="AS154" s="117" t="s">
        <v>881</v>
      </c>
      <c r="AT154" s="117" t="s">
        <v>1932</v>
      </c>
      <c r="AU154" s="117" t="b">
        <v>1</v>
      </c>
      <c r="AV154" s="117" t="b">
        <v>1</v>
      </c>
      <c r="AW154" s="117" t="s">
        <v>882</v>
      </c>
      <c r="AX154" s="117" t="s">
        <v>883</v>
      </c>
      <c r="AY154" s="117" t="s">
        <v>2214</v>
      </c>
      <c r="AZ154" s="117" t="s">
        <v>2215</v>
      </c>
      <c r="BA154" s="117" t="b">
        <v>1</v>
      </c>
      <c r="BB154" s="117" t="b">
        <v>1</v>
      </c>
      <c r="BC154" s="117"/>
      <c r="BD154" s="117"/>
      <c r="BE154" s="117">
        <v>0</v>
      </c>
    </row>
    <row r="155" spans="1:57" ht="16">
      <c r="A155" s="117" t="s">
        <v>805</v>
      </c>
      <c r="B155" s="117" t="s">
        <v>878</v>
      </c>
      <c r="C155" s="117" t="s">
        <v>879</v>
      </c>
      <c r="D155" s="117" t="s">
        <v>880</v>
      </c>
      <c r="E155" s="117" t="s">
        <v>881</v>
      </c>
      <c r="F155" s="117" t="s">
        <v>900</v>
      </c>
      <c r="G155" s="117" t="s">
        <v>901</v>
      </c>
      <c r="H155" s="118" t="s">
        <v>2573</v>
      </c>
      <c r="I155" s="119" t="s">
        <v>2596</v>
      </c>
      <c r="J155" s="120" t="s">
        <v>2508</v>
      </c>
      <c r="K155" s="120" t="s">
        <v>2508</v>
      </c>
      <c r="L155" s="118"/>
      <c r="M155" s="119"/>
      <c r="N155" s="118"/>
      <c r="O155" s="119"/>
      <c r="P155" s="117" t="s">
        <v>88</v>
      </c>
      <c r="Q155" s="117" t="s">
        <v>44</v>
      </c>
      <c r="R155" s="117" t="b">
        <v>1</v>
      </c>
      <c r="S155" s="117" t="b">
        <v>1</v>
      </c>
      <c r="T155" s="117" t="b">
        <v>1</v>
      </c>
      <c r="U155" s="117" t="b">
        <v>0</v>
      </c>
      <c r="V155" s="117" t="b">
        <v>0</v>
      </c>
      <c r="W155" s="117" t="b">
        <v>1</v>
      </c>
      <c r="X155" s="117" t="b">
        <v>1</v>
      </c>
      <c r="Y155" s="117" t="b">
        <v>0</v>
      </c>
      <c r="Z155" s="117" t="b">
        <v>0</v>
      </c>
      <c r="AA155" s="117"/>
      <c r="AB155" s="117" t="s">
        <v>902</v>
      </c>
      <c r="AC155" s="117"/>
      <c r="AD155" s="117" t="s">
        <v>902</v>
      </c>
      <c r="AE155" s="117" t="s">
        <v>902</v>
      </c>
      <c r="AF155" s="117" t="b">
        <v>0</v>
      </c>
      <c r="AG155" s="117" t="s">
        <v>903</v>
      </c>
      <c r="AH155" s="117">
        <v>3216140912020000</v>
      </c>
      <c r="AI155" s="117" t="s">
        <v>68</v>
      </c>
      <c r="AJ155" s="117" t="s">
        <v>32</v>
      </c>
      <c r="AK155" s="117">
        <v>85664975358</v>
      </c>
      <c r="AL155" s="117">
        <v>6285664975358</v>
      </c>
      <c r="AM155" s="117" t="s">
        <v>906</v>
      </c>
      <c r="AN155" s="117"/>
      <c r="AO155" s="117" t="s">
        <v>907</v>
      </c>
      <c r="AP155" s="117" t="s">
        <v>373</v>
      </c>
      <c r="AQ155" s="117" t="s">
        <v>880</v>
      </c>
      <c r="AR155" s="117" t="s">
        <v>1907</v>
      </c>
      <c r="AS155" s="117" t="s">
        <v>881</v>
      </c>
      <c r="AT155" s="117" t="s">
        <v>1932</v>
      </c>
      <c r="AU155" s="117" t="b">
        <v>1</v>
      </c>
      <c r="AV155" s="117" t="b">
        <v>1</v>
      </c>
      <c r="AW155" s="117" t="s">
        <v>900</v>
      </c>
      <c r="AX155" s="117" t="s">
        <v>901</v>
      </c>
      <c r="AY155" s="117" t="s">
        <v>2220</v>
      </c>
      <c r="AZ155" s="117" t="s">
        <v>2221</v>
      </c>
      <c r="BA155" s="117" t="b">
        <v>1</v>
      </c>
      <c r="BB155" s="117" t="b">
        <v>1</v>
      </c>
      <c r="BC155" s="117"/>
      <c r="BD155" s="117"/>
      <c r="BE155" s="117">
        <v>0</v>
      </c>
    </row>
    <row r="156" spans="1:57" ht="16">
      <c r="A156" s="117" t="s">
        <v>805</v>
      </c>
      <c r="B156" s="117" t="s">
        <v>878</v>
      </c>
      <c r="C156" s="117" t="s">
        <v>879</v>
      </c>
      <c r="D156" s="117" t="s">
        <v>880</v>
      </c>
      <c r="E156" s="117" t="s">
        <v>881</v>
      </c>
      <c r="F156" s="117" t="s">
        <v>908</v>
      </c>
      <c r="G156" s="117" t="s">
        <v>909</v>
      </c>
      <c r="H156" s="118" t="s">
        <v>2574</v>
      </c>
      <c r="I156" s="119" t="s">
        <v>2597</v>
      </c>
      <c r="J156" s="120" t="s">
        <v>2508</v>
      </c>
      <c r="K156" s="120" t="s">
        <v>2508</v>
      </c>
      <c r="L156" s="118"/>
      <c r="M156" s="119"/>
      <c r="N156" s="118"/>
      <c r="O156" s="119"/>
      <c r="P156" s="117" t="s">
        <v>88</v>
      </c>
      <c r="Q156" s="117" t="s">
        <v>45</v>
      </c>
      <c r="R156" s="117" t="b">
        <v>1</v>
      </c>
      <c r="S156" s="117" t="b">
        <v>1</v>
      </c>
      <c r="T156" s="117" t="b">
        <v>1</v>
      </c>
      <c r="U156" s="117" t="b">
        <v>0</v>
      </c>
      <c r="V156" s="117" t="b">
        <v>0</v>
      </c>
      <c r="W156" s="117" t="b">
        <v>1</v>
      </c>
      <c r="X156" s="117" t="b">
        <v>1</v>
      </c>
      <c r="Y156" s="117" t="b">
        <v>0</v>
      </c>
      <c r="Z156" s="117" t="b">
        <v>0</v>
      </c>
      <c r="AA156" s="117"/>
      <c r="AB156" s="117" t="s">
        <v>910</v>
      </c>
      <c r="AC156" s="117"/>
      <c r="AD156" s="117" t="s">
        <v>910</v>
      </c>
      <c r="AE156" s="117" t="s">
        <v>910</v>
      </c>
      <c r="AF156" s="117"/>
      <c r="AG156" s="117" t="s">
        <v>911</v>
      </c>
      <c r="AH156" s="117">
        <v>3301081908960000</v>
      </c>
      <c r="AI156" s="117" t="s">
        <v>68</v>
      </c>
      <c r="AJ156" s="117"/>
      <c r="AK156" s="117"/>
      <c r="AL156" s="117">
        <v>6285774654948</v>
      </c>
      <c r="AM156" s="117"/>
      <c r="AN156" s="117"/>
      <c r="AO156" s="117" t="s">
        <v>913</v>
      </c>
      <c r="AP156" s="117"/>
      <c r="AQ156" s="117" t="s">
        <v>880</v>
      </c>
      <c r="AR156" s="117" t="s">
        <v>1907</v>
      </c>
      <c r="AS156" s="117" t="s">
        <v>881</v>
      </c>
      <c r="AT156" s="117" t="s">
        <v>1932</v>
      </c>
      <c r="AU156" s="117" t="b">
        <v>1</v>
      </c>
      <c r="AV156" s="117" t="b">
        <v>1</v>
      </c>
      <c r="AW156" s="117" t="s">
        <v>908</v>
      </c>
      <c r="AX156" s="117" t="s">
        <v>909</v>
      </c>
      <c r="AY156" s="117" t="s">
        <v>2222</v>
      </c>
      <c r="AZ156" s="117" t="s">
        <v>2223</v>
      </c>
      <c r="BA156" s="117" t="b">
        <v>1</v>
      </c>
      <c r="BB156" s="117" t="b">
        <v>1</v>
      </c>
      <c r="BC156" s="117"/>
      <c r="BD156" s="117"/>
      <c r="BE156" s="117">
        <v>0</v>
      </c>
    </row>
    <row r="157" spans="1:57" ht="16">
      <c r="A157" s="117" t="s">
        <v>805</v>
      </c>
      <c r="B157" s="117" t="s">
        <v>878</v>
      </c>
      <c r="C157" s="117" t="s">
        <v>879</v>
      </c>
      <c r="D157" s="117" t="s">
        <v>880</v>
      </c>
      <c r="E157" s="117" t="s">
        <v>881</v>
      </c>
      <c r="F157" s="117" t="s">
        <v>1497</v>
      </c>
      <c r="G157" s="117" t="s">
        <v>1496</v>
      </c>
      <c r="H157" s="118" t="s">
        <v>1497</v>
      </c>
      <c r="I157" s="119" t="s">
        <v>1496</v>
      </c>
      <c r="J157" s="120" t="s">
        <v>2508</v>
      </c>
      <c r="K157" s="120" t="s">
        <v>2508</v>
      </c>
      <c r="L157" s="118"/>
      <c r="M157" s="119"/>
      <c r="N157" s="118"/>
      <c r="O157" s="119"/>
      <c r="P157" s="117" t="s">
        <v>88</v>
      </c>
      <c r="Q157" s="117" t="s">
        <v>45</v>
      </c>
      <c r="R157" s="117" t="b">
        <v>1</v>
      </c>
      <c r="S157" s="117" t="b">
        <v>1</v>
      </c>
      <c r="T157" s="117" t="b">
        <v>1</v>
      </c>
      <c r="U157" s="117" t="b">
        <v>0</v>
      </c>
      <c r="V157" s="117" t="b">
        <v>0</v>
      </c>
      <c r="W157" s="117" t="b">
        <v>1</v>
      </c>
      <c r="X157" s="117" t="b">
        <v>1</v>
      </c>
      <c r="Y157" s="117" t="b">
        <v>0</v>
      </c>
      <c r="Z157" s="117" t="b">
        <v>0</v>
      </c>
      <c r="AA157" s="117"/>
      <c r="AB157" s="117" t="s">
        <v>1498</v>
      </c>
      <c r="AC157" s="117"/>
      <c r="AD157" s="117" t="s">
        <v>1498</v>
      </c>
      <c r="AE157" s="117" t="s">
        <v>1498</v>
      </c>
      <c r="AF157" s="117"/>
      <c r="AG157" s="117" t="s">
        <v>1499</v>
      </c>
      <c r="AH157" s="117">
        <v>3279013006830000</v>
      </c>
      <c r="AI157" s="117" t="s">
        <v>68</v>
      </c>
      <c r="AJ157" s="117"/>
      <c r="AK157" s="117"/>
      <c r="AL157" s="117">
        <v>6289602777916</v>
      </c>
      <c r="AM157" s="117"/>
      <c r="AN157" s="117"/>
      <c r="AO157" s="117" t="s">
        <v>1501</v>
      </c>
      <c r="AP157" s="117"/>
      <c r="AQ157" s="117" t="s">
        <v>880</v>
      </c>
      <c r="AR157" s="117" t="s">
        <v>1907</v>
      </c>
      <c r="AS157" s="117" t="s">
        <v>881</v>
      </c>
      <c r="AT157" s="117" t="s">
        <v>1932</v>
      </c>
      <c r="AU157" s="117" t="b">
        <v>1</v>
      </c>
      <c r="AV157" s="117" t="b">
        <v>1</v>
      </c>
      <c r="AW157" s="117" t="s">
        <v>1497</v>
      </c>
      <c r="AX157" s="117" t="s">
        <v>1496</v>
      </c>
      <c r="AY157" s="117" t="s">
        <v>2390</v>
      </c>
      <c r="AZ157" s="117" t="s">
        <v>2391</v>
      </c>
      <c r="BA157" s="117" t="b">
        <v>1</v>
      </c>
      <c r="BB157" s="117" t="b">
        <v>1</v>
      </c>
      <c r="BC157" s="117"/>
      <c r="BD157" s="117"/>
      <c r="BE157" s="117">
        <v>0</v>
      </c>
    </row>
    <row r="158" spans="1:57" ht="16">
      <c r="A158" s="117" t="s">
        <v>805</v>
      </c>
      <c r="B158" s="117" t="s">
        <v>878</v>
      </c>
      <c r="C158" s="117" t="s">
        <v>879</v>
      </c>
      <c r="D158" s="117" t="s">
        <v>880</v>
      </c>
      <c r="E158" s="117" t="s">
        <v>881</v>
      </c>
      <c r="F158" s="117" t="s">
        <v>1503</v>
      </c>
      <c r="G158" s="117" t="s">
        <v>1502</v>
      </c>
      <c r="H158" s="118" t="s">
        <v>1503</v>
      </c>
      <c r="I158" s="119" t="s">
        <v>1502</v>
      </c>
      <c r="J158" s="120" t="s">
        <v>2508</v>
      </c>
      <c r="K158" s="120" t="s">
        <v>2508</v>
      </c>
      <c r="L158" s="118"/>
      <c r="M158" s="119"/>
      <c r="N158" s="118"/>
      <c r="O158" s="119"/>
      <c r="P158" s="117" t="s">
        <v>88</v>
      </c>
      <c r="Q158" s="117" t="s">
        <v>45</v>
      </c>
      <c r="R158" s="117" t="b">
        <v>1</v>
      </c>
      <c r="S158" s="117" t="b">
        <v>1</v>
      </c>
      <c r="T158" s="117" t="b">
        <v>1</v>
      </c>
      <c r="U158" s="117" t="b">
        <v>0</v>
      </c>
      <c r="V158" s="117" t="b">
        <v>0</v>
      </c>
      <c r="W158" s="117" t="b">
        <v>1</v>
      </c>
      <c r="X158" s="117" t="b">
        <v>1</v>
      </c>
      <c r="Y158" s="117" t="b">
        <v>0</v>
      </c>
      <c r="Z158" s="117" t="b">
        <v>0</v>
      </c>
      <c r="AA158" s="117"/>
      <c r="AB158" s="117" t="s">
        <v>1504</v>
      </c>
      <c r="AC158" s="117"/>
      <c r="AD158" s="117" t="s">
        <v>1504</v>
      </c>
      <c r="AE158" s="117" t="s">
        <v>1504</v>
      </c>
      <c r="AF158" s="117"/>
      <c r="AG158" s="117" t="s">
        <v>1505</v>
      </c>
      <c r="AH158" s="117">
        <v>1871031810900000</v>
      </c>
      <c r="AI158" s="117" t="s">
        <v>68</v>
      </c>
      <c r="AJ158" s="117"/>
      <c r="AK158" s="117"/>
      <c r="AL158" s="117">
        <v>6289602777912</v>
      </c>
      <c r="AM158" s="117"/>
      <c r="AN158" s="117"/>
      <c r="AO158" s="117" t="s">
        <v>1507</v>
      </c>
      <c r="AP158" s="117"/>
      <c r="AQ158" s="117" t="s">
        <v>880</v>
      </c>
      <c r="AR158" s="117" t="s">
        <v>1907</v>
      </c>
      <c r="AS158" s="117" t="s">
        <v>881</v>
      </c>
      <c r="AT158" s="117" t="s">
        <v>1932</v>
      </c>
      <c r="AU158" s="117" t="b">
        <v>1</v>
      </c>
      <c r="AV158" s="117" t="b">
        <v>1</v>
      </c>
      <c r="AW158" s="117" t="s">
        <v>1503</v>
      </c>
      <c r="AX158" s="117" t="s">
        <v>1502</v>
      </c>
      <c r="AY158" s="117" t="s">
        <v>2392</v>
      </c>
      <c r="AZ158" s="117" t="s">
        <v>2393</v>
      </c>
      <c r="BA158" s="117" t="b">
        <v>1</v>
      </c>
      <c r="BB158" s="117" t="b">
        <v>1</v>
      </c>
      <c r="BC158" s="117"/>
      <c r="BD158" s="117"/>
      <c r="BE158" s="117">
        <v>0</v>
      </c>
    </row>
    <row r="159" spans="1:57" ht="16">
      <c r="A159" s="117" t="s">
        <v>805</v>
      </c>
      <c r="B159" s="117" t="s">
        <v>878</v>
      </c>
      <c r="C159" s="117" t="s">
        <v>879</v>
      </c>
      <c r="D159" s="117" t="s">
        <v>880</v>
      </c>
      <c r="E159" s="117" t="s">
        <v>881</v>
      </c>
      <c r="F159" s="117" t="s">
        <v>1571</v>
      </c>
      <c r="G159" s="117" t="s">
        <v>1570</v>
      </c>
      <c r="H159" s="118" t="s">
        <v>1571</v>
      </c>
      <c r="I159" s="119" t="s">
        <v>1570</v>
      </c>
      <c r="J159" s="120" t="s">
        <v>2508</v>
      </c>
      <c r="K159" s="120" t="s">
        <v>2508</v>
      </c>
      <c r="L159" s="118"/>
      <c r="M159" s="119"/>
      <c r="N159" s="118"/>
      <c r="O159" s="119"/>
      <c r="P159" s="117" t="s">
        <v>88</v>
      </c>
      <c r="Q159" s="117" t="s">
        <v>45</v>
      </c>
      <c r="R159" s="117" t="b">
        <v>1</v>
      </c>
      <c r="S159" s="117" t="b">
        <v>1</v>
      </c>
      <c r="T159" s="117" t="b">
        <v>1</v>
      </c>
      <c r="U159" s="117" t="b">
        <v>0</v>
      </c>
      <c r="V159" s="117" t="b">
        <v>0</v>
      </c>
      <c r="W159" s="117" t="b">
        <v>1</v>
      </c>
      <c r="X159" s="117" t="b">
        <v>1</v>
      </c>
      <c r="Y159" s="117" t="b">
        <v>0</v>
      </c>
      <c r="Z159" s="117" t="b">
        <v>0</v>
      </c>
      <c r="AA159" s="117"/>
      <c r="AB159" s="117" t="s">
        <v>1572</v>
      </c>
      <c r="AC159" s="117"/>
      <c r="AD159" s="117" t="s">
        <v>1572</v>
      </c>
      <c r="AE159" s="117" t="s">
        <v>1572</v>
      </c>
      <c r="AF159" s="117"/>
      <c r="AG159" s="117" t="s">
        <v>1573</v>
      </c>
      <c r="AH159" s="117">
        <v>3216121407960000</v>
      </c>
      <c r="AI159" s="117" t="s">
        <v>68</v>
      </c>
      <c r="AJ159" s="117"/>
      <c r="AK159" s="117"/>
      <c r="AL159" s="117">
        <v>628998368366</v>
      </c>
      <c r="AM159" s="117"/>
      <c r="AN159" s="117"/>
      <c r="AO159" s="117" t="s">
        <v>1575</v>
      </c>
      <c r="AP159" s="117"/>
      <c r="AQ159" s="117" t="s">
        <v>880</v>
      </c>
      <c r="AR159" s="117" t="s">
        <v>1907</v>
      </c>
      <c r="AS159" s="117" t="s">
        <v>881</v>
      </c>
      <c r="AT159" s="117" t="s">
        <v>1932</v>
      </c>
      <c r="AU159" s="117" t="b">
        <v>1</v>
      </c>
      <c r="AV159" s="117" t="b">
        <v>1</v>
      </c>
      <c r="AW159" s="117" t="s">
        <v>1571</v>
      </c>
      <c r="AX159" s="117" t="s">
        <v>1570</v>
      </c>
      <c r="AY159" s="117" t="s">
        <v>2408</v>
      </c>
      <c r="AZ159" s="117" t="s">
        <v>2409</v>
      </c>
      <c r="BA159" s="117" t="b">
        <v>1</v>
      </c>
      <c r="BB159" s="117" t="b">
        <v>1</v>
      </c>
      <c r="BC159" s="117"/>
      <c r="BD159" s="117"/>
      <c r="BE159" s="117">
        <v>0</v>
      </c>
    </row>
    <row r="160" spans="1:57" ht="16">
      <c r="A160" s="117" t="s">
        <v>805</v>
      </c>
      <c r="B160" s="117" t="s">
        <v>806</v>
      </c>
      <c r="C160" s="117" t="s">
        <v>807</v>
      </c>
      <c r="D160" s="117" t="s">
        <v>808</v>
      </c>
      <c r="E160" s="117" t="s">
        <v>809</v>
      </c>
      <c r="F160" s="117" t="s">
        <v>810</v>
      </c>
      <c r="G160" s="117" t="s">
        <v>811</v>
      </c>
      <c r="H160" s="118" t="s">
        <v>2575</v>
      </c>
      <c r="I160" s="119" t="s">
        <v>2598</v>
      </c>
      <c r="J160" s="120" t="s">
        <v>2508</v>
      </c>
      <c r="K160" s="120" t="s">
        <v>2508</v>
      </c>
      <c r="L160" s="118"/>
      <c r="M160" s="119"/>
      <c r="N160" s="118"/>
      <c r="O160" s="119"/>
      <c r="P160" s="117" t="s">
        <v>88</v>
      </c>
      <c r="Q160" s="117" t="s">
        <v>44</v>
      </c>
      <c r="R160" s="117" t="b">
        <v>1</v>
      </c>
      <c r="S160" s="117" t="b">
        <v>1</v>
      </c>
      <c r="T160" s="117" t="b">
        <v>1</v>
      </c>
      <c r="U160" s="117" t="b">
        <v>0</v>
      </c>
      <c r="V160" s="117" t="b">
        <v>0</v>
      </c>
      <c r="W160" s="117" t="b">
        <v>1</v>
      </c>
      <c r="X160" s="117" t="b">
        <v>1</v>
      </c>
      <c r="Y160" s="117" t="b">
        <v>0</v>
      </c>
      <c r="Z160" s="117" t="b">
        <v>0</v>
      </c>
      <c r="AA160" s="117"/>
      <c r="AB160" s="117" t="s">
        <v>812</v>
      </c>
      <c r="AC160" s="117"/>
      <c r="AD160" s="117" t="s">
        <v>812</v>
      </c>
      <c r="AE160" s="117" t="s">
        <v>813</v>
      </c>
      <c r="AF160" s="117" t="b">
        <v>0</v>
      </c>
      <c r="AG160" s="117" t="s">
        <v>814</v>
      </c>
      <c r="AH160" s="117">
        <v>3216171305870000</v>
      </c>
      <c r="AI160" s="117" t="s">
        <v>68</v>
      </c>
      <c r="AJ160" s="117" t="s">
        <v>816</v>
      </c>
      <c r="AK160" s="117">
        <v>6285777331449</v>
      </c>
      <c r="AL160" s="117">
        <v>6285857123456</v>
      </c>
      <c r="AM160" s="117" t="s">
        <v>818</v>
      </c>
      <c r="AN160" s="117"/>
      <c r="AO160" s="117" t="s">
        <v>819</v>
      </c>
      <c r="AP160" s="117" t="s">
        <v>373</v>
      </c>
      <c r="AQ160" s="117" t="s">
        <v>808</v>
      </c>
      <c r="AR160" s="117" t="s">
        <v>1908</v>
      </c>
      <c r="AS160" s="117" t="s">
        <v>809</v>
      </c>
      <c r="AT160" s="117" t="s">
        <v>1931</v>
      </c>
      <c r="AU160" s="117" t="b">
        <v>1</v>
      </c>
      <c r="AV160" s="117" t="b">
        <v>1</v>
      </c>
      <c r="AW160" s="117" t="s">
        <v>810</v>
      </c>
      <c r="AX160" s="117" t="s">
        <v>811</v>
      </c>
      <c r="AY160" s="117" t="s">
        <v>2200</v>
      </c>
      <c r="AZ160" s="117" t="s">
        <v>2201</v>
      </c>
      <c r="BA160" s="117" t="b">
        <v>1</v>
      </c>
      <c r="BB160" s="117" t="b">
        <v>1</v>
      </c>
      <c r="BC160" s="117"/>
      <c r="BD160" s="117"/>
      <c r="BE160" s="117">
        <v>0</v>
      </c>
    </row>
    <row r="161" spans="1:57" ht="16">
      <c r="A161" s="117" t="s">
        <v>805</v>
      </c>
      <c r="B161" s="117" t="s">
        <v>806</v>
      </c>
      <c r="C161" s="117" t="s">
        <v>807</v>
      </c>
      <c r="D161" s="117" t="s">
        <v>808</v>
      </c>
      <c r="E161" s="117" t="s">
        <v>809</v>
      </c>
      <c r="F161" s="117" t="s">
        <v>832</v>
      </c>
      <c r="G161" s="117" t="s">
        <v>833</v>
      </c>
      <c r="H161" s="118" t="s">
        <v>2576</v>
      </c>
      <c r="I161" s="119" t="s">
        <v>2599</v>
      </c>
      <c r="J161" s="120" t="s">
        <v>2508</v>
      </c>
      <c r="K161" s="120" t="s">
        <v>2508</v>
      </c>
      <c r="L161" s="118"/>
      <c r="M161" s="119"/>
      <c r="N161" s="118"/>
      <c r="O161" s="119"/>
      <c r="P161" s="117" t="s">
        <v>88</v>
      </c>
      <c r="Q161" s="117" t="s">
        <v>45</v>
      </c>
      <c r="R161" s="117" t="b">
        <v>1</v>
      </c>
      <c r="S161" s="117" t="b">
        <v>1</v>
      </c>
      <c r="T161" s="117" t="b">
        <v>1</v>
      </c>
      <c r="U161" s="117" t="b">
        <v>0</v>
      </c>
      <c r="V161" s="117" t="b">
        <v>0</v>
      </c>
      <c r="W161" s="117" t="b">
        <v>1</v>
      </c>
      <c r="X161" s="117" t="b">
        <v>1</v>
      </c>
      <c r="Y161" s="117" t="b">
        <v>0</v>
      </c>
      <c r="Z161" s="117" t="b">
        <v>0</v>
      </c>
      <c r="AA161" s="117"/>
      <c r="AB161" s="117" t="s">
        <v>834</v>
      </c>
      <c r="AC161" s="117"/>
      <c r="AD161" s="117" t="s">
        <v>834</v>
      </c>
      <c r="AE161" s="117" t="s">
        <v>834</v>
      </c>
      <c r="AF161" s="117"/>
      <c r="AG161" s="117" t="s">
        <v>835</v>
      </c>
      <c r="AH161" s="117">
        <v>3216090306010010</v>
      </c>
      <c r="AI161" s="117" t="s">
        <v>68</v>
      </c>
      <c r="AJ161" s="117"/>
      <c r="AK161" s="117"/>
      <c r="AL161" s="117">
        <v>6281400762344</v>
      </c>
      <c r="AM161" s="117"/>
      <c r="AN161" s="117"/>
      <c r="AO161" s="117" t="s">
        <v>837</v>
      </c>
      <c r="AP161" s="117"/>
      <c r="AQ161" s="117" t="s">
        <v>808</v>
      </c>
      <c r="AR161" s="117" t="s">
        <v>1908</v>
      </c>
      <c r="AS161" s="117" t="s">
        <v>809</v>
      </c>
      <c r="AT161" s="117" t="s">
        <v>1931</v>
      </c>
      <c r="AU161" s="117" t="b">
        <v>1</v>
      </c>
      <c r="AV161" s="117" t="b">
        <v>1</v>
      </c>
      <c r="AW161" s="117" t="s">
        <v>832</v>
      </c>
      <c r="AX161" s="117" t="s">
        <v>833</v>
      </c>
      <c r="AY161" s="117" t="s">
        <v>2204</v>
      </c>
      <c r="AZ161" s="117" t="s">
        <v>2205</v>
      </c>
      <c r="BA161" s="117" t="b">
        <v>1</v>
      </c>
      <c r="BB161" s="117" t="b">
        <v>1</v>
      </c>
      <c r="BC161" s="117"/>
      <c r="BD161" s="117"/>
      <c r="BE161" s="117">
        <v>0</v>
      </c>
    </row>
    <row r="162" spans="1:57" ht="16">
      <c r="A162" s="117" t="s">
        <v>805</v>
      </c>
      <c r="B162" s="117" t="s">
        <v>806</v>
      </c>
      <c r="C162" s="117" t="s">
        <v>807</v>
      </c>
      <c r="D162" s="117" t="s">
        <v>808</v>
      </c>
      <c r="E162" s="117" t="s">
        <v>809</v>
      </c>
      <c r="F162" s="117" t="s">
        <v>851</v>
      </c>
      <c r="G162" s="117" t="s">
        <v>852</v>
      </c>
      <c r="H162" s="118" t="s">
        <v>2577</v>
      </c>
      <c r="I162" s="119" t="s">
        <v>2600</v>
      </c>
      <c r="J162" s="120" t="s">
        <v>2508</v>
      </c>
      <c r="K162" s="120" t="s">
        <v>2508</v>
      </c>
      <c r="L162" s="118"/>
      <c r="M162" s="119"/>
      <c r="N162" s="118"/>
      <c r="O162" s="119"/>
      <c r="P162" s="117" t="s">
        <v>88</v>
      </c>
      <c r="Q162" s="117" t="s">
        <v>44</v>
      </c>
      <c r="R162" s="117" t="b">
        <v>1</v>
      </c>
      <c r="S162" s="117" t="b">
        <v>1</v>
      </c>
      <c r="T162" s="117" t="b">
        <v>1</v>
      </c>
      <c r="U162" s="117" t="b">
        <v>0</v>
      </c>
      <c r="V162" s="117" t="b">
        <v>0</v>
      </c>
      <c r="W162" s="117" t="b">
        <v>1</v>
      </c>
      <c r="X162" s="117" t="b">
        <v>1</v>
      </c>
      <c r="Y162" s="117" t="b">
        <v>0</v>
      </c>
      <c r="Z162" s="117" t="b">
        <v>0</v>
      </c>
      <c r="AA162" s="117"/>
      <c r="AB162" s="117" t="s">
        <v>853</v>
      </c>
      <c r="AC162" s="117"/>
      <c r="AD162" s="117" t="s">
        <v>853</v>
      </c>
      <c r="AE162" s="117" t="s">
        <v>854</v>
      </c>
      <c r="AF162" s="117" t="b">
        <v>0</v>
      </c>
      <c r="AG162" s="117" t="s">
        <v>855</v>
      </c>
      <c r="AH162" s="117">
        <v>3306081110930000</v>
      </c>
      <c r="AI162" s="117" t="s">
        <v>68</v>
      </c>
      <c r="AJ162" s="117" t="s">
        <v>816</v>
      </c>
      <c r="AK162" s="117">
        <v>6285813033710</v>
      </c>
      <c r="AL162" s="117">
        <v>6285813033710</v>
      </c>
      <c r="AM162" s="117" t="s">
        <v>858</v>
      </c>
      <c r="AN162" s="117"/>
      <c r="AO162" s="117" t="s">
        <v>859</v>
      </c>
      <c r="AP162" s="117" t="s">
        <v>373</v>
      </c>
      <c r="AQ162" s="117" t="s">
        <v>808</v>
      </c>
      <c r="AR162" s="117" t="s">
        <v>1908</v>
      </c>
      <c r="AS162" s="117" t="s">
        <v>809</v>
      </c>
      <c r="AT162" s="117" t="s">
        <v>1931</v>
      </c>
      <c r="AU162" s="117" t="b">
        <v>1</v>
      </c>
      <c r="AV162" s="117" t="b">
        <v>1</v>
      </c>
      <c r="AW162" s="117" t="s">
        <v>851</v>
      </c>
      <c r="AX162" s="117" t="s">
        <v>852</v>
      </c>
      <c r="AY162" s="117" t="s">
        <v>2208</v>
      </c>
      <c r="AZ162" s="117" t="s">
        <v>2209</v>
      </c>
      <c r="BA162" s="117" t="b">
        <v>1</v>
      </c>
      <c r="BB162" s="117" t="b">
        <v>1</v>
      </c>
      <c r="BC162" s="117"/>
      <c r="BD162" s="117"/>
      <c r="BE162" s="117">
        <v>0</v>
      </c>
    </row>
    <row r="163" spans="1:57" ht="16">
      <c r="A163" s="117" t="s">
        <v>805</v>
      </c>
      <c r="B163" s="117" t="s">
        <v>806</v>
      </c>
      <c r="C163" s="117" t="s">
        <v>807</v>
      </c>
      <c r="D163" s="117" t="s">
        <v>808</v>
      </c>
      <c r="E163" s="117" t="s">
        <v>809</v>
      </c>
      <c r="F163" s="117" t="s">
        <v>1642</v>
      </c>
      <c r="G163" s="117" t="s">
        <v>1641</v>
      </c>
      <c r="H163" s="118" t="s">
        <v>1642</v>
      </c>
      <c r="I163" s="119" t="s">
        <v>1641</v>
      </c>
      <c r="J163" s="120" t="s">
        <v>2508</v>
      </c>
      <c r="K163" s="120" t="s">
        <v>2508</v>
      </c>
      <c r="L163" s="118"/>
      <c r="M163" s="119"/>
      <c r="N163" s="118"/>
      <c r="O163" s="119"/>
      <c r="P163" s="117" t="s">
        <v>88</v>
      </c>
      <c r="Q163" s="117" t="s">
        <v>45</v>
      </c>
      <c r="R163" s="117" t="b">
        <v>1</v>
      </c>
      <c r="S163" s="117" t="b">
        <v>1</v>
      </c>
      <c r="T163" s="117" t="b">
        <v>1</v>
      </c>
      <c r="U163" s="117" t="b">
        <v>0</v>
      </c>
      <c r="V163" s="117" t="b">
        <v>0</v>
      </c>
      <c r="W163" s="117" t="b">
        <v>1</v>
      </c>
      <c r="X163" s="117" t="b">
        <v>1</v>
      </c>
      <c r="Y163" s="117" t="b">
        <v>0</v>
      </c>
      <c r="Z163" s="117" t="b">
        <v>0</v>
      </c>
      <c r="AA163" s="117"/>
      <c r="AB163" s="117" t="s">
        <v>1643</v>
      </c>
      <c r="AC163" s="117"/>
      <c r="AD163" s="117" t="s">
        <v>1643</v>
      </c>
      <c r="AE163" s="117" t="s">
        <v>1643</v>
      </c>
      <c r="AF163" s="117"/>
      <c r="AG163" s="117" t="s">
        <v>1644</v>
      </c>
      <c r="AH163" s="117">
        <v>3275031505830030</v>
      </c>
      <c r="AI163" s="117" t="s">
        <v>68</v>
      </c>
      <c r="AJ163" s="117"/>
      <c r="AK163" s="117"/>
      <c r="AL163" s="117">
        <v>6289602777915</v>
      </c>
      <c r="AM163" s="117"/>
      <c r="AN163" s="117"/>
      <c r="AO163" s="117" t="s">
        <v>1646</v>
      </c>
      <c r="AP163" s="117"/>
      <c r="AQ163" s="117" t="s">
        <v>808</v>
      </c>
      <c r="AR163" s="117" t="s">
        <v>1908</v>
      </c>
      <c r="AS163" s="117" t="s">
        <v>809</v>
      </c>
      <c r="AT163" s="117" t="s">
        <v>1931</v>
      </c>
      <c r="AU163" s="117" t="b">
        <v>1</v>
      </c>
      <c r="AV163" s="117" t="b">
        <v>1</v>
      </c>
      <c r="AW163" s="117" t="s">
        <v>1642</v>
      </c>
      <c r="AX163" s="117" t="s">
        <v>1641</v>
      </c>
      <c r="AY163" s="117" t="s">
        <v>2424</v>
      </c>
      <c r="AZ163" s="117" t="s">
        <v>2425</v>
      </c>
      <c r="BA163" s="117" t="b">
        <v>1</v>
      </c>
      <c r="BB163" s="117" t="b">
        <v>1</v>
      </c>
      <c r="BC163" s="117"/>
      <c r="BD163" s="117"/>
      <c r="BE163" s="117">
        <v>0</v>
      </c>
    </row>
    <row r="164" spans="1:57" ht="16">
      <c r="A164" s="117" t="s">
        <v>805</v>
      </c>
      <c r="B164" s="117" t="s">
        <v>806</v>
      </c>
      <c r="C164" s="117" t="s">
        <v>807</v>
      </c>
      <c r="D164" s="117" t="s">
        <v>808</v>
      </c>
      <c r="E164" s="117" t="s">
        <v>809</v>
      </c>
      <c r="F164" s="117" t="s">
        <v>1654</v>
      </c>
      <c r="G164" s="117" t="s">
        <v>1653</v>
      </c>
      <c r="H164" s="118" t="s">
        <v>1654</v>
      </c>
      <c r="I164" s="119" t="s">
        <v>1653</v>
      </c>
      <c r="J164" s="120" t="s">
        <v>2508</v>
      </c>
      <c r="K164" s="120" t="s">
        <v>2508</v>
      </c>
      <c r="L164" s="118"/>
      <c r="M164" s="119"/>
      <c r="N164" s="118"/>
      <c r="O164" s="119"/>
      <c r="P164" s="117" t="s">
        <v>88</v>
      </c>
      <c r="Q164" s="117" t="s">
        <v>45</v>
      </c>
      <c r="R164" s="117" t="b">
        <v>1</v>
      </c>
      <c r="S164" s="117" t="b">
        <v>1</v>
      </c>
      <c r="T164" s="117" t="b">
        <v>1</v>
      </c>
      <c r="U164" s="117" t="b">
        <v>0</v>
      </c>
      <c r="V164" s="117" t="b">
        <v>0</v>
      </c>
      <c r="W164" s="117" t="b">
        <v>1</v>
      </c>
      <c r="X164" s="117" t="b">
        <v>1</v>
      </c>
      <c r="Y164" s="117" t="b">
        <v>0</v>
      </c>
      <c r="Z164" s="117" t="b">
        <v>0</v>
      </c>
      <c r="AA164" s="117"/>
      <c r="AB164" s="117" t="s">
        <v>1655</v>
      </c>
      <c r="AC164" s="117"/>
      <c r="AD164" s="117" t="s">
        <v>1655</v>
      </c>
      <c r="AE164" s="117" t="s">
        <v>1655</v>
      </c>
      <c r="AF164" s="117"/>
      <c r="AG164" s="117" t="s">
        <v>1656</v>
      </c>
      <c r="AH164" s="117">
        <v>3306085202930000</v>
      </c>
      <c r="AI164" s="117" t="s">
        <v>119</v>
      </c>
      <c r="AJ164" s="117"/>
      <c r="AK164" s="117"/>
      <c r="AL164" s="117">
        <v>6289602777919</v>
      </c>
      <c r="AM164" s="117"/>
      <c r="AN164" s="117"/>
      <c r="AO164" s="117" t="s">
        <v>1658</v>
      </c>
      <c r="AP164" s="117"/>
      <c r="AQ164" s="117" t="s">
        <v>808</v>
      </c>
      <c r="AR164" s="117" t="s">
        <v>1908</v>
      </c>
      <c r="AS164" s="117" t="s">
        <v>809</v>
      </c>
      <c r="AT164" s="117" t="s">
        <v>1931</v>
      </c>
      <c r="AU164" s="117" t="b">
        <v>1</v>
      </c>
      <c r="AV164" s="117" t="b">
        <v>1</v>
      </c>
      <c r="AW164" s="117" t="s">
        <v>1654</v>
      </c>
      <c r="AX164" s="117" t="s">
        <v>1653</v>
      </c>
      <c r="AY164" s="117" t="s">
        <v>2428</v>
      </c>
      <c r="AZ164" s="117" t="s">
        <v>2429</v>
      </c>
      <c r="BA164" s="117" t="b">
        <v>1</v>
      </c>
      <c r="BB164" s="117" t="b">
        <v>1</v>
      </c>
      <c r="BC164" s="117"/>
      <c r="BD164" s="117"/>
      <c r="BE164" s="117">
        <v>0</v>
      </c>
    </row>
    <row r="165" spans="1:57" ht="16">
      <c r="A165" s="117" t="s">
        <v>805</v>
      </c>
      <c r="B165" s="117" t="s">
        <v>806</v>
      </c>
      <c r="C165" s="117" t="s">
        <v>807</v>
      </c>
      <c r="D165" s="117" t="s">
        <v>808</v>
      </c>
      <c r="E165" s="117" t="s">
        <v>809</v>
      </c>
      <c r="F165" s="117" t="s">
        <v>1660</v>
      </c>
      <c r="G165" s="117" t="s">
        <v>1659</v>
      </c>
      <c r="H165" s="118" t="s">
        <v>1660</v>
      </c>
      <c r="I165" s="119" t="s">
        <v>1659</v>
      </c>
      <c r="J165" s="120" t="s">
        <v>2508</v>
      </c>
      <c r="K165" s="120" t="s">
        <v>2508</v>
      </c>
      <c r="L165" s="118"/>
      <c r="M165" s="119"/>
      <c r="N165" s="118"/>
      <c r="O165" s="119"/>
      <c r="P165" s="117" t="s">
        <v>88</v>
      </c>
      <c r="Q165" s="117" t="s">
        <v>45</v>
      </c>
      <c r="R165" s="117" t="b">
        <v>1</v>
      </c>
      <c r="S165" s="117" t="b">
        <v>1</v>
      </c>
      <c r="T165" s="117" t="b">
        <v>1</v>
      </c>
      <c r="U165" s="117" t="b">
        <v>0</v>
      </c>
      <c r="V165" s="117" t="b">
        <v>0</v>
      </c>
      <c r="W165" s="117" t="b">
        <v>1</v>
      </c>
      <c r="X165" s="117" t="b">
        <v>1</v>
      </c>
      <c r="Y165" s="117" t="b">
        <v>0</v>
      </c>
      <c r="Z165" s="117" t="b">
        <v>0</v>
      </c>
      <c r="AA165" s="117"/>
      <c r="AB165" s="117" t="s">
        <v>1661</v>
      </c>
      <c r="AC165" s="117"/>
      <c r="AD165" s="117" t="s">
        <v>1661</v>
      </c>
      <c r="AE165" s="117" t="s">
        <v>1661</v>
      </c>
      <c r="AF165" s="117"/>
      <c r="AG165" s="117" t="s">
        <v>1662</v>
      </c>
      <c r="AH165" s="117">
        <v>3216191203850000</v>
      </c>
      <c r="AI165" s="117" t="s">
        <v>68</v>
      </c>
      <c r="AJ165" s="117"/>
      <c r="AK165" s="117"/>
      <c r="AL165" s="117">
        <v>6289602777920</v>
      </c>
      <c r="AM165" s="117"/>
      <c r="AN165" s="117"/>
      <c r="AO165" s="117" t="s">
        <v>1664</v>
      </c>
      <c r="AP165" s="117"/>
      <c r="AQ165" s="117" t="s">
        <v>808</v>
      </c>
      <c r="AR165" s="117" t="s">
        <v>1908</v>
      </c>
      <c r="AS165" s="117" t="s">
        <v>809</v>
      </c>
      <c r="AT165" s="117" t="s">
        <v>1931</v>
      </c>
      <c r="AU165" s="117" t="b">
        <v>1</v>
      </c>
      <c r="AV165" s="117" t="b">
        <v>1</v>
      </c>
      <c r="AW165" s="117" t="s">
        <v>1660</v>
      </c>
      <c r="AX165" s="117" t="s">
        <v>1659</v>
      </c>
      <c r="AY165" s="117" t="s">
        <v>2430</v>
      </c>
      <c r="AZ165" s="117" t="s">
        <v>2431</v>
      </c>
      <c r="BA165" s="117" t="b">
        <v>1</v>
      </c>
      <c r="BB165" s="117" t="b">
        <v>1</v>
      </c>
      <c r="BC165" s="117"/>
      <c r="BD165" s="117"/>
      <c r="BE165" s="117">
        <v>0</v>
      </c>
    </row>
    <row r="166" spans="1:57" ht="16">
      <c r="A166" s="117" t="s">
        <v>805</v>
      </c>
      <c r="B166" s="117" t="s">
        <v>820</v>
      </c>
      <c r="C166" s="117" t="s">
        <v>821</v>
      </c>
      <c r="D166" s="117" t="s">
        <v>822</v>
      </c>
      <c r="E166" s="117" t="s">
        <v>823</v>
      </c>
      <c r="F166" s="117" t="s">
        <v>824</v>
      </c>
      <c r="G166" s="117" t="s">
        <v>825</v>
      </c>
      <c r="H166" s="118" t="s">
        <v>2578</v>
      </c>
      <c r="I166" s="119" t="s">
        <v>2601</v>
      </c>
      <c r="J166" s="120" t="s">
        <v>2508</v>
      </c>
      <c r="K166" s="120" t="s">
        <v>2508</v>
      </c>
      <c r="L166" s="118"/>
      <c r="M166" s="119"/>
      <c r="N166" s="118"/>
      <c r="O166" s="119"/>
      <c r="P166" s="117" t="s">
        <v>88</v>
      </c>
      <c r="Q166" s="117" t="s">
        <v>44</v>
      </c>
      <c r="R166" s="117" t="b">
        <v>1</v>
      </c>
      <c r="S166" s="117" t="b">
        <v>1</v>
      </c>
      <c r="T166" s="117" t="b">
        <v>1</v>
      </c>
      <c r="U166" s="117" t="b">
        <v>0</v>
      </c>
      <c r="V166" s="117" t="b">
        <v>0</v>
      </c>
      <c r="W166" s="117" t="b">
        <v>1</v>
      </c>
      <c r="X166" s="117" t="b">
        <v>1</v>
      </c>
      <c r="Y166" s="117" t="b">
        <v>0</v>
      </c>
      <c r="Z166" s="117" t="b">
        <v>0</v>
      </c>
      <c r="AA166" s="117"/>
      <c r="AB166" s="117" t="s">
        <v>826</v>
      </c>
      <c r="AC166" s="117"/>
      <c r="AD166" s="117" t="s">
        <v>826</v>
      </c>
      <c r="AE166" s="117" t="s">
        <v>826</v>
      </c>
      <c r="AF166" s="117" t="b">
        <v>0</v>
      </c>
      <c r="AG166" s="117" t="s">
        <v>827</v>
      </c>
      <c r="AH166" s="117">
        <v>3215080212920000</v>
      </c>
      <c r="AI166" s="117" t="s">
        <v>68</v>
      </c>
      <c r="AJ166" s="117" t="s">
        <v>816</v>
      </c>
      <c r="AK166" s="117">
        <v>6285880078885</v>
      </c>
      <c r="AL166" s="117">
        <v>6285880078885</v>
      </c>
      <c r="AM166" s="117" t="s">
        <v>830</v>
      </c>
      <c r="AN166" s="117"/>
      <c r="AO166" s="117" t="s">
        <v>831</v>
      </c>
      <c r="AP166" s="117" t="s">
        <v>373</v>
      </c>
      <c r="AQ166" s="117" t="s">
        <v>822</v>
      </c>
      <c r="AR166" s="117" t="s">
        <v>1908</v>
      </c>
      <c r="AS166" s="117" t="s">
        <v>823</v>
      </c>
      <c r="AT166" s="117" t="s">
        <v>1931</v>
      </c>
      <c r="AU166" s="117" t="b">
        <v>1</v>
      </c>
      <c r="AV166" s="117" t="b">
        <v>1</v>
      </c>
      <c r="AW166" s="117" t="s">
        <v>824</v>
      </c>
      <c r="AX166" s="117" t="s">
        <v>825</v>
      </c>
      <c r="AY166" s="117" t="s">
        <v>2202</v>
      </c>
      <c r="AZ166" s="117" t="s">
        <v>2203</v>
      </c>
      <c r="BA166" s="117" t="b">
        <v>1</v>
      </c>
      <c r="BB166" s="117" t="b">
        <v>1</v>
      </c>
      <c r="BC166" s="117"/>
      <c r="BD166" s="117"/>
      <c r="BE166" s="117">
        <v>0</v>
      </c>
    </row>
    <row r="167" spans="1:57" ht="16">
      <c r="A167" s="117" t="s">
        <v>805</v>
      </c>
      <c r="B167" s="117" t="s">
        <v>820</v>
      </c>
      <c r="C167" s="117" t="s">
        <v>821</v>
      </c>
      <c r="D167" s="117" t="s">
        <v>822</v>
      </c>
      <c r="E167" s="117" t="s">
        <v>823</v>
      </c>
      <c r="F167" s="117" t="s">
        <v>860</v>
      </c>
      <c r="G167" s="117" t="s">
        <v>861</v>
      </c>
      <c r="H167" s="118" t="s">
        <v>2579</v>
      </c>
      <c r="I167" s="119" t="s">
        <v>2602</v>
      </c>
      <c r="J167" s="120" t="s">
        <v>2508</v>
      </c>
      <c r="K167" s="120" t="s">
        <v>2508</v>
      </c>
      <c r="L167" s="118"/>
      <c r="M167" s="119"/>
      <c r="N167" s="118"/>
      <c r="O167" s="119"/>
      <c r="P167" s="117" t="s">
        <v>88</v>
      </c>
      <c r="Q167" s="117" t="s">
        <v>45</v>
      </c>
      <c r="R167" s="117" t="b">
        <v>1</v>
      </c>
      <c r="S167" s="117" t="b">
        <v>1</v>
      </c>
      <c r="T167" s="117" t="b">
        <v>1</v>
      </c>
      <c r="U167" s="117" t="b">
        <v>0</v>
      </c>
      <c r="V167" s="117" t="b">
        <v>0</v>
      </c>
      <c r="W167" s="117" t="b">
        <v>1</v>
      </c>
      <c r="X167" s="117" t="b">
        <v>1</v>
      </c>
      <c r="Y167" s="117" t="b">
        <v>0</v>
      </c>
      <c r="Z167" s="117" t="b">
        <v>0</v>
      </c>
      <c r="AA167" s="117"/>
      <c r="AB167" s="117" t="s">
        <v>862</v>
      </c>
      <c r="AC167" s="117"/>
      <c r="AD167" s="117" t="s">
        <v>862</v>
      </c>
      <c r="AE167" s="117" t="s">
        <v>862</v>
      </c>
      <c r="AF167" s="117"/>
      <c r="AG167" s="117" t="s">
        <v>863</v>
      </c>
      <c r="AH167" s="117">
        <v>3216102311030010</v>
      </c>
      <c r="AI167" s="117" t="s">
        <v>68</v>
      </c>
      <c r="AJ167" s="117"/>
      <c r="AK167" s="117"/>
      <c r="AL167" s="117">
        <v>6285811023192</v>
      </c>
      <c r="AM167" s="117"/>
      <c r="AN167" s="117"/>
      <c r="AO167" s="117" t="s">
        <v>865</v>
      </c>
      <c r="AP167" s="117"/>
      <c r="AQ167" s="117" t="s">
        <v>822</v>
      </c>
      <c r="AR167" s="117" t="s">
        <v>1908</v>
      </c>
      <c r="AS167" s="117" t="s">
        <v>823</v>
      </c>
      <c r="AT167" s="117" t="s">
        <v>1931</v>
      </c>
      <c r="AU167" s="117" t="b">
        <v>1</v>
      </c>
      <c r="AV167" s="117" t="b">
        <v>1</v>
      </c>
      <c r="AW167" s="117" t="s">
        <v>860</v>
      </c>
      <c r="AX167" s="117" t="s">
        <v>861</v>
      </c>
      <c r="AY167" s="117" t="s">
        <v>2210</v>
      </c>
      <c r="AZ167" s="117" t="s">
        <v>2211</v>
      </c>
      <c r="BA167" s="117" t="b">
        <v>1</v>
      </c>
      <c r="BB167" s="117" t="b">
        <v>1</v>
      </c>
      <c r="BC167" s="117"/>
      <c r="BD167" s="117"/>
      <c r="BE167" s="117">
        <v>0</v>
      </c>
    </row>
    <row r="168" spans="1:57" ht="16">
      <c r="A168" s="117" t="s">
        <v>805</v>
      </c>
      <c r="B168" s="117" t="s">
        <v>820</v>
      </c>
      <c r="C168" s="117" t="s">
        <v>821</v>
      </c>
      <c r="D168" s="117" t="s">
        <v>822</v>
      </c>
      <c r="E168" s="117" t="s">
        <v>823</v>
      </c>
      <c r="F168" s="117" t="s">
        <v>1087</v>
      </c>
      <c r="G168" s="117" t="s">
        <v>1088</v>
      </c>
      <c r="H168" s="118" t="s">
        <v>1087</v>
      </c>
      <c r="I168" s="119" t="s">
        <v>1088</v>
      </c>
      <c r="J168" s="120" t="s">
        <v>2508</v>
      </c>
      <c r="K168" s="120" t="s">
        <v>2508</v>
      </c>
      <c r="L168" s="118"/>
      <c r="M168" s="119"/>
      <c r="N168" s="118"/>
      <c r="O168" s="119"/>
      <c r="P168" s="117" t="s">
        <v>88</v>
      </c>
      <c r="Q168" s="117" t="s">
        <v>45</v>
      </c>
      <c r="R168" s="117" t="b">
        <v>1</v>
      </c>
      <c r="S168" s="117" t="b">
        <v>1</v>
      </c>
      <c r="T168" s="117" t="b">
        <v>1</v>
      </c>
      <c r="U168" s="117" t="b">
        <v>0</v>
      </c>
      <c r="V168" s="117" t="b">
        <v>0</v>
      </c>
      <c r="W168" s="117" t="b">
        <v>1</v>
      </c>
      <c r="X168" s="117" t="b">
        <v>1</v>
      </c>
      <c r="Y168" s="117" t="b">
        <v>0</v>
      </c>
      <c r="Z168" s="117" t="b">
        <v>0</v>
      </c>
      <c r="AA168" s="117"/>
      <c r="AB168" s="117" t="s">
        <v>1089</v>
      </c>
      <c r="AC168" s="117"/>
      <c r="AD168" s="117" t="s">
        <v>1089</v>
      </c>
      <c r="AE168" s="117" t="s">
        <v>1089</v>
      </c>
      <c r="AF168" s="117"/>
      <c r="AG168" s="117">
        <v>0</v>
      </c>
      <c r="AH168" s="117">
        <v>3215081504960000</v>
      </c>
      <c r="AI168" s="117" t="s">
        <v>68</v>
      </c>
      <c r="AJ168" s="117"/>
      <c r="AK168" s="117"/>
      <c r="AL168" s="117">
        <v>6285781288549</v>
      </c>
      <c r="AM168" s="117"/>
      <c r="AN168" s="117"/>
      <c r="AO168" s="117" t="s">
        <v>1091</v>
      </c>
      <c r="AP168" s="117"/>
      <c r="AQ168" s="117" t="s">
        <v>822</v>
      </c>
      <c r="AR168" s="117" t="s">
        <v>1908</v>
      </c>
      <c r="AS168" s="117" t="s">
        <v>823</v>
      </c>
      <c r="AT168" s="117" t="s">
        <v>1931</v>
      </c>
      <c r="AU168" s="117" t="b">
        <v>1</v>
      </c>
      <c r="AV168" s="117" t="b">
        <v>1</v>
      </c>
      <c r="AW168" s="117" t="s">
        <v>1087</v>
      </c>
      <c r="AX168" s="117" t="s">
        <v>1088</v>
      </c>
      <c r="AY168" s="117" t="s">
        <v>2276</v>
      </c>
      <c r="AZ168" s="117" t="s">
        <v>2277</v>
      </c>
      <c r="BA168" s="117" t="b">
        <v>1</v>
      </c>
      <c r="BB168" s="117" t="b">
        <v>1</v>
      </c>
      <c r="BC168" s="117"/>
      <c r="BD168" s="117"/>
      <c r="BE168" s="117" t="s">
        <v>2505</v>
      </c>
    </row>
    <row r="169" spans="1:57" ht="16">
      <c r="A169" s="117" t="s">
        <v>805</v>
      </c>
      <c r="B169" s="117" t="s">
        <v>820</v>
      </c>
      <c r="C169" s="117" t="s">
        <v>821</v>
      </c>
      <c r="D169" s="117" t="s">
        <v>822</v>
      </c>
      <c r="E169" s="117" t="s">
        <v>823</v>
      </c>
      <c r="F169" s="117" t="s">
        <v>1464</v>
      </c>
      <c r="G169" s="117" t="s">
        <v>1463</v>
      </c>
      <c r="H169" s="118" t="s">
        <v>1464</v>
      </c>
      <c r="I169" s="119" t="s">
        <v>1463</v>
      </c>
      <c r="J169" s="120" t="s">
        <v>2508</v>
      </c>
      <c r="K169" s="120" t="s">
        <v>2508</v>
      </c>
      <c r="L169" s="118"/>
      <c r="M169" s="119"/>
      <c r="N169" s="118"/>
      <c r="O169" s="119"/>
      <c r="P169" s="117" t="s">
        <v>88</v>
      </c>
      <c r="Q169" s="117" t="s">
        <v>45</v>
      </c>
      <c r="R169" s="117" t="b">
        <v>1</v>
      </c>
      <c r="S169" s="117" t="b">
        <v>1</v>
      </c>
      <c r="T169" s="117" t="b">
        <v>1</v>
      </c>
      <c r="U169" s="117" t="b">
        <v>0</v>
      </c>
      <c r="V169" s="117" t="b">
        <v>0</v>
      </c>
      <c r="W169" s="117" t="b">
        <v>1</v>
      </c>
      <c r="X169" s="117" t="b">
        <v>1</v>
      </c>
      <c r="Y169" s="117" t="b">
        <v>0</v>
      </c>
      <c r="Z169" s="117" t="b">
        <v>0</v>
      </c>
      <c r="AA169" s="117"/>
      <c r="AB169" s="117" t="s">
        <v>1465</v>
      </c>
      <c r="AC169" s="117"/>
      <c r="AD169" s="117" t="s">
        <v>1465</v>
      </c>
      <c r="AE169" s="117" t="s">
        <v>1465</v>
      </c>
      <c r="AF169" s="117"/>
      <c r="AG169" s="117" t="s">
        <v>1466</v>
      </c>
      <c r="AH169" s="117">
        <v>3216191108900000</v>
      </c>
      <c r="AI169" s="117" t="s">
        <v>68</v>
      </c>
      <c r="AJ169" s="117"/>
      <c r="AK169" s="117"/>
      <c r="AL169" s="117">
        <v>6289602777917</v>
      </c>
      <c r="AM169" s="117"/>
      <c r="AN169" s="117"/>
      <c r="AO169" s="117" t="s">
        <v>1468</v>
      </c>
      <c r="AP169" s="117"/>
      <c r="AQ169" s="117" t="s">
        <v>822</v>
      </c>
      <c r="AR169" s="117" t="s">
        <v>1908</v>
      </c>
      <c r="AS169" s="117" t="s">
        <v>823</v>
      </c>
      <c r="AT169" s="117" t="s">
        <v>1931</v>
      </c>
      <c r="AU169" s="117" t="b">
        <v>1</v>
      </c>
      <c r="AV169" s="117" t="b">
        <v>1</v>
      </c>
      <c r="AW169" s="117" t="s">
        <v>1464</v>
      </c>
      <c r="AX169" s="117" t="s">
        <v>1463</v>
      </c>
      <c r="AY169" s="117" t="s">
        <v>2380</v>
      </c>
      <c r="AZ169" s="117" t="s">
        <v>2381</v>
      </c>
      <c r="BA169" s="117" t="b">
        <v>1</v>
      </c>
      <c r="BB169" s="117" t="b">
        <v>1</v>
      </c>
      <c r="BC169" s="117"/>
      <c r="BD169" s="117"/>
      <c r="BE169" s="117">
        <v>0</v>
      </c>
    </row>
    <row r="170" spans="1:57" ht="16">
      <c r="A170" s="117" t="s">
        <v>805</v>
      </c>
      <c r="B170" s="117" t="s">
        <v>820</v>
      </c>
      <c r="C170" s="117" t="s">
        <v>821</v>
      </c>
      <c r="D170" s="117" t="s">
        <v>822</v>
      </c>
      <c r="E170" s="117" t="s">
        <v>823</v>
      </c>
      <c r="F170" s="117" t="s">
        <v>1666</v>
      </c>
      <c r="G170" s="117" t="s">
        <v>1665</v>
      </c>
      <c r="H170" s="118" t="s">
        <v>1666</v>
      </c>
      <c r="I170" s="119" t="s">
        <v>1665</v>
      </c>
      <c r="J170" s="120" t="s">
        <v>2508</v>
      </c>
      <c r="K170" s="120" t="s">
        <v>2508</v>
      </c>
      <c r="L170" s="118"/>
      <c r="M170" s="119"/>
      <c r="N170" s="118"/>
      <c r="O170" s="119"/>
      <c r="P170" s="117" t="s">
        <v>88</v>
      </c>
      <c r="Q170" s="117" t="s">
        <v>45</v>
      </c>
      <c r="R170" s="117" t="b">
        <v>1</v>
      </c>
      <c r="S170" s="117" t="b">
        <v>1</v>
      </c>
      <c r="T170" s="117" t="b">
        <v>1</v>
      </c>
      <c r="U170" s="117" t="b">
        <v>0</v>
      </c>
      <c r="V170" s="117" t="b">
        <v>0</v>
      </c>
      <c r="W170" s="117" t="b">
        <v>1</v>
      </c>
      <c r="X170" s="117" t="b">
        <v>1</v>
      </c>
      <c r="Y170" s="117" t="b">
        <v>0</v>
      </c>
      <c r="Z170" s="117" t="b">
        <v>0</v>
      </c>
      <c r="AA170" s="117"/>
      <c r="AB170" s="117" t="s">
        <v>1667</v>
      </c>
      <c r="AC170" s="117"/>
      <c r="AD170" s="117" t="s">
        <v>1667</v>
      </c>
      <c r="AE170" s="117" t="s">
        <v>1667</v>
      </c>
      <c r="AF170" s="117"/>
      <c r="AG170" s="117">
        <v>0</v>
      </c>
      <c r="AH170" s="117">
        <v>3216110106850000</v>
      </c>
      <c r="AI170" s="117" t="s">
        <v>68</v>
      </c>
      <c r="AJ170" s="117" t="s">
        <v>32</v>
      </c>
      <c r="AK170" s="117"/>
      <c r="AL170" s="117">
        <v>628985558965</v>
      </c>
      <c r="AM170" s="117"/>
      <c r="AN170" s="117"/>
      <c r="AO170" s="117" t="s">
        <v>1669</v>
      </c>
      <c r="AP170" s="117"/>
      <c r="AQ170" s="117" t="s">
        <v>822</v>
      </c>
      <c r="AR170" s="117" t="s">
        <v>1908</v>
      </c>
      <c r="AS170" s="117" t="s">
        <v>823</v>
      </c>
      <c r="AT170" s="117" t="s">
        <v>1931</v>
      </c>
      <c r="AU170" s="117" t="b">
        <v>1</v>
      </c>
      <c r="AV170" s="117" t="b">
        <v>1</v>
      </c>
      <c r="AW170" s="117" t="s">
        <v>1666</v>
      </c>
      <c r="AX170" s="117" t="s">
        <v>1665</v>
      </c>
      <c r="AY170" s="117" t="s">
        <v>2432</v>
      </c>
      <c r="AZ170" s="117" t="s">
        <v>2433</v>
      </c>
      <c r="BA170" s="117" t="b">
        <v>1</v>
      </c>
      <c r="BB170" s="117" t="b">
        <v>1</v>
      </c>
      <c r="BC170" s="117"/>
      <c r="BD170" s="117"/>
      <c r="BE170" s="117">
        <v>0</v>
      </c>
    </row>
    <row r="171" spans="1:57" ht="16">
      <c r="A171" s="117" t="s">
        <v>805</v>
      </c>
      <c r="B171" s="117" t="s">
        <v>866</v>
      </c>
      <c r="C171" s="117" t="s">
        <v>920</v>
      </c>
      <c r="D171" s="117" t="s">
        <v>921</v>
      </c>
      <c r="E171" s="117" t="s">
        <v>922</v>
      </c>
      <c r="F171" s="117" t="s">
        <v>924</v>
      </c>
      <c r="G171" s="117" t="s">
        <v>925</v>
      </c>
      <c r="H171" s="118" t="s">
        <v>924</v>
      </c>
      <c r="I171" s="119" t="s">
        <v>925</v>
      </c>
      <c r="J171" s="120" t="s">
        <v>2508</v>
      </c>
      <c r="K171" s="120" t="s">
        <v>2508</v>
      </c>
      <c r="L171" s="118"/>
      <c r="M171" s="119"/>
      <c r="N171" s="118"/>
      <c r="O171" s="119"/>
      <c r="P171" s="117" t="s">
        <v>88</v>
      </c>
      <c r="Q171" s="117" t="s">
        <v>44</v>
      </c>
      <c r="R171" s="117" t="b">
        <v>1</v>
      </c>
      <c r="S171" s="117" t="b">
        <v>1</v>
      </c>
      <c r="T171" s="117" t="b">
        <v>1</v>
      </c>
      <c r="U171" s="117" t="b">
        <v>0</v>
      </c>
      <c r="V171" s="117" t="b">
        <v>0</v>
      </c>
      <c r="W171" s="117" t="b">
        <v>1</v>
      </c>
      <c r="X171" s="117" t="b">
        <v>1</v>
      </c>
      <c r="Y171" s="117" t="b">
        <v>0</v>
      </c>
      <c r="Z171" s="117" t="b">
        <v>0</v>
      </c>
      <c r="AA171" s="117"/>
      <c r="AB171" s="117" t="s">
        <v>926</v>
      </c>
      <c r="AC171" s="117"/>
      <c r="AD171" s="117" t="s">
        <v>926</v>
      </c>
      <c r="AE171" s="117" t="s">
        <v>926</v>
      </c>
      <c r="AF171" s="117" t="b">
        <v>0</v>
      </c>
      <c r="AG171" s="117" t="s">
        <v>927</v>
      </c>
      <c r="AH171" s="117">
        <v>3215092004800000</v>
      </c>
      <c r="AI171" s="117" t="s">
        <v>68</v>
      </c>
      <c r="AJ171" s="117" t="s">
        <v>32</v>
      </c>
      <c r="AK171" s="117">
        <v>85781839999</v>
      </c>
      <c r="AL171" s="117">
        <v>6285813655932</v>
      </c>
      <c r="AM171" s="117" t="s">
        <v>930</v>
      </c>
      <c r="AN171" s="117"/>
      <c r="AO171" s="117" t="s">
        <v>931</v>
      </c>
      <c r="AP171" s="117" t="s">
        <v>373</v>
      </c>
      <c r="AQ171" s="117" t="s">
        <v>921</v>
      </c>
      <c r="AR171" s="117" t="s">
        <v>923</v>
      </c>
      <c r="AS171" s="117" t="s">
        <v>922</v>
      </c>
      <c r="AT171" s="117" t="s">
        <v>1933</v>
      </c>
      <c r="AU171" s="117" t="b">
        <v>1</v>
      </c>
      <c r="AV171" s="117" t="b">
        <v>1</v>
      </c>
      <c r="AW171" s="117" t="s">
        <v>924</v>
      </c>
      <c r="AX171" s="117" t="s">
        <v>925</v>
      </c>
      <c r="AY171" s="117" t="s">
        <v>2224</v>
      </c>
      <c r="AZ171" s="117" t="s">
        <v>2225</v>
      </c>
      <c r="BA171" s="117" t="b">
        <v>1</v>
      </c>
      <c r="BB171" s="117" t="b">
        <v>1</v>
      </c>
      <c r="BC171" s="117"/>
      <c r="BD171" s="117"/>
      <c r="BE171" s="117">
        <v>0</v>
      </c>
    </row>
    <row r="172" spans="1:57" ht="16">
      <c r="A172" s="117" t="s">
        <v>805</v>
      </c>
      <c r="B172" s="117" t="s">
        <v>866</v>
      </c>
      <c r="C172" s="117" t="s">
        <v>867</v>
      </c>
      <c r="D172" s="117" t="s">
        <v>868</v>
      </c>
      <c r="E172" s="117" t="s">
        <v>869</v>
      </c>
      <c r="F172" s="117" t="s">
        <v>870</v>
      </c>
      <c r="G172" s="117" t="s">
        <v>871</v>
      </c>
      <c r="H172" s="118" t="s">
        <v>870</v>
      </c>
      <c r="I172" s="119" t="s">
        <v>871</v>
      </c>
      <c r="J172" s="120" t="s">
        <v>2508</v>
      </c>
      <c r="K172" s="120" t="s">
        <v>2508</v>
      </c>
      <c r="L172" s="118"/>
      <c r="M172" s="119"/>
      <c r="N172" s="118"/>
      <c r="O172" s="119"/>
      <c r="P172" s="117" t="s">
        <v>88</v>
      </c>
      <c r="Q172" s="117" t="s">
        <v>44</v>
      </c>
      <c r="R172" s="117" t="b">
        <v>1</v>
      </c>
      <c r="S172" s="117" t="b">
        <v>1</v>
      </c>
      <c r="T172" s="117" t="b">
        <v>1</v>
      </c>
      <c r="U172" s="117" t="b">
        <v>0</v>
      </c>
      <c r="V172" s="117" t="b">
        <v>0</v>
      </c>
      <c r="W172" s="117" t="b">
        <v>1</v>
      </c>
      <c r="X172" s="117" t="b">
        <v>1</v>
      </c>
      <c r="Y172" s="117" t="b">
        <v>0</v>
      </c>
      <c r="Z172" s="117" t="b">
        <v>0</v>
      </c>
      <c r="AA172" s="117"/>
      <c r="AB172" s="117" t="s">
        <v>872</v>
      </c>
      <c r="AC172" s="117"/>
      <c r="AD172" s="117" t="s">
        <v>872</v>
      </c>
      <c r="AE172" s="117" t="s">
        <v>872</v>
      </c>
      <c r="AF172" s="117" t="b">
        <v>0</v>
      </c>
      <c r="AG172" s="117" t="s">
        <v>873</v>
      </c>
      <c r="AH172" s="117">
        <v>3216141001980000</v>
      </c>
      <c r="AI172" s="117" t="s">
        <v>68</v>
      </c>
      <c r="AJ172" s="117" t="s">
        <v>32</v>
      </c>
      <c r="AK172" s="117">
        <v>85777813959</v>
      </c>
      <c r="AL172" s="117">
        <v>6285777813959</v>
      </c>
      <c r="AM172" s="117" t="s">
        <v>876</v>
      </c>
      <c r="AN172" s="117"/>
      <c r="AO172" s="117" t="s">
        <v>877</v>
      </c>
      <c r="AP172" s="117" t="s">
        <v>373</v>
      </c>
      <c r="AQ172" s="117" t="s">
        <v>868</v>
      </c>
      <c r="AR172" s="117" t="s">
        <v>1907</v>
      </c>
      <c r="AS172" s="117" t="s">
        <v>869</v>
      </c>
      <c r="AT172" s="117" t="s">
        <v>1932</v>
      </c>
      <c r="AU172" s="117" t="b">
        <v>1</v>
      </c>
      <c r="AV172" s="117" t="b">
        <v>1</v>
      </c>
      <c r="AW172" s="117" t="s">
        <v>870</v>
      </c>
      <c r="AX172" s="117" t="s">
        <v>871</v>
      </c>
      <c r="AY172" s="117" t="s">
        <v>2212</v>
      </c>
      <c r="AZ172" s="117" t="s">
        <v>2213</v>
      </c>
      <c r="BA172" s="117" t="b">
        <v>1</v>
      </c>
      <c r="BB172" s="117" t="b">
        <v>1</v>
      </c>
      <c r="BC172" s="117"/>
      <c r="BD172" s="117"/>
      <c r="BE172" s="117">
        <v>0</v>
      </c>
    </row>
    <row r="173" spans="1:57" ht="16">
      <c r="A173" s="117" t="s">
        <v>805</v>
      </c>
      <c r="B173" s="117" t="s">
        <v>866</v>
      </c>
      <c r="C173" s="117" t="s">
        <v>867</v>
      </c>
      <c r="D173" s="117" t="s">
        <v>868</v>
      </c>
      <c r="E173" s="117" t="s">
        <v>869</v>
      </c>
      <c r="F173" s="117" t="s">
        <v>888</v>
      </c>
      <c r="G173" s="117" t="s">
        <v>889</v>
      </c>
      <c r="H173" s="118" t="s">
        <v>888</v>
      </c>
      <c r="I173" s="119" t="s">
        <v>889</v>
      </c>
      <c r="J173" s="120" t="s">
        <v>2508</v>
      </c>
      <c r="K173" s="120" t="s">
        <v>2508</v>
      </c>
      <c r="L173" s="118"/>
      <c r="M173" s="119"/>
      <c r="N173" s="118"/>
      <c r="O173" s="119"/>
      <c r="P173" s="117" t="s">
        <v>88</v>
      </c>
      <c r="Q173" s="117" t="s">
        <v>45</v>
      </c>
      <c r="R173" s="117" t="b">
        <v>1</v>
      </c>
      <c r="S173" s="117" t="b">
        <v>1</v>
      </c>
      <c r="T173" s="117" t="b">
        <v>1</v>
      </c>
      <c r="U173" s="117" t="b">
        <v>0</v>
      </c>
      <c r="V173" s="117" t="b">
        <v>0</v>
      </c>
      <c r="W173" s="117" t="b">
        <v>1</v>
      </c>
      <c r="X173" s="117" t="b">
        <v>1</v>
      </c>
      <c r="Y173" s="117" t="b">
        <v>0</v>
      </c>
      <c r="Z173" s="117" t="b">
        <v>0</v>
      </c>
      <c r="AA173" s="117"/>
      <c r="AB173" s="117" t="s">
        <v>890</v>
      </c>
      <c r="AC173" s="117"/>
      <c r="AD173" s="117" t="s">
        <v>890</v>
      </c>
      <c r="AE173" s="117" t="s">
        <v>890</v>
      </c>
      <c r="AF173" s="117"/>
      <c r="AG173" s="117" t="s">
        <v>891</v>
      </c>
      <c r="AH173" s="117">
        <v>3216140507940000</v>
      </c>
      <c r="AI173" s="117" t="s">
        <v>68</v>
      </c>
      <c r="AJ173" s="117"/>
      <c r="AK173" s="117"/>
      <c r="AL173" s="117">
        <v>6280086422476</v>
      </c>
      <c r="AM173" s="117"/>
      <c r="AN173" s="117"/>
      <c r="AO173" s="117" t="s">
        <v>893</v>
      </c>
      <c r="AP173" s="117"/>
      <c r="AQ173" s="117" t="s">
        <v>868</v>
      </c>
      <c r="AR173" s="117" t="s">
        <v>1907</v>
      </c>
      <c r="AS173" s="117" t="s">
        <v>869</v>
      </c>
      <c r="AT173" s="117" t="s">
        <v>1932</v>
      </c>
      <c r="AU173" s="117" t="b">
        <v>1</v>
      </c>
      <c r="AV173" s="117" t="b">
        <v>1</v>
      </c>
      <c r="AW173" s="117" t="s">
        <v>888</v>
      </c>
      <c r="AX173" s="117" t="s">
        <v>889</v>
      </c>
      <c r="AY173" s="117" t="s">
        <v>2216</v>
      </c>
      <c r="AZ173" s="117" t="s">
        <v>2217</v>
      </c>
      <c r="BA173" s="117" t="b">
        <v>1</v>
      </c>
      <c r="BB173" s="117" t="b">
        <v>1</v>
      </c>
      <c r="BC173" s="117"/>
      <c r="BD173" s="117"/>
      <c r="BE173" s="117">
        <v>0</v>
      </c>
    </row>
    <row r="174" spans="1:57" ht="16">
      <c r="A174" s="117" t="s">
        <v>805</v>
      </c>
      <c r="B174" s="117" t="s">
        <v>866</v>
      </c>
      <c r="C174" s="117" t="s">
        <v>867</v>
      </c>
      <c r="D174" s="117" t="s">
        <v>868</v>
      </c>
      <c r="E174" s="117" t="s">
        <v>869</v>
      </c>
      <c r="F174" s="117" t="s">
        <v>894</v>
      </c>
      <c r="G174" s="117" t="s">
        <v>895</v>
      </c>
      <c r="H174" s="118" t="s">
        <v>894</v>
      </c>
      <c r="I174" s="119" t="s">
        <v>895</v>
      </c>
      <c r="J174" s="120" t="s">
        <v>2508</v>
      </c>
      <c r="K174" s="120" t="s">
        <v>2508</v>
      </c>
      <c r="L174" s="118"/>
      <c r="M174" s="119"/>
      <c r="N174" s="118"/>
      <c r="O174" s="119"/>
      <c r="P174" s="117" t="s">
        <v>88</v>
      </c>
      <c r="Q174" s="117" t="s">
        <v>45</v>
      </c>
      <c r="R174" s="117" t="b">
        <v>1</v>
      </c>
      <c r="S174" s="117" t="b">
        <v>1</v>
      </c>
      <c r="T174" s="117" t="b">
        <v>1</v>
      </c>
      <c r="U174" s="117" t="b">
        <v>0</v>
      </c>
      <c r="V174" s="117" t="b">
        <v>0</v>
      </c>
      <c r="W174" s="117" t="b">
        <v>1</v>
      </c>
      <c r="X174" s="117" t="b">
        <v>1</v>
      </c>
      <c r="Y174" s="117" t="b">
        <v>0</v>
      </c>
      <c r="Z174" s="117" t="b">
        <v>0</v>
      </c>
      <c r="AA174" s="117"/>
      <c r="AB174" s="117" t="s">
        <v>896</v>
      </c>
      <c r="AC174" s="117"/>
      <c r="AD174" s="117" t="s">
        <v>896</v>
      </c>
      <c r="AE174" s="117" t="s">
        <v>896</v>
      </c>
      <c r="AF174" s="117"/>
      <c r="AG174" s="117" t="s">
        <v>897</v>
      </c>
      <c r="AH174" s="117">
        <v>3215121509930000</v>
      </c>
      <c r="AI174" s="117" t="s">
        <v>68</v>
      </c>
      <c r="AJ174" s="117"/>
      <c r="AK174" s="117"/>
      <c r="AL174" s="117">
        <v>6280086422481</v>
      </c>
      <c r="AM174" s="117"/>
      <c r="AN174" s="117"/>
      <c r="AO174" s="117" t="s">
        <v>899</v>
      </c>
      <c r="AP174" s="117"/>
      <c r="AQ174" s="117" t="s">
        <v>868</v>
      </c>
      <c r="AR174" s="117" t="s">
        <v>1907</v>
      </c>
      <c r="AS174" s="117" t="s">
        <v>869</v>
      </c>
      <c r="AT174" s="117" t="s">
        <v>1932</v>
      </c>
      <c r="AU174" s="117" t="b">
        <v>1</v>
      </c>
      <c r="AV174" s="117" t="b">
        <v>1</v>
      </c>
      <c r="AW174" s="117" t="s">
        <v>894</v>
      </c>
      <c r="AX174" s="117" t="s">
        <v>895</v>
      </c>
      <c r="AY174" s="117" t="s">
        <v>2218</v>
      </c>
      <c r="AZ174" s="117" t="s">
        <v>2219</v>
      </c>
      <c r="BA174" s="117" t="b">
        <v>1</v>
      </c>
      <c r="BB174" s="117" t="b">
        <v>1</v>
      </c>
      <c r="BC174" s="117"/>
      <c r="BD174" s="117"/>
      <c r="BE174" s="117">
        <v>0</v>
      </c>
    </row>
    <row r="175" spans="1:57" ht="16">
      <c r="A175" s="117" t="s">
        <v>805</v>
      </c>
      <c r="B175" s="117" t="s">
        <v>866</v>
      </c>
      <c r="C175" s="117" t="s">
        <v>867</v>
      </c>
      <c r="D175" s="117" t="s">
        <v>868</v>
      </c>
      <c r="E175" s="117" t="s">
        <v>869</v>
      </c>
      <c r="F175" s="117" t="s">
        <v>1530</v>
      </c>
      <c r="G175" s="117" t="s">
        <v>1529</v>
      </c>
      <c r="H175" s="118" t="s">
        <v>1530</v>
      </c>
      <c r="I175" s="119" t="s">
        <v>1529</v>
      </c>
      <c r="J175" s="120" t="s">
        <v>2508</v>
      </c>
      <c r="K175" s="120" t="s">
        <v>2508</v>
      </c>
      <c r="L175" s="118"/>
      <c r="M175" s="119"/>
      <c r="N175" s="118"/>
      <c r="O175" s="119"/>
      <c r="P175" s="117" t="s">
        <v>88</v>
      </c>
      <c r="Q175" s="117" t="s">
        <v>45</v>
      </c>
      <c r="R175" s="117" t="b">
        <v>1</v>
      </c>
      <c r="S175" s="117" t="b">
        <v>1</v>
      </c>
      <c r="T175" s="117" t="b">
        <v>1</v>
      </c>
      <c r="U175" s="117" t="b">
        <v>0</v>
      </c>
      <c r="V175" s="117" t="b">
        <v>0</v>
      </c>
      <c r="W175" s="117" t="b">
        <v>1</v>
      </c>
      <c r="X175" s="117" t="b">
        <v>1</v>
      </c>
      <c r="Y175" s="117" t="b">
        <v>0</v>
      </c>
      <c r="Z175" s="117" t="b">
        <v>0</v>
      </c>
      <c r="AA175" s="117"/>
      <c r="AB175" s="117" t="s">
        <v>1531</v>
      </c>
      <c r="AC175" s="117"/>
      <c r="AD175" s="117" t="s">
        <v>1531</v>
      </c>
      <c r="AE175" s="117" t="s">
        <v>1531</v>
      </c>
      <c r="AF175" s="117"/>
      <c r="AG175" s="117" t="s">
        <v>1532</v>
      </c>
      <c r="AH175" s="117">
        <v>3216060403880000</v>
      </c>
      <c r="AI175" s="117" t="s">
        <v>68</v>
      </c>
      <c r="AJ175" s="117"/>
      <c r="AK175" s="117"/>
      <c r="AL175" s="117">
        <v>6289602778083</v>
      </c>
      <c r="AM175" s="117"/>
      <c r="AN175" s="117"/>
      <c r="AO175" s="117" t="s">
        <v>1534</v>
      </c>
      <c r="AP175" s="117"/>
      <c r="AQ175" s="117" t="s">
        <v>868</v>
      </c>
      <c r="AR175" s="117" t="s">
        <v>1907</v>
      </c>
      <c r="AS175" s="117" t="s">
        <v>869</v>
      </c>
      <c r="AT175" s="117" t="s">
        <v>1932</v>
      </c>
      <c r="AU175" s="117" t="b">
        <v>1</v>
      </c>
      <c r="AV175" s="117" t="b">
        <v>1</v>
      </c>
      <c r="AW175" s="117" t="s">
        <v>1530</v>
      </c>
      <c r="AX175" s="117" t="s">
        <v>1529</v>
      </c>
      <c r="AY175" s="117" t="s">
        <v>2398</v>
      </c>
      <c r="AZ175" s="117" t="s">
        <v>2399</v>
      </c>
      <c r="BA175" s="117" t="b">
        <v>1</v>
      </c>
      <c r="BB175" s="117" t="b">
        <v>1</v>
      </c>
      <c r="BC175" s="117"/>
      <c r="BD175" s="117"/>
      <c r="BE175" s="117">
        <v>0</v>
      </c>
    </row>
    <row r="176" spans="1:57" ht="16">
      <c r="A176" s="117" t="s">
        <v>805</v>
      </c>
      <c r="B176" s="117" t="s">
        <v>866</v>
      </c>
      <c r="C176" s="117" t="s">
        <v>867</v>
      </c>
      <c r="D176" s="117" t="s">
        <v>868</v>
      </c>
      <c r="E176" s="117" t="s">
        <v>869</v>
      </c>
      <c r="F176" s="117" t="s">
        <v>1599</v>
      </c>
      <c r="G176" s="117" t="s">
        <v>1598</v>
      </c>
      <c r="H176" s="118" t="s">
        <v>1599</v>
      </c>
      <c r="I176" s="119" t="s">
        <v>1598</v>
      </c>
      <c r="J176" s="120" t="s">
        <v>2508</v>
      </c>
      <c r="K176" s="120" t="s">
        <v>2508</v>
      </c>
      <c r="L176" s="118"/>
      <c r="M176" s="119"/>
      <c r="N176" s="118"/>
      <c r="O176" s="119"/>
      <c r="P176" s="117" t="s">
        <v>88</v>
      </c>
      <c r="Q176" s="117" t="s">
        <v>45</v>
      </c>
      <c r="R176" s="117" t="b">
        <v>1</v>
      </c>
      <c r="S176" s="117" t="b">
        <v>1</v>
      </c>
      <c r="T176" s="117" t="b">
        <v>1</v>
      </c>
      <c r="U176" s="117" t="b">
        <v>0</v>
      </c>
      <c r="V176" s="117" t="b">
        <v>0</v>
      </c>
      <c r="W176" s="117" t="b">
        <v>1</v>
      </c>
      <c r="X176" s="117" t="b">
        <v>1</v>
      </c>
      <c r="Y176" s="117" t="b">
        <v>0</v>
      </c>
      <c r="Z176" s="117" t="b">
        <v>0</v>
      </c>
      <c r="AA176" s="117"/>
      <c r="AB176" s="117" t="s">
        <v>1600</v>
      </c>
      <c r="AC176" s="117"/>
      <c r="AD176" s="117" t="s">
        <v>1600</v>
      </c>
      <c r="AE176" s="117" t="s">
        <v>1600</v>
      </c>
      <c r="AF176" s="117"/>
      <c r="AG176" s="117" t="s">
        <v>1601</v>
      </c>
      <c r="AH176" s="117">
        <v>3202400707940000</v>
      </c>
      <c r="AI176" s="117" t="s">
        <v>68</v>
      </c>
      <c r="AJ176" s="117"/>
      <c r="AK176" s="117"/>
      <c r="AL176" s="117">
        <v>628985561838</v>
      </c>
      <c r="AM176" s="117"/>
      <c r="AN176" s="117"/>
      <c r="AO176" s="117" t="s">
        <v>1603</v>
      </c>
      <c r="AP176" s="117"/>
      <c r="AQ176" s="117" t="s">
        <v>868</v>
      </c>
      <c r="AR176" s="117" t="s">
        <v>1907</v>
      </c>
      <c r="AS176" s="117" t="s">
        <v>869</v>
      </c>
      <c r="AT176" s="117" t="s">
        <v>1932</v>
      </c>
      <c r="AU176" s="117" t="b">
        <v>1</v>
      </c>
      <c r="AV176" s="117" t="b">
        <v>1</v>
      </c>
      <c r="AW176" s="117" t="s">
        <v>1599</v>
      </c>
      <c r="AX176" s="117" t="s">
        <v>1598</v>
      </c>
      <c r="AY176" s="117" t="s">
        <v>2414</v>
      </c>
      <c r="AZ176" s="117" t="s">
        <v>2415</v>
      </c>
      <c r="BA176" s="117" t="b">
        <v>1</v>
      </c>
      <c r="BB176" s="117" t="b">
        <v>1</v>
      </c>
      <c r="BC176" s="117"/>
      <c r="BD176" s="117"/>
      <c r="BE176" s="117">
        <v>0</v>
      </c>
    </row>
    <row r="177" spans="1:57" ht="16">
      <c r="A177" s="117" t="s">
        <v>805</v>
      </c>
      <c r="B177" s="117" t="s">
        <v>1386</v>
      </c>
      <c r="C177" s="117" t="s">
        <v>1387</v>
      </c>
      <c r="D177" s="117" t="s">
        <v>1388</v>
      </c>
      <c r="E177" s="117" t="s">
        <v>1389</v>
      </c>
      <c r="F177" s="117" t="s">
        <v>1509</v>
      </c>
      <c r="G177" s="117" t="s">
        <v>1508</v>
      </c>
      <c r="H177" s="118" t="s">
        <v>1509</v>
      </c>
      <c r="I177" s="119" t="s">
        <v>1508</v>
      </c>
      <c r="J177" s="120" t="s">
        <v>2508</v>
      </c>
      <c r="K177" s="120" t="s">
        <v>2508</v>
      </c>
      <c r="L177" s="118"/>
      <c r="M177" s="119"/>
      <c r="N177" s="118"/>
      <c r="O177" s="119"/>
      <c r="P177" s="117" t="s">
        <v>88</v>
      </c>
      <c r="Q177" s="117" t="s">
        <v>44</v>
      </c>
      <c r="R177" s="117" t="b">
        <v>1</v>
      </c>
      <c r="S177" s="117" t="b">
        <v>1</v>
      </c>
      <c r="T177" s="117" t="b">
        <v>1</v>
      </c>
      <c r="U177" s="117" t="b">
        <v>0</v>
      </c>
      <c r="V177" s="117" t="b">
        <v>0</v>
      </c>
      <c r="W177" s="117" t="b">
        <v>1</v>
      </c>
      <c r="X177" s="117" t="b">
        <v>1</v>
      </c>
      <c r="Y177" s="117" t="b">
        <v>0</v>
      </c>
      <c r="Z177" s="117" t="b">
        <v>0</v>
      </c>
      <c r="AA177" s="117"/>
      <c r="AB177" s="117" t="s">
        <v>1510</v>
      </c>
      <c r="AC177" s="117"/>
      <c r="AD177" s="117" t="s">
        <v>1510</v>
      </c>
      <c r="AE177" s="117" t="s">
        <v>1510</v>
      </c>
      <c r="AF177" s="117" t="b">
        <v>0</v>
      </c>
      <c r="AG177" s="117" t="s">
        <v>1511</v>
      </c>
      <c r="AH177" s="117">
        <v>3175073101800010</v>
      </c>
      <c r="AI177" s="117" t="s">
        <v>68</v>
      </c>
      <c r="AJ177" s="117" t="s">
        <v>32</v>
      </c>
      <c r="AK177" s="121">
        <v>6289600000000</v>
      </c>
      <c r="AL177" s="117">
        <v>6289602777914</v>
      </c>
      <c r="AM177" s="117" t="s">
        <v>1513</v>
      </c>
      <c r="AN177" s="117" t="s">
        <v>35</v>
      </c>
      <c r="AO177" s="117" t="s">
        <v>1514</v>
      </c>
      <c r="AP177" s="117" t="s">
        <v>373</v>
      </c>
      <c r="AQ177" s="117" t="s">
        <v>1388</v>
      </c>
      <c r="AR177" s="117" t="s">
        <v>1906</v>
      </c>
      <c r="AS177" s="117" t="s">
        <v>1389</v>
      </c>
      <c r="AT177" s="117" t="s">
        <v>1937</v>
      </c>
      <c r="AU177" s="117" t="b">
        <v>1</v>
      </c>
      <c r="AV177" s="117" t="b">
        <v>1</v>
      </c>
      <c r="AW177" s="117" t="s">
        <v>1509</v>
      </c>
      <c r="AX177" s="117" t="s">
        <v>1508</v>
      </c>
      <c r="AY177" s="117" t="s">
        <v>2394</v>
      </c>
      <c r="AZ177" s="117" t="s">
        <v>2395</v>
      </c>
      <c r="BA177" s="117" t="b">
        <v>1</v>
      </c>
      <c r="BB177" s="117" t="b">
        <v>1</v>
      </c>
      <c r="BC177" s="117"/>
      <c r="BD177" s="117"/>
      <c r="BE177" s="117">
        <v>0</v>
      </c>
    </row>
    <row r="178" spans="1:57" ht="16">
      <c r="A178" s="117" t="s">
        <v>805</v>
      </c>
      <c r="B178" s="117" t="s">
        <v>1386</v>
      </c>
      <c r="C178" s="117" t="s">
        <v>1387</v>
      </c>
      <c r="D178" s="117" t="s">
        <v>1388</v>
      </c>
      <c r="E178" s="117" t="s">
        <v>1389</v>
      </c>
      <c r="F178" s="117" t="s">
        <v>1542</v>
      </c>
      <c r="G178" s="117" t="s">
        <v>1541</v>
      </c>
      <c r="H178" s="118" t="s">
        <v>1542</v>
      </c>
      <c r="I178" s="119" t="s">
        <v>1541</v>
      </c>
      <c r="J178" s="120" t="s">
        <v>2508</v>
      </c>
      <c r="K178" s="120" t="s">
        <v>2508</v>
      </c>
      <c r="L178" s="118"/>
      <c r="M178" s="119"/>
      <c r="N178" s="118"/>
      <c r="O178" s="119"/>
      <c r="P178" s="117" t="s">
        <v>88</v>
      </c>
      <c r="Q178" s="117" t="s">
        <v>45</v>
      </c>
      <c r="R178" s="117" t="b">
        <v>1</v>
      </c>
      <c r="S178" s="117" t="b">
        <v>1</v>
      </c>
      <c r="T178" s="117" t="b">
        <v>1</v>
      </c>
      <c r="U178" s="117" t="b">
        <v>0</v>
      </c>
      <c r="V178" s="117" t="b">
        <v>0</v>
      </c>
      <c r="W178" s="117" t="b">
        <v>1</v>
      </c>
      <c r="X178" s="117" t="b">
        <v>1</v>
      </c>
      <c r="Y178" s="117" t="b">
        <v>0</v>
      </c>
      <c r="Z178" s="117" t="b">
        <v>0</v>
      </c>
      <c r="AA178" s="117"/>
      <c r="AB178" s="117" t="s">
        <v>1543</v>
      </c>
      <c r="AC178" s="117"/>
      <c r="AD178" s="117" t="s">
        <v>1543</v>
      </c>
      <c r="AE178" s="117" t="s">
        <v>1543</v>
      </c>
      <c r="AF178" s="117"/>
      <c r="AG178" s="117" t="s">
        <v>1544</v>
      </c>
      <c r="AH178" s="117">
        <v>3275011505790040</v>
      </c>
      <c r="AI178" s="117" t="s">
        <v>68</v>
      </c>
      <c r="AJ178" s="117" t="s">
        <v>32</v>
      </c>
      <c r="AK178" s="117"/>
      <c r="AL178" s="117">
        <v>6289602777908</v>
      </c>
      <c r="AM178" s="117"/>
      <c r="AN178" s="117"/>
      <c r="AO178" s="117" t="s">
        <v>1546</v>
      </c>
      <c r="AP178" s="117"/>
      <c r="AQ178" s="117" t="s">
        <v>1388</v>
      </c>
      <c r="AR178" s="117" t="s">
        <v>1906</v>
      </c>
      <c r="AS178" s="117" t="s">
        <v>1389</v>
      </c>
      <c r="AT178" s="117" t="s">
        <v>1937</v>
      </c>
      <c r="AU178" s="117" t="b">
        <v>1</v>
      </c>
      <c r="AV178" s="117" t="b">
        <v>1</v>
      </c>
      <c r="AW178" s="117" t="s">
        <v>1542</v>
      </c>
      <c r="AX178" s="117" t="s">
        <v>1541</v>
      </c>
      <c r="AY178" s="117" t="s">
        <v>2400</v>
      </c>
      <c r="AZ178" s="117" t="s">
        <v>2401</v>
      </c>
      <c r="BA178" s="117" t="b">
        <v>1</v>
      </c>
      <c r="BB178" s="117" t="b">
        <v>1</v>
      </c>
      <c r="BC178" s="117"/>
      <c r="BD178" s="117"/>
      <c r="BE178" s="117">
        <v>0</v>
      </c>
    </row>
    <row r="179" spans="1:57" ht="16">
      <c r="A179" s="117" t="s">
        <v>805</v>
      </c>
      <c r="B179" s="117" t="s">
        <v>1386</v>
      </c>
      <c r="C179" s="117" t="s">
        <v>1387</v>
      </c>
      <c r="D179" s="117" t="s">
        <v>1388</v>
      </c>
      <c r="E179" s="117" t="s">
        <v>1389</v>
      </c>
      <c r="F179" s="117" t="s">
        <v>1624</v>
      </c>
      <c r="G179" s="117" t="s">
        <v>1623</v>
      </c>
      <c r="H179" s="118" t="s">
        <v>1624</v>
      </c>
      <c r="I179" s="119" t="s">
        <v>1623</v>
      </c>
      <c r="J179" s="120" t="s">
        <v>2508</v>
      </c>
      <c r="K179" s="120" t="s">
        <v>2508</v>
      </c>
      <c r="L179" s="118"/>
      <c r="M179" s="119"/>
      <c r="N179" s="118"/>
      <c r="O179" s="119"/>
      <c r="P179" s="117" t="s">
        <v>88</v>
      </c>
      <c r="Q179" s="117" t="s">
        <v>45</v>
      </c>
      <c r="R179" s="117" t="b">
        <v>1</v>
      </c>
      <c r="S179" s="117" t="b">
        <v>1</v>
      </c>
      <c r="T179" s="117" t="b">
        <v>1</v>
      </c>
      <c r="U179" s="117" t="b">
        <v>0</v>
      </c>
      <c r="V179" s="117" t="b">
        <v>0</v>
      </c>
      <c r="W179" s="117" t="b">
        <v>1</v>
      </c>
      <c r="X179" s="117" t="b">
        <v>1</v>
      </c>
      <c r="Y179" s="117" t="b">
        <v>0</v>
      </c>
      <c r="Z179" s="117" t="b">
        <v>0</v>
      </c>
      <c r="AA179" s="117"/>
      <c r="AB179" s="117" t="s">
        <v>1625</v>
      </c>
      <c r="AC179" s="117"/>
      <c r="AD179" s="117" t="s">
        <v>1625</v>
      </c>
      <c r="AE179" s="117" t="s">
        <v>1625</v>
      </c>
      <c r="AF179" s="117"/>
      <c r="AG179" s="117" t="s">
        <v>1626</v>
      </c>
      <c r="AH179" s="117">
        <v>3205281502990000</v>
      </c>
      <c r="AI179" s="117" t="s">
        <v>68</v>
      </c>
      <c r="AJ179" s="117"/>
      <c r="AK179" s="117"/>
      <c r="AL179" s="117">
        <v>628985560072</v>
      </c>
      <c r="AM179" s="117"/>
      <c r="AN179" s="117"/>
      <c r="AO179" s="117" t="s">
        <v>1628</v>
      </c>
      <c r="AP179" s="117"/>
      <c r="AQ179" s="117" t="s">
        <v>1388</v>
      </c>
      <c r="AR179" s="117" t="s">
        <v>1906</v>
      </c>
      <c r="AS179" s="117" t="s">
        <v>1389</v>
      </c>
      <c r="AT179" s="117" t="s">
        <v>1937</v>
      </c>
      <c r="AU179" s="117" t="b">
        <v>1</v>
      </c>
      <c r="AV179" s="117" t="b">
        <v>1</v>
      </c>
      <c r="AW179" s="117" t="s">
        <v>1624</v>
      </c>
      <c r="AX179" s="117" t="s">
        <v>1623</v>
      </c>
      <c r="AY179" s="117" t="s">
        <v>2420</v>
      </c>
      <c r="AZ179" s="117" t="s">
        <v>2421</v>
      </c>
      <c r="BA179" s="117" t="b">
        <v>1</v>
      </c>
      <c r="BB179" s="117" t="b">
        <v>1</v>
      </c>
      <c r="BC179" s="117"/>
      <c r="BD179" s="117"/>
      <c r="BE179" s="117">
        <v>0</v>
      </c>
    </row>
    <row r="180" spans="1:57" ht="16">
      <c r="A180" s="117" t="s">
        <v>805</v>
      </c>
      <c r="B180" s="117" t="s">
        <v>1386</v>
      </c>
      <c r="C180" s="117" t="s">
        <v>1387</v>
      </c>
      <c r="D180" s="117" t="s">
        <v>1388</v>
      </c>
      <c r="E180" s="117" t="s">
        <v>1389</v>
      </c>
      <c r="F180" s="117" t="s">
        <v>1390</v>
      </c>
      <c r="G180" s="117" t="s">
        <v>1391</v>
      </c>
      <c r="H180" s="118" t="s">
        <v>1390</v>
      </c>
      <c r="I180" s="119" t="s">
        <v>1391</v>
      </c>
      <c r="J180" s="120" t="s">
        <v>2508</v>
      </c>
      <c r="K180" s="120" t="s">
        <v>2508</v>
      </c>
      <c r="L180" s="118"/>
      <c r="M180" s="119"/>
      <c r="N180" s="118"/>
      <c r="O180" s="119"/>
      <c r="P180" s="117" t="s">
        <v>88</v>
      </c>
      <c r="Q180" s="117" t="s">
        <v>45</v>
      </c>
      <c r="R180" s="117" t="b">
        <v>1</v>
      </c>
      <c r="S180" s="117" t="b">
        <v>1</v>
      </c>
      <c r="T180" s="117" t="b">
        <v>1</v>
      </c>
      <c r="U180" s="117" t="b">
        <v>0</v>
      </c>
      <c r="V180" s="117" t="b">
        <v>0</v>
      </c>
      <c r="W180" s="117" t="b">
        <v>1</v>
      </c>
      <c r="X180" s="117" t="b">
        <v>1</v>
      </c>
      <c r="Y180" s="117" t="b">
        <v>0</v>
      </c>
      <c r="Z180" s="117" t="b">
        <v>0</v>
      </c>
      <c r="AA180" s="117"/>
      <c r="AB180" s="117" t="s">
        <v>1392</v>
      </c>
      <c r="AC180" s="117"/>
      <c r="AD180" s="117" t="s">
        <v>1392</v>
      </c>
      <c r="AE180" s="117" t="s">
        <v>1392</v>
      </c>
      <c r="AF180" s="117"/>
      <c r="AG180" s="117" t="s">
        <v>1393</v>
      </c>
      <c r="AH180" s="117">
        <v>3275110301760000</v>
      </c>
      <c r="AI180" s="117" t="s">
        <v>68</v>
      </c>
      <c r="AJ180" s="117"/>
      <c r="AK180" s="117"/>
      <c r="AL180" s="117">
        <v>6281514444101</v>
      </c>
      <c r="AM180" s="117"/>
      <c r="AN180" s="117"/>
      <c r="AO180" s="117" t="s">
        <v>1395</v>
      </c>
      <c r="AP180" s="117"/>
      <c r="AQ180" s="117" t="s">
        <v>1388</v>
      </c>
      <c r="AR180" s="117" t="s">
        <v>1906</v>
      </c>
      <c r="AS180" s="117" t="s">
        <v>1389</v>
      </c>
      <c r="AT180" s="117" t="s">
        <v>1937</v>
      </c>
      <c r="AU180" s="117" t="b">
        <v>1</v>
      </c>
      <c r="AV180" s="117" t="b">
        <v>1</v>
      </c>
      <c r="AW180" s="117" t="s">
        <v>1390</v>
      </c>
      <c r="AX180" s="117" t="s">
        <v>1391</v>
      </c>
      <c r="AY180" s="117" t="s">
        <v>2358</v>
      </c>
      <c r="AZ180" s="117" t="s">
        <v>2359</v>
      </c>
      <c r="BA180" s="117" t="b">
        <v>1</v>
      </c>
      <c r="BB180" s="117" t="b">
        <v>1</v>
      </c>
      <c r="BC180" s="117"/>
      <c r="BD180" s="117"/>
      <c r="BE180" s="117">
        <v>0</v>
      </c>
    </row>
    <row r="181" spans="1:57" ht="16">
      <c r="A181" s="117" t="s">
        <v>805</v>
      </c>
      <c r="B181" s="117" t="s">
        <v>1386</v>
      </c>
      <c r="C181" s="117" t="s">
        <v>1387</v>
      </c>
      <c r="D181" s="117" t="s">
        <v>1388</v>
      </c>
      <c r="E181" s="117" t="s">
        <v>1389</v>
      </c>
      <c r="F181" s="117" t="s">
        <v>1396</v>
      </c>
      <c r="G181" s="117" t="s">
        <v>1397</v>
      </c>
      <c r="H181" s="118" t="s">
        <v>1396</v>
      </c>
      <c r="I181" s="119" t="s">
        <v>1397</v>
      </c>
      <c r="J181" s="120" t="s">
        <v>2508</v>
      </c>
      <c r="K181" s="120" t="s">
        <v>2508</v>
      </c>
      <c r="L181" s="118"/>
      <c r="M181" s="119"/>
      <c r="N181" s="118"/>
      <c r="O181" s="119"/>
      <c r="P181" s="117" t="s">
        <v>88</v>
      </c>
      <c r="Q181" s="117" t="s">
        <v>45</v>
      </c>
      <c r="R181" s="117" t="b">
        <v>1</v>
      </c>
      <c r="S181" s="117" t="b">
        <v>1</v>
      </c>
      <c r="T181" s="117" t="b">
        <v>1</v>
      </c>
      <c r="U181" s="117" t="b">
        <v>0</v>
      </c>
      <c r="V181" s="117" t="b">
        <v>0</v>
      </c>
      <c r="W181" s="117" t="b">
        <v>1</v>
      </c>
      <c r="X181" s="117" t="b">
        <v>1</v>
      </c>
      <c r="Y181" s="117" t="b">
        <v>0</v>
      </c>
      <c r="Z181" s="117" t="b">
        <v>0</v>
      </c>
      <c r="AA181" s="117"/>
      <c r="AB181" s="117" t="s">
        <v>1398</v>
      </c>
      <c r="AC181" s="117"/>
      <c r="AD181" s="117" t="s">
        <v>1398</v>
      </c>
      <c r="AE181" s="117" t="s">
        <v>1398</v>
      </c>
      <c r="AF181" s="117"/>
      <c r="AG181" s="117" t="s">
        <v>1399</v>
      </c>
      <c r="AH181" s="117">
        <v>3216061205800000</v>
      </c>
      <c r="AI181" s="117" t="s">
        <v>68</v>
      </c>
      <c r="AJ181" s="117"/>
      <c r="AK181" s="117"/>
      <c r="AL181" s="117">
        <v>628567330339</v>
      </c>
      <c r="AM181" s="117"/>
      <c r="AN181" s="117"/>
      <c r="AO181" s="117" t="s">
        <v>1401</v>
      </c>
      <c r="AP181" s="117"/>
      <c r="AQ181" s="117" t="s">
        <v>1388</v>
      </c>
      <c r="AR181" s="117" t="s">
        <v>1906</v>
      </c>
      <c r="AS181" s="117" t="s">
        <v>1389</v>
      </c>
      <c r="AT181" s="117" t="s">
        <v>1937</v>
      </c>
      <c r="AU181" s="117" t="b">
        <v>1</v>
      </c>
      <c r="AV181" s="117" t="b">
        <v>1</v>
      </c>
      <c r="AW181" s="117" t="s">
        <v>1396</v>
      </c>
      <c r="AX181" s="117" t="s">
        <v>1397</v>
      </c>
      <c r="AY181" s="117" t="s">
        <v>2360</v>
      </c>
      <c r="AZ181" s="117" t="s">
        <v>2361</v>
      </c>
      <c r="BA181" s="117" t="b">
        <v>1</v>
      </c>
      <c r="BB181" s="117" t="b">
        <v>1</v>
      </c>
      <c r="BC181" s="117"/>
      <c r="BD181" s="117"/>
      <c r="BE181" s="117">
        <v>0</v>
      </c>
    </row>
    <row r="182" spans="1:57" ht="16">
      <c r="A182" s="117" t="s">
        <v>805</v>
      </c>
      <c r="B182" s="117" t="s">
        <v>1386</v>
      </c>
      <c r="C182" s="117" t="s">
        <v>1387</v>
      </c>
      <c r="D182" s="117" t="s">
        <v>1388</v>
      </c>
      <c r="E182" s="117" t="s">
        <v>1389</v>
      </c>
      <c r="F182" s="117" t="s">
        <v>1402</v>
      </c>
      <c r="G182" s="117" t="s">
        <v>1403</v>
      </c>
      <c r="H182" s="118" t="s">
        <v>1402</v>
      </c>
      <c r="I182" s="119" t="s">
        <v>1403</v>
      </c>
      <c r="J182" s="120" t="s">
        <v>2508</v>
      </c>
      <c r="K182" s="120" t="s">
        <v>2508</v>
      </c>
      <c r="L182" s="118"/>
      <c r="M182" s="119"/>
      <c r="N182" s="118"/>
      <c r="O182" s="119"/>
      <c r="P182" s="117" t="s">
        <v>88</v>
      </c>
      <c r="Q182" s="117" t="s">
        <v>45</v>
      </c>
      <c r="R182" s="117" t="b">
        <v>1</v>
      </c>
      <c r="S182" s="117" t="b">
        <v>1</v>
      </c>
      <c r="T182" s="117" t="b">
        <v>1</v>
      </c>
      <c r="U182" s="117" t="b">
        <v>0</v>
      </c>
      <c r="V182" s="117" t="b">
        <v>0</v>
      </c>
      <c r="W182" s="117" t="b">
        <v>1</v>
      </c>
      <c r="X182" s="117" t="b">
        <v>1</v>
      </c>
      <c r="Y182" s="117" t="b">
        <v>0</v>
      </c>
      <c r="Z182" s="117" t="b">
        <v>0</v>
      </c>
      <c r="AA182" s="117"/>
      <c r="AB182" s="117" t="s">
        <v>1404</v>
      </c>
      <c r="AC182" s="117"/>
      <c r="AD182" s="117" t="s">
        <v>1404</v>
      </c>
      <c r="AE182" s="117" t="s">
        <v>1404</v>
      </c>
      <c r="AF182" s="117"/>
      <c r="AG182" s="117" t="s">
        <v>1405</v>
      </c>
      <c r="AH182" s="117">
        <v>3275123011900000</v>
      </c>
      <c r="AI182" s="117" t="s">
        <v>68</v>
      </c>
      <c r="AJ182" s="117"/>
      <c r="AK182" s="117"/>
      <c r="AL182" s="117">
        <v>628561601601</v>
      </c>
      <c r="AM182" s="117"/>
      <c r="AN182" s="117"/>
      <c r="AO182" s="117" t="s">
        <v>1407</v>
      </c>
      <c r="AP182" s="117"/>
      <c r="AQ182" s="117" t="s">
        <v>1388</v>
      </c>
      <c r="AR182" s="117" t="s">
        <v>1906</v>
      </c>
      <c r="AS182" s="117" t="s">
        <v>1389</v>
      </c>
      <c r="AT182" s="117" t="s">
        <v>1937</v>
      </c>
      <c r="AU182" s="117" t="b">
        <v>1</v>
      </c>
      <c r="AV182" s="117" t="b">
        <v>1</v>
      </c>
      <c r="AW182" s="117" t="s">
        <v>1402</v>
      </c>
      <c r="AX182" s="117" t="s">
        <v>1403</v>
      </c>
      <c r="AY182" s="117" t="s">
        <v>2362</v>
      </c>
      <c r="AZ182" s="117" t="s">
        <v>2363</v>
      </c>
      <c r="BA182" s="117" t="b">
        <v>1</v>
      </c>
      <c r="BB182" s="117" t="b">
        <v>1</v>
      </c>
      <c r="BC182" s="117"/>
      <c r="BD182" s="117"/>
      <c r="BE182" s="117">
        <v>0</v>
      </c>
    </row>
    <row r="183" spans="1:57" ht="16">
      <c r="A183" s="117" t="s">
        <v>805</v>
      </c>
      <c r="B183" s="117" t="s">
        <v>1386</v>
      </c>
      <c r="C183" s="117" t="s">
        <v>1387</v>
      </c>
      <c r="D183" s="117" t="s">
        <v>1388</v>
      </c>
      <c r="E183" s="117" t="s">
        <v>1389</v>
      </c>
      <c r="F183" s="117" t="s">
        <v>1408</v>
      </c>
      <c r="G183" s="117" t="s">
        <v>1409</v>
      </c>
      <c r="H183" s="118" t="s">
        <v>2580</v>
      </c>
      <c r="I183" s="119" t="s">
        <v>2603</v>
      </c>
      <c r="J183" s="120" t="s">
        <v>2508</v>
      </c>
      <c r="K183" s="120" t="s">
        <v>2508</v>
      </c>
      <c r="L183" s="118" t="s">
        <v>1408</v>
      </c>
      <c r="M183" s="119" t="s">
        <v>1409</v>
      </c>
      <c r="N183" s="118" t="s">
        <v>2508</v>
      </c>
      <c r="O183" s="119" t="s">
        <v>2508</v>
      </c>
      <c r="P183" s="117" t="s">
        <v>88</v>
      </c>
      <c r="Q183" s="117" t="s">
        <v>45</v>
      </c>
      <c r="R183" s="117" t="b">
        <v>1</v>
      </c>
      <c r="S183" s="117" t="b">
        <v>1</v>
      </c>
      <c r="T183" s="117" t="b">
        <v>1</v>
      </c>
      <c r="U183" s="117" t="b">
        <v>0</v>
      </c>
      <c r="V183" s="117" t="b">
        <v>0</v>
      </c>
      <c r="W183" s="117" t="b">
        <v>1</v>
      </c>
      <c r="X183" s="117" t="b">
        <v>1</v>
      </c>
      <c r="Y183" s="117" t="b">
        <v>0</v>
      </c>
      <c r="Z183" s="117" t="b">
        <v>0</v>
      </c>
      <c r="AA183" s="117"/>
      <c r="AB183" s="117" t="s">
        <v>1410</v>
      </c>
      <c r="AC183" s="117"/>
      <c r="AD183" s="117" t="s">
        <v>1410</v>
      </c>
      <c r="AE183" s="117" t="s">
        <v>1410</v>
      </c>
      <c r="AF183" s="117"/>
      <c r="AG183" s="117" t="s">
        <v>1411</v>
      </c>
      <c r="AH183" s="117">
        <v>3275071210870010</v>
      </c>
      <c r="AI183" s="117" t="s">
        <v>68</v>
      </c>
      <c r="AJ183" s="117"/>
      <c r="AK183" s="117"/>
      <c r="AL183" s="117">
        <v>6285772096969</v>
      </c>
      <c r="AM183" s="117"/>
      <c r="AN183" s="117"/>
      <c r="AO183" s="117" t="s">
        <v>1413</v>
      </c>
      <c r="AP183" s="117"/>
      <c r="AQ183" s="117" t="s">
        <v>1388</v>
      </c>
      <c r="AR183" s="117" t="s">
        <v>1906</v>
      </c>
      <c r="AS183" s="117" t="s">
        <v>1389</v>
      </c>
      <c r="AT183" s="117" t="s">
        <v>1937</v>
      </c>
      <c r="AU183" s="117" t="b">
        <v>1</v>
      </c>
      <c r="AV183" s="117" t="b">
        <v>1</v>
      </c>
      <c r="AW183" s="117" t="s">
        <v>1408</v>
      </c>
      <c r="AX183" s="117" t="s">
        <v>1409</v>
      </c>
      <c r="AY183" s="117" t="s">
        <v>2364</v>
      </c>
      <c r="AZ183" s="117" t="s">
        <v>2365</v>
      </c>
      <c r="BA183" s="117" t="b">
        <v>1</v>
      </c>
      <c r="BB183" s="117" t="b">
        <v>1</v>
      </c>
      <c r="BC183" s="117"/>
      <c r="BD183" s="117"/>
      <c r="BE183" s="117">
        <v>0</v>
      </c>
    </row>
    <row r="184" spans="1:57" ht="16">
      <c r="A184" s="117" t="s">
        <v>2751</v>
      </c>
      <c r="B184" s="117" t="s">
        <v>641</v>
      </c>
      <c r="C184" s="117" t="s">
        <v>642</v>
      </c>
      <c r="D184" s="117" t="s">
        <v>643</v>
      </c>
      <c r="E184" s="117" t="s">
        <v>644</v>
      </c>
      <c r="F184" s="117" t="s">
        <v>645</v>
      </c>
      <c r="G184" s="117" t="s">
        <v>646</v>
      </c>
      <c r="H184" s="118" t="s">
        <v>645</v>
      </c>
      <c r="I184" s="119" t="s">
        <v>646</v>
      </c>
      <c r="J184" s="120" t="s">
        <v>2508</v>
      </c>
      <c r="K184" s="120" t="s">
        <v>2508</v>
      </c>
      <c r="L184" s="118"/>
      <c r="M184" s="119"/>
      <c r="N184" s="118"/>
      <c r="O184" s="119"/>
      <c r="P184" s="117" t="s">
        <v>88</v>
      </c>
      <c r="Q184" s="117" t="s">
        <v>45</v>
      </c>
      <c r="R184" s="117" t="b">
        <v>1</v>
      </c>
      <c r="S184" s="117" t="b">
        <v>1</v>
      </c>
      <c r="T184" s="117" t="b">
        <v>1</v>
      </c>
      <c r="U184" s="117" t="b">
        <v>0</v>
      </c>
      <c r="V184" s="117" t="b">
        <v>0</v>
      </c>
      <c r="W184" s="117" t="b">
        <v>1</v>
      </c>
      <c r="X184" s="117" t="b">
        <v>1</v>
      </c>
      <c r="Y184" s="117" t="b">
        <v>0</v>
      </c>
      <c r="Z184" s="117" t="b">
        <v>0</v>
      </c>
      <c r="AA184" s="117"/>
      <c r="AB184" s="117" t="s">
        <v>647</v>
      </c>
      <c r="AC184" s="117"/>
      <c r="AD184" s="117" t="s">
        <v>647</v>
      </c>
      <c r="AE184" s="117" t="s">
        <v>648</v>
      </c>
      <c r="AF184" s="117" t="b">
        <v>0</v>
      </c>
      <c r="AG184" s="117" t="s">
        <v>649</v>
      </c>
      <c r="AH184" s="117">
        <v>3215220409960000</v>
      </c>
      <c r="AI184" s="117" t="s">
        <v>310</v>
      </c>
      <c r="AJ184" s="117" t="s">
        <v>32</v>
      </c>
      <c r="AK184" s="117"/>
      <c r="AL184" s="117">
        <v>62857744182397</v>
      </c>
      <c r="AM184" s="117" t="s">
        <v>651</v>
      </c>
      <c r="AN184" s="117" t="s">
        <v>312</v>
      </c>
      <c r="AO184" s="117" t="s">
        <v>652</v>
      </c>
      <c r="AP184" s="117" t="s">
        <v>373</v>
      </c>
      <c r="AQ184" s="117" t="s">
        <v>643</v>
      </c>
      <c r="AR184" s="117" t="s">
        <v>1908</v>
      </c>
      <c r="AS184" s="117" t="s">
        <v>644</v>
      </c>
      <c r="AT184" s="117" t="s">
        <v>1928</v>
      </c>
      <c r="AU184" s="117" t="b">
        <v>1</v>
      </c>
      <c r="AV184" s="117" t="b">
        <v>1</v>
      </c>
      <c r="AW184" s="117" t="s">
        <v>645</v>
      </c>
      <c r="AX184" s="117" t="s">
        <v>646</v>
      </c>
      <c r="AY184" s="117" t="s">
        <v>1964</v>
      </c>
      <c r="AZ184" s="117" t="s">
        <v>1965</v>
      </c>
      <c r="BA184" s="117" t="b">
        <v>1</v>
      </c>
      <c r="BB184" s="117" t="b">
        <v>1</v>
      </c>
      <c r="BC184" s="117"/>
      <c r="BD184" s="117"/>
      <c r="BE184" s="117">
        <v>0</v>
      </c>
    </row>
    <row r="185" spans="1:57" ht="16">
      <c r="A185" s="117" t="s">
        <v>2751</v>
      </c>
      <c r="B185" s="117" t="s">
        <v>641</v>
      </c>
      <c r="C185" s="117" t="s">
        <v>642</v>
      </c>
      <c r="D185" s="117" t="s">
        <v>643</v>
      </c>
      <c r="E185" s="117" t="s">
        <v>644</v>
      </c>
      <c r="F185" s="117" t="s">
        <v>653</v>
      </c>
      <c r="G185" s="117" t="s">
        <v>654</v>
      </c>
      <c r="H185" s="118" t="s">
        <v>653</v>
      </c>
      <c r="I185" s="119" t="s">
        <v>654</v>
      </c>
      <c r="J185" s="120" t="s">
        <v>2508</v>
      </c>
      <c r="K185" s="120" t="s">
        <v>2508</v>
      </c>
      <c r="L185" s="118"/>
      <c r="M185" s="119"/>
      <c r="N185" s="118"/>
      <c r="O185" s="119"/>
      <c r="P185" s="117" t="s">
        <v>88</v>
      </c>
      <c r="Q185" s="117" t="s">
        <v>45</v>
      </c>
      <c r="R185" s="117" t="b">
        <v>1</v>
      </c>
      <c r="S185" s="117" t="b">
        <v>1</v>
      </c>
      <c r="T185" s="117" t="b">
        <v>1</v>
      </c>
      <c r="U185" s="117" t="b">
        <v>0</v>
      </c>
      <c r="V185" s="117" t="b">
        <v>0</v>
      </c>
      <c r="W185" s="117" t="b">
        <v>1</v>
      </c>
      <c r="X185" s="117" t="b">
        <v>1</v>
      </c>
      <c r="Y185" s="117" t="b">
        <v>0</v>
      </c>
      <c r="Z185" s="117" t="b">
        <v>0</v>
      </c>
      <c r="AA185" s="117"/>
      <c r="AB185" s="117" t="s">
        <v>655</v>
      </c>
      <c r="AC185" s="117"/>
      <c r="AD185" s="117" t="s">
        <v>655</v>
      </c>
      <c r="AE185" s="117" t="s">
        <v>656</v>
      </c>
      <c r="AF185" s="117" t="b">
        <v>0</v>
      </c>
      <c r="AG185" s="117" t="s">
        <v>657</v>
      </c>
      <c r="AH185" s="117">
        <v>3215173010010000</v>
      </c>
      <c r="AI185" s="117" t="s">
        <v>310</v>
      </c>
      <c r="AJ185" s="117" t="s">
        <v>32</v>
      </c>
      <c r="AK185" s="117"/>
      <c r="AL185" s="117">
        <v>6285694188616</v>
      </c>
      <c r="AM185" s="117" t="s">
        <v>659</v>
      </c>
      <c r="AN185" s="117" t="s">
        <v>312</v>
      </c>
      <c r="AO185" s="117" t="s">
        <v>660</v>
      </c>
      <c r="AP185" s="117" t="s">
        <v>373</v>
      </c>
      <c r="AQ185" s="117" t="s">
        <v>643</v>
      </c>
      <c r="AR185" s="117" t="s">
        <v>1908</v>
      </c>
      <c r="AS185" s="117" t="s">
        <v>644</v>
      </c>
      <c r="AT185" s="117" t="s">
        <v>1928</v>
      </c>
      <c r="AU185" s="117" t="b">
        <v>1</v>
      </c>
      <c r="AV185" s="117" t="b">
        <v>1</v>
      </c>
      <c r="AW185" s="117" t="s">
        <v>653</v>
      </c>
      <c r="AX185" s="117" t="s">
        <v>654</v>
      </c>
      <c r="AY185" s="117" t="s">
        <v>1966</v>
      </c>
      <c r="AZ185" s="117" t="s">
        <v>1967</v>
      </c>
      <c r="BA185" s="117" t="b">
        <v>1</v>
      </c>
      <c r="BB185" s="117" t="b">
        <v>1</v>
      </c>
      <c r="BC185" s="117"/>
      <c r="BD185" s="117"/>
      <c r="BE185" s="117">
        <v>0</v>
      </c>
    </row>
    <row r="186" spans="1:57" ht="16">
      <c r="A186" s="117" t="s">
        <v>2751</v>
      </c>
      <c r="B186" s="117" t="s">
        <v>641</v>
      </c>
      <c r="C186" s="117" t="s">
        <v>642</v>
      </c>
      <c r="D186" s="117" t="s">
        <v>643</v>
      </c>
      <c r="E186" s="117" t="s">
        <v>644</v>
      </c>
      <c r="F186" s="117" t="s">
        <v>661</v>
      </c>
      <c r="G186" s="117" t="s">
        <v>662</v>
      </c>
      <c r="H186" s="118" t="s">
        <v>661</v>
      </c>
      <c r="I186" s="119" t="s">
        <v>662</v>
      </c>
      <c r="J186" s="120" t="s">
        <v>2508</v>
      </c>
      <c r="K186" s="120" t="s">
        <v>2508</v>
      </c>
      <c r="L186" s="118"/>
      <c r="M186" s="119"/>
      <c r="N186" s="118"/>
      <c r="O186" s="119"/>
      <c r="P186" s="117" t="s">
        <v>88</v>
      </c>
      <c r="Q186" s="117" t="s">
        <v>45</v>
      </c>
      <c r="R186" s="117" t="b">
        <v>1</v>
      </c>
      <c r="S186" s="117" t="b">
        <v>1</v>
      </c>
      <c r="T186" s="117" t="b">
        <v>1</v>
      </c>
      <c r="U186" s="117" t="b">
        <v>0</v>
      </c>
      <c r="V186" s="117" t="b">
        <v>0</v>
      </c>
      <c r="W186" s="117" t="b">
        <v>1</v>
      </c>
      <c r="X186" s="117" t="b">
        <v>1</v>
      </c>
      <c r="Y186" s="117" t="b">
        <v>0</v>
      </c>
      <c r="Z186" s="117" t="b">
        <v>0</v>
      </c>
      <c r="AA186" s="117"/>
      <c r="AB186" s="117" t="s">
        <v>663</v>
      </c>
      <c r="AC186" s="117"/>
      <c r="AD186" s="117" t="s">
        <v>663</v>
      </c>
      <c r="AE186" s="117" t="s">
        <v>664</v>
      </c>
      <c r="AF186" s="117" t="b">
        <v>0</v>
      </c>
      <c r="AG186" s="117" t="s">
        <v>665</v>
      </c>
      <c r="AH186" s="117">
        <v>3215102003920000</v>
      </c>
      <c r="AI186" s="117" t="s">
        <v>310</v>
      </c>
      <c r="AJ186" s="117" t="s">
        <v>32</v>
      </c>
      <c r="AK186" s="117"/>
      <c r="AL186" s="117">
        <v>62856926204967</v>
      </c>
      <c r="AM186" s="117" t="s">
        <v>667</v>
      </c>
      <c r="AN186" s="117" t="s">
        <v>312</v>
      </c>
      <c r="AO186" s="117" t="s">
        <v>668</v>
      </c>
      <c r="AP186" s="117" t="s">
        <v>373</v>
      </c>
      <c r="AQ186" s="117" t="s">
        <v>643</v>
      </c>
      <c r="AR186" s="117" t="s">
        <v>1908</v>
      </c>
      <c r="AS186" s="117" t="s">
        <v>644</v>
      </c>
      <c r="AT186" s="117" t="s">
        <v>1928</v>
      </c>
      <c r="AU186" s="117" t="b">
        <v>1</v>
      </c>
      <c r="AV186" s="117" t="b">
        <v>1</v>
      </c>
      <c r="AW186" s="117" t="s">
        <v>661</v>
      </c>
      <c r="AX186" s="117" t="s">
        <v>662</v>
      </c>
      <c r="AY186" s="117" t="s">
        <v>1968</v>
      </c>
      <c r="AZ186" s="117" t="s">
        <v>1969</v>
      </c>
      <c r="BA186" s="117" t="b">
        <v>1</v>
      </c>
      <c r="BB186" s="117" t="b">
        <v>1</v>
      </c>
      <c r="BC186" s="117"/>
      <c r="BD186" s="117"/>
      <c r="BE186" s="117">
        <v>0</v>
      </c>
    </row>
    <row r="187" spans="1:57" ht="16">
      <c r="A187" s="117" t="s">
        <v>2751</v>
      </c>
      <c r="B187" s="117" t="s">
        <v>641</v>
      </c>
      <c r="C187" s="117" t="s">
        <v>642</v>
      </c>
      <c r="D187" s="117" t="s">
        <v>643</v>
      </c>
      <c r="E187" s="117" t="s">
        <v>644</v>
      </c>
      <c r="F187" s="117" t="s">
        <v>1605</v>
      </c>
      <c r="G187" s="117" t="s">
        <v>1604</v>
      </c>
      <c r="H187" s="118" t="s">
        <v>1605</v>
      </c>
      <c r="I187" s="119" t="s">
        <v>1604</v>
      </c>
      <c r="J187" s="120" t="s">
        <v>2508</v>
      </c>
      <c r="K187" s="120" t="s">
        <v>2508</v>
      </c>
      <c r="L187" s="118"/>
      <c r="M187" s="119"/>
      <c r="N187" s="118"/>
      <c r="O187" s="119"/>
      <c r="P187" s="117" t="s">
        <v>88</v>
      </c>
      <c r="Q187" s="117" t="s">
        <v>45</v>
      </c>
      <c r="R187" s="117" t="b">
        <v>1</v>
      </c>
      <c r="S187" s="117" t="b">
        <v>1</v>
      </c>
      <c r="T187" s="117" t="b">
        <v>0</v>
      </c>
      <c r="U187" s="117" t="b">
        <v>0</v>
      </c>
      <c r="V187" s="117" t="b">
        <v>0</v>
      </c>
      <c r="W187" s="117" t="b">
        <v>1</v>
      </c>
      <c r="X187" s="117" t="b">
        <v>0</v>
      </c>
      <c r="Y187" s="117" t="b">
        <v>0</v>
      </c>
      <c r="Z187" s="117" t="b">
        <v>0</v>
      </c>
      <c r="AA187" s="117"/>
      <c r="AB187" s="117" t="s">
        <v>1606</v>
      </c>
      <c r="AC187" s="117"/>
      <c r="AD187" s="117" t="s">
        <v>1606</v>
      </c>
      <c r="AE187" s="117" t="s">
        <v>1606</v>
      </c>
      <c r="AF187" s="117"/>
      <c r="AG187" s="117" t="s">
        <v>1607</v>
      </c>
      <c r="AH187" s="117">
        <v>3215121903990000</v>
      </c>
      <c r="AI187" s="117" t="s">
        <v>68</v>
      </c>
      <c r="AJ187" s="117"/>
      <c r="AK187" s="117"/>
      <c r="AL187" s="117">
        <v>62895425330105</v>
      </c>
      <c r="AM187" s="117"/>
      <c r="AN187" s="117"/>
      <c r="AO187" s="117" t="s">
        <v>1609</v>
      </c>
      <c r="AP187" s="117"/>
      <c r="AQ187" s="117" t="s">
        <v>643</v>
      </c>
      <c r="AR187" s="117" t="s">
        <v>1908</v>
      </c>
      <c r="AS187" s="117" t="s">
        <v>644</v>
      </c>
      <c r="AT187" s="117" t="s">
        <v>1928</v>
      </c>
      <c r="AU187" s="117" t="b">
        <v>1</v>
      </c>
      <c r="AV187" s="117" t="b">
        <v>1</v>
      </c>
      <c r="AW187" s="117" t="s">
        <v>1605</v>
      </c>
      <c r="AX187" s="117" t="s">
        <v>1604</v>
      </c>
      <c r="AY187" s="117" t="s">
        <v>1978</v>
      </c>
      <c r="AZ187" s="117" t="s">
        <v>1979</v>
      </c>
      <c r="BA187" s="117" t="b">
        <v>1</v>
      </c>
      <c r="BB187" s="117" t="b">
        <v>1</v>
      </c>
      <c r="BC187" s="117"/>
      <c r="BD187" s="117"/>
      <c r="BE187" s="117" t="s">
        <v>2505</v>
      </c>
    </row>
    <row r="188" spans="1:57" ht="16">
      <c r="A188" s="160" t="s">
        <v>2751</v>
      </c>
      <c r="B188" s="160" t="s">
        <v>641</v>
      </c>
      <c r="C188" s="160" t="s">
        <v>642</v>
      </c>
      <c r="D188" s="160" t="s">
        <v>643</v>
      </c>
      <c r="E188" s="160" t="s">
        <v>644</v>
      </c>
      <c r="F188" s="160" t="s">
        <v>1332</v>
      </c>
      <c r="G188" s="160" t="s">
        <v>1333</v>
      </c>
      <c r="H188" s="162" t="s">
        <v>1332</v>
      </c>
      <c r="I188" s="164" t="s">
        <v>1333</v>
      </c>
      <c r="J188" s="166" t="s">
        <v>2508</v>
      </c>
      <c r="K188" s="166" t="s">
        <v>2508</v>
      </c>
      <c r="L188" s="162"/>
      <c r="M188" s="164"/>
      <c r="N188" s="162"/>
      <c r="O188" s="164"/>
      <c r="P188" s="160" t="s">
        <v>88</v>
      </c>
      <c r="Q188" s="160" t="s">
        <v>45</v>
      </c>
      <c r="R188" s="160" t="b">
        <v>1</v>
      </c>
      <c r="S188" s="160" t="b">
        <v>1</v>
      </c>
      <c r="T188" s="160" t="b">
        <v>1</v>
      </c>
      <c r="U188" s="160" t="b">
        <v>0</v>
      </c>
      <c r="V188" s="160" t="b">
        <v>0</v>
      </c>
      <c r="W188" s="160" t="b">
        <v>1</v>
      </c>
      <c r="X188" s="160" t="b">
        <v>1</v>
      </c>
      <c r="Y188" s="160" t="b">
        <v>0</v>
      </c>
      <c r="Z188" s="160" t="b">
        <v>0</v>
      </c>
      <c r="AA188" s="160"/>
      <c r="AB188" s="160" t="s">
        <v>1334</v>
      </c>
      <c r="AC188" s="160"/>
      <c r="AD188" s="160" t="s">
        <v>1334</v>
      </c>
      <c r="AE188" s="160" t="s">
        <v>1335</v>
      </c>
      <c r="AF188" s="160" t="b">
        <v>0</v>
      </c>
      <c r="AG188" s="117" t="s">
        <v>2847</v>
      </c>
      <c r="AH188" s="160">
        <v>3215221309890000</v>
      </c>
      <c r="AI188" s="160" t="s">
        <v>310</v>
      </c>
      <c r="AJ188" s="160" t="s">
        <v>32</v>
      </c>
      <c r="AK188" s="160"/>
      <c r="AL188" s="160">
        <v>6285810446668</v>
      </c>
      <c r="AM188" s="160" t="s">
        <v>1338</v>
      </c>
      <c r="AN188" s="160"/>
      <c r="AO188" s="160" t="s">
        <v>1339</v>
      </c>
      <c r="AP188" s="160" t="s">
        <v>373</v>
      </c>
      <c r="AQ188" s="160" t="s">
        <v>643</v>
      </c>
      <c r="AR188" s="160" t="s">
        <v>1908</v>
      </c>
      <c r="AS188" s="160" t="s">
        <v>644</v>
      </c>
      <c r="AT188" s="160" t="s">
        <v>1928</v>
      </c>
      <c r="AU188" s="160" t="b">
        <v>1</v>
      </c>
      <c r="AV188" s="160" t="b">
        <v>1</v>
      </c>
      <c r="AW188" s="160" t="s">
        <v>1332</v>
      </c>
      <c r="AX188" s="160" t="s">
        <v>1333</v>
      </c>
      <c r="AY188" s="160" t="s">
        <v>1970</v>
      </c>
      <c r="AZ188" s="160" t="s">
        <v>1971</v>
      </c>
      <c r="BA188" s="160" t="b">
        <v>1</v>
      </c>
      <c r="BB188" s="160" t="b">
        <v>1</v>
      </c>
      <c r="BC188" s="160"/>
      <c r="BD188" s="160"/>
      <c r="BE188" s="160">
        <v>0</v>
      </c>
    </row>
    <row r="189" spans="1:57" ht="16">
      <c r="A189" s="160"/>
      <c r="B189" s="160"/>
      <c r="C189" s="160"/>
      <c r="D189" s="160"/>
      <c r="E189" s="160"/>
      <c r="F189" s="160"/>
      <c r="G189" s="160"/>
      <c r="H189" s="162"/>
      <c r="I189" s="164"/>
      <c r="J189" s="166"/>
      <c r="K189" s="166"/>
      <c r="L189" s="162"/>
      <c r="M189" s="164"/>
      <c r="N189" s="162"/>
      <c r="O189" s="164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  <c r="AE189" s="160"/>
      <c r="AF189" s="160"/>
      <c r="AG189" s="117" t="s">
        <v>2848</v>
      </c>
      <c r="AH189" s="160"/>
      <c r="AI189" s="160"/>
      <c r="AJ189" s="160"/>
      <c r="AK189" s="160"/>
      <c r="AL189" s="160"/>
      <c r="AM189" s="160"/>
      <c r="AN189" s="160"/>
      <c r="AO189" s="160"/>
      <c r="AP189" s="160"/>
      <c r="AQ189" s="160"/>
      <c r="AR189" s="160"/>
      <c r="AS189" s="160"/>
      <c r="AT189" s="160"/>
      <c r="AU189" s="160"/>
      <c r="AV189" s="160"/>
      <c r="AW189" s="160"/>
      <c r="AX189" s="160"/>
      <c r="AY189" s="160"/>
      <c r="AZ189" s="160"/>
      <c r="BA189" s="160"/>
      <c r="BB189" s="160"/>
      <c r="BC189" s="160"/>
      <c r="BD189" s="160"/>
      <c r="BE189" s="160"/>
    </row>
    <row r="190" spans="1:57" ht="16">
      <c r="A190" s="160"/>
      <c r="B190" s="160"/>
      <c r="C190" s="160"/>
      <c r="D190" s="160"/>
      <c r="E190" s="160"/>
      <c r="F190" s="160"/>
      <c r="G190" s="160"/>
      <c r="H190" s="162"/>
      <c r="I190" s="164"/>
      <c r="J190" s="166"/>
      <c r="K190" s="166"/>
      <c r="L190" s="162"/>
      <c r="M190" s="164"/>
      <c r="N190" s="162"/>
      <c r="O190" s="164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  <c r="AE190" s="160"/>
      <c r="AF190" s="160"/>
      <c r="AG190" s="117" t="s">
        <v>2849</v>
      </c>
      <c r="AH190" s="160"/>
      <c r="AI190" s="160"/>
      <c r="AJ190" s="160"/>
      <c r="AK190" s="160"/>
      <c r="AL190" s="160"/>
      <c r="AM190" s="160"/>
      <c r="AN190" s="160"/>
      <c r="AO190" s="160"/>
      <c r="AP190" s="160"/>
      <c r="AQ190" s="160"/>
      <c r="AR190" s="160"/>
      <c r="AS190" s="160"/>
      <c r="AT190" s="160"/>
      <c r="AU190" s="160"/>
      <c r="AV190" s="160"/>
      <c r="AW190" s="160"/>
      <c r="AX190" s="160"/>
      <c r="AY190" s="160"/>
      <c r="AZ190" s="160"/>
      <c r="BA190" s="160"/>
      <c r="BB190" s="160"/>
      <c r="BC190" s="160"/>
      <c r="BD190" s="160"/>
      <c r="BE190" s="160"/>
    </row>
    <row r="191" spans="1:57" ht="16">
      <c r="A191" s="160"/>
      <c r="B191" s="160"/>
      <c r="C191" s="160"/>
      <c r="D191" s="160"/>
      <c r="E191" s="160"/>
      <c r="F191" s="160"/>
      <c r="G191" s="160"/>
      <c r="H191" s="162"/>
      <c r="I191" s="164"/>
      <c r="J191" s="166"/>
      <c r="K191" s="166"/>
      <c r="L191" s="162"/>
      <c r="M191" s="164"/>
      <c r="N191" s="162"/>
      <c r="O191" s="164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  <c r="AE191" s="160"/>
      <c r="AF191" s="160"/>
      <c r="AG191" s="117" t="s">
        <v>2850</v>
      </c>
      <c r="AH191" s="160"/>
      <c r="AI191" s="160"/>
      <c r="AJ191" s="160"/>
      <c r="AK191" s="160"/>
      <c r="AL191" s="160"/>
      <c r="AM191" s="160"/>
      <c r="AN191" s="160"/>
      <c r="AO191" s="160"/>
      <c r="AP191" s="160"/>
      <c r="AQ191" s="160"/>
      <c r="AR191" s="160"/>
      <c r="AS191" s="160"/>
      <c r="AT191" s="160"/>
      <c r="AU191" s="160"/>
      <c r="AV191" s="160"/>
      <c r="AW191" s="160"/>
      <c r="AX191" s="160"/>
      <c r="AY191" s="160"/>
      <c r="AZ191" s="160"/>
      <c r="BA191" s="160"/>
      <c r="BB191" s="160"/>
      <c r="BC191" s="160"/>
      <c r="BD191" s="160"/>
      <c r="BE191" s="160"/>
    </row>
    <row r="192" spans="1:57" ht="16">
      <c r="A192" s="117" t="s">
        <v>2751</v>
      </c>
      <c r="B192" s="117" t="s">
        <v>641</v>
      </c>
      <c r="C192" s="117" t="s">
        <v>642</v>
      </c>
      <c r="D192" s="117" t="s">
        <v>643</v>
      </c>
      <c r="E192" s="117" t="s">
        <v>644</v>
      </c>
      <c r="F192" s="117" t="s">
        <v>1340</v>
      </c>
      <c r="G192" s="117" t="s">
        <v>1341</v>
      </c>
      <c r="H192" s="118" t="s">
        <v>1340</v>
      </c>
      <c r="I192" s="119" t="s">
        <v>1341</v>
      </c>
      <c r="J192" s="120" t="s">
        <v>2508</v>
      </c>
      <c r="K192" s="120" t="s">
        <v>2508</v>
      </c>
      <c r="L192" s="118"/>
      <c r="M192" s="119"/>
      <c r="N192" s="118"/>
      <c r="O192" s="119"/>
      <c r="P192" s="117" t="s">
        <v>88</v>
      </c>
      <c r="Q192" s="117" t="s">
        <v>45</v>
      </c>
      <c r="R192" s="117" t="b">
        <v>1</v>
      </c>
      <c r="S192" s="117" t="b">
        <v>1</v>
      </c>
      <c r="T192" s="117" t="b">
        <v>1</v>
      </c>
      <c r="U192" s="117" t="b">
        <v>0</v>
      </c>
      <c r="V192" s="117" t="b">
        <v>0</v>
      </c>
      <c r="W192" s="117" t="b">
        <v>1</v>
      </c>
      <c r="X192" s="117" t="b">
        <v>1</v>
      </c>
      <c r="Y192" s="117" t="b">
        <v>0</v>
      </c>
      <c r="Z192" s="117" t="b">
        <v>0</v>
      </c>
      <c r="AA192" s="117"/>
      <c r="AB192" s="117" t="s">
        <v>1342</v>
      </c>
      <c r="AC192" s="117"/>
      <c r="AD192" s="117" t="s">
        <v>1342</v>
      </c>
      <c r="AE192" s="117" t="s">
        <v>1343</v>
      </c>
      <c r="AF192" s="117" t="b">
        <v>0</v>
      </c>
      <c r="AG192" s="117" t="s">
        <v>1344</v>
      </c>
      <c r="AH192" s="117">
        <v>3215081409870000</v>
      </c>
      <c r="AI192" s="117" t="s">
        <v>310</v>
      </c>
      <c r="AJ192" s="117" t="s">
        <v>32</v>
      </c>
      <c r="AK192" s="117"/>
      <c r="AL192" s="117">
        <v>6285894090411</v>
      </c>
      <c r="AM192" s="117" t="s">
        <v>1346</v>
      </c>
      <c r="AN192" s="117"/>
      <c r="AO192" s="117" t="s">
        <v>1347</v>
      </c>
      <c r="AP192" s="117" t="s">
        <v>373</v>
      </c>
      <c r="AQ192" s="117" t="s">
        <v>643</v>
      </c>
      <c r="AR192" s="117" t="s">
        <v>1908</v>
      </c>
      <c r="AS192" s="117" t="s">
        <v>644</v>
      </c>
      <c r="AT192" s="117" t="s">
        <v>1928</v>
      </c>
      <c r="AU192" s="117" t="b">
        <v>1</v>
      </c>
      <c r="AV192" s="117" t="b">
        <v>1</v>
      </c>
      <c r="AW192" s="117" t="s">
        <v>1340</v>
      </c>
      <c r="AX192" s="117" t="s">
        <v>1341</v>
      </c>
      <c r="AY192" s="117" t="s">
        <v>1972</v>
      </c>
      <c r="AZ192" s="117" t="s">
        <v>1973</v>
      </c>
      <c r="BA192" s="117" t="b">
        <v>1</v>
      </c>
      <c r="BB192" s="117" t="b">
        <v>1</v>
      </c>
      <c r="BC192" s="117"/>
      <c r="BD192" s="117"/>
      <c r="BE192" s="117">
        <v>0</v>
      </c>
    </row>
    <row r="193" spans="1:57" ht="16">
      <c r="A193" s="117" t="s">
        <v>2751</v>
      </c>
      <c r="B193" s="117" t="s">
        <v>641</v>
      </c>
      <c r="C193" s="117" t="s">
        <v>642</v>
      </c>
      <c r="D193" s="117" t="s">
        <v>643</v>
      </c>
      <c r="E193" s="117" t="s">
        <v>644</v>
      </c>
      <c r="F193" s="117" t="s">
        <v>1348</v>
      </c>
      <c r="G193" s="117" t="s">
        <v>1349</v>
      </c>
      <c r="H193" s="118" t="s">
        <v>1348</v>
      </c>
      <c r="I193" s="119" t="s">
        <v>1349</v>
      </c>
      <c r="J193" s="120" t="s">
        <v>2508</v>
      </c>
      <c r="K193" s="120" t="s">
        <v>2508</v>
      </c>
      <c r="L193" s="118"/>
      <c r="M193" s="119"/>
      <c r="N193" s="118"/>
      <c r="O193" s="119"/>
      <c r="P193" s="117" t="s">
        <v>88</v>
      </c>
      <c r="Q193" s="117" t="s">
        <v>45</v>
      </c>
      <c r="R193" s="117" t="b">
        <v>1</v>
      </c>
      <c r="S193" s="117" t="b">
        <v>1</v>
      </c>
      <c r="T193" s="117" t="b">
        <v>1</v>
      </c>
      <c r="U193" s="117" t="b">
        <v>0</v>
      </c>
      <c r="V193" s="117" t="b">
        <v>0</v>
      </c>
      <c r="W193" s="117" t="b">
        <v>1</v>
      </c>
      <c r="X193" s="117" t="b">
        <v>1</v>
      </c>
      <c r="Y193" s="117" t="b">
        <v>0</v>
      </c>
      <c r="Z193" s="117" t="b">
        <v>0</v>
      </c>
      <c r="AA193" s="117"/>
      <c r="AB193" s="117" t="s">
        <v>1350</v>
      </c>
      <c r="AC193" s="117"/>
      <c r="AD193" s="117" t="s">
        <v>1350</v>
      </c>
      <c r="AE193" s="117" t="s">
        <v>1350</v>
      </c>
      <c r="AF193" s="117"/>
      <c r="AG193" s="117" t="s">
        <v>1351</v>
      </c>
      <c r="AH193" s="117">
        <v>3215071608990000</v>
      </c>
      <c r="AI193" s="117" t="s">
        <v>68</v>
      </c>
      <c r="AJ193" s="117"/>
      <c r="AK193" s="117"/>
      <c r="AL193" s="117">
        <v>6285813307836</v>
      </c>
      <c r="AM193" s="117"/>
      <c r="AN193" s="117"/>
      <c r="AO193" s="117" t="s">
        <v>1353</v>
      </c>
      <c r="AP193" s="117"/>
      <c r="AQ193" s="117" t="s">
        <v>643</v>
      </c>
      <c r="AR193" s="117" t="s">
        <v>1908</v>
      </c>
      <c r="AS193" s="117" t="s">
        <v>644</v>
      </c>
      <c r="AT193" s="117" t="s">
        <v>1928</v>
      </c>
      <c r="AU193" s="117" t="b">
        <v>1</v>
      </c>
      <c r="AV193" s="117" t="b">
        <v>1</v>
      </c>
      <c r="AW193" s="117" t="s">
        <v>1348</v>
      </c>
      <c r="AX193" s="117" t="s">
        <v>1349</v>
      </c>
      <c r="AY193" s="117" t="s">
        <v>1974</v>
      </c>
      <c r="AZ193" s="117" t="s">
        <v>1975</v>
      </c>
      <c r="BA193" s="117" t="b">
        <v>1</v>
      </c>
      <c r="BB193" s="117" t="b">
        <v>1</v>
      </c>
      <c r="BC193" s="117"/>
      <c r="BD193" s="117"/>
      <c r="BE193" s="117">
        <v>0</v>
      </c>
    </row>
    <row r="194" spans="1:57" ht="16">
      <c r="A194" s="117" t="s">
        <v>2751</v>
      </c>
      <c r="B194" s="117" t="s">
        <v>641</v>
      </c>
      <c r="C194" s="117" t="s">
        <v>642</v>
      </c>
      <c r="D194" s="117" t="s">
        <v>643</v>
      </c>
      <c r="E194" s="117" t="s">
        <v>644</v>
      </c>
      <c r="F194" s="117" t="s">
        <v>1354</v>
      </c>
      <c r="G194" s="117" t="s">
        <v>1355</v>
      </c>
      <c r="H194" s="118" t="s">
        <v>1354</v>
      </c>
      <c r="I194" s="119" t="s">
        <v>1355</v>
      </c>
      <c r="J194" s="120" t="s">
        <v>2508</v>
      </c>
      <c r="K194" s="120" t="s">
        <v>2508</v>
      </c>
      <c r="L194" s="118"/>
      <c r="M194" s="119"/>
      <c r="N194" s="118"/>
      <c r="O194" s="119"/>
      <c r="P194" s="117" t="s">
        <v>88</v>
      </c>
      <c r="Q194" s="117" t="s">
        <v>45</v>
      </c>
      <c r="R194" s="117" t="b">
        <v>1</v>
      </c>
      <c r="S194" s="117" t="b">
        <v>1</v>
      </c>
      <c r="T194" s="117" t="b">
        <v>1</v>
      </c>
      <c r="U194" s="117" t="b">
        <v>0</v>
      </c>
      <c r="V194" s="117" t="b">
        <v>0</v>
      </c>
      <c r="W194" s="117" t="b">
        <v>1</v>
      </c>
      <c r="X194" s="117" t="b">
        <v>1</v>
      </c>
      <c r="Y194" s="117" t="b">
        <v>0</v>
      </c>
      <c r="Z194" s="117" t="b">
        <v>0</v>
      </c>
      <c r="AA194" s="117"/>
      <c r="AB194" s="117" t="s">
        <v>1356</v>
      </c>
      <c r="AC194" s="117"/>
      <c r="AD194" s="117" t="s">
        <v>1356</v>
      </c>
      <c r="AE194" s="117" t="s">
        <v>1357</v>
      </c>
      <c r="AF194" s="117" t="b">
        <v>0</v>
      </c>
      <c r="AG194" s="117" t="s">
        <v>1358</v>
      </c>
      <c r="AH194" s="117">
        <v>3215091406850000</v>
      </c>
      <c r="AI194" s="117" t="s">
        <v>310</v>
      </c>
      <c r="AJ194" s="117" t="s">
        <v>32</v>
      </c>
      <c r="AK194" s="117"/>
      <c r="AL194" s="117">
        <v>6285813310570</v>
      </c>
      <c r="AM194" s="117" t="s">
        <v>1360</v>
      </c>
      <c r="AN194" s="117" t="s">
        <v>312</v>
      </c>
      <c r="AO194" s="117" t="s">
        <v>1361</v>
      </c>
      <c r="AP194" s="117" t="s">
        <v>373</v>
      </c>
      <c r="AQ194" s="117" t="s">
        <v>643</v>
      </c>
      <c r="AR194" s="117" t="s">
        <v>1908</v>
      </c>
      <c r="AS194" s="117" t="s">
        <v>644</v>
      </c>
      <c r="AT194" s="117" t="s">
        <v>1928</v>
      </c>
      <c r="AU194" s="117" t="b">
        <v>1</v>
      </c>
      <c r="AV194" s="117" t="b">
        <v>1</v>
      </c>
      <c r="AW194" s="117" t="s">
        <v>1354</v>
      </c>
      <c r="AX194" s="117" t="s">
        <v>1355</v>
      </c>
      <c r="AY194" s="117" t="s">
        <v>1976</v>
      </c>
      <c r="AZ194" s="117" t="s">
        <v>1977</v>
      </c>
      <c r="BA194" s="117" t="b">
        <v>1</v>
      </c>
      <c r="BB194" s="117" t="b">
        <v>1</v>
      </c>
      <c r="BC194" s="117"/>
      <c r="BD194" s="117"/>
      <c r="BE194" s="117">
        <v>0</v>
      </c>
    </row>
    <row r="195" spans="1:57" ht="16">
      <c r="A195" s="117" t="s">
        <v>2751</v>
      </c>
      <c r="B195" s="117" t="s">
        <v>641</v>
      </c>
      <c r="C195" s="117" t="s">
        <v>642</v>
      </c>
      <c r="D195" s="117" t="s">
        <v>643</v>
      </c>
      <c r="E195" s="117" t="s">
        <v>644</v>
      </c>
      <c r="F195" s="122" t="s">
        <v>634</v>
      </c>
      <c r="G195" s="122" t="s">
        <v>914</v>
      </c>
      <c r="H195" s="118" t="s">
        <v>2611</v>
      </c>
      <c r="I195" s="119" t="s">
        <v>2612</v>
      </c>
      <c r="J195" s="120" t="s">
        <v>2508</v>
      </c>
      <c r="K195" s="120" t="s">
        <v>2508</v>
      </c>
      <c r="L195" s="118"/>
      <c r="M195" s="119"/>
      <c r="N195" s="118"/>
      <c r="O195" s="119"/>
      <c r="P195" s="117" t="s">
        <v>88</v>
      </c>
      <c r="Q195" s="117" t="s">
        <v>45</v>
      </c>
      <c r="R195" s="117" t="b">
        <v>1</v>
      </c>
      <c r="S195" s="117" t="b">
        <v>1</v>
      </c>
      <c r="T195" s="117" t="b">
        <v>1</v>
      </c>
      <c r="U195" s="117" t="b">
        <v>0</v>
      </c>
      <c r="V195" s="117" t="b">
        <v>0</v>
      </c>
      <c r="W195" s="117" t="b">
        <v>1</v>
      </c>
      <c r="X195" s="117" t="b">
        <v>1</v>
      </c>
      <c r="Y195" s="117" t="b">
        <v>0</v>
      </c>
      <c r="Z195" s="117" t="b">
        <v>0</v>
      </c>
      <c r="AA195" s="117"/>
      <c r="AB195" s="117" t="s">
        <v>915</v>
      </c>
      <c r="AC195" s="117"/>
      <c r="AD195" s="117" t="s">
        <v>915</v>
      </c>
      <c r="AE195" s="117" t="s">
        <v>915</v>
      </c>
      <c r="AF195" s="117" t="b">
        <v>0</v>
      </c>
      <c r="AG195" s="117" t="s">
        <v>916</v>
      </c>
      <c r="AH195" s="117">
        <v>3215180412890000</v>
      </c>
      <c r="AI195" s="117" t="s">
        <v>310</v>
      </c>
      <c r="AJ195" s="117" t="s">
        <v>32</v>
      </c>
      <c r="AK195" s="117"/>
      <c r="AL195" s="117">
        <v>0</v>
      </c>
      <c r="AM195" s="117" t="s">
        <v>918</v>
      </c>
      <c r="AN195" s="117" t="s">
        <v>312</v>
      </c>
      <c r="AO195" s="117" t="s">
        <v>919</v>
      </c>
      <c r="AP195" s="117" t="s">
        <v>609</v>
      </c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17"/>
      <c r="BA195" s="117"/>
      <c r="BB195" s="117"/>
      <c r="BC195" s="117"/>
      <c r="BD195" s="117"/>
      <c r="BE195" s="117"/>
    </row>
    <row r="196" spans="1:57" ht="16">
      <c r="A196" s="117" t="s">
        <v>2751</v>
      </c>
      <c r="B196" s="117" t="s">
        <v>151</v>
      </c>
      <c r="C196" s="117" t="s">
        <v>932</v>
      </c>
      <c r="D196" s="117" t="s">
        <v>25</v>
      </c>
      <c r="E196" s="117" t="s">
        <v>26</v>
      </c>
      <c r="F196" s="117" t="s">
        <v>934</v>
      </c>
      <c r="G196" s="117" t="s">
        <v>935</v>
      </c>
      <c r="H196" s="118" t="s">
        <v>934</v>
      </c>
      <c r="I196" s="119" t="s">
        <v>935</v>
      </c>
      <c r="J196" s="120" t="s">
        <v>2508</v>
      </c>
      <c r="K196" s="120" t="s">
        <v>2508</v>
      </c>
      <c r="L196" s="118"/>
      <c r="M196" s="119"/>
      <c r="N196" s="118"/>
      <c r="O196" s="119"/>
      <c r="P196" s="117" t="s">
        <v>88</v>
      </c>
      <c r="Q196" s="117" t="s">
        <v>45</v>
      </c>
      <c r="R196" s="117" t="b">
        <v>1</v>
      </c>
      <c r="S196" s="117" t="b">
        <v>1</v>
      </c>
      <c r="T196" s="117" t="b">
        <v>1</v>
      </c>
      <c r="U196" s="117" t="b">
        <v>0</v>
      </c>
      <c r="V196" s="117" t="b">
        <v>0</v>
      </c>
      <c r="W196" s="117" t="b">
        <v>1</v>
      </c>
      <c r="X196" s="117" t="b">
        <v>1</v>
      </c>
      <c r="Y196" s="117" t="b">
        <v>0</v>
      </c>
      <c r="Z196" s="117" t="b">
        <v>0</v>
      </c>
      <c r="AA196" s="117"/>
      <c r="AB196" s="117" t="s">
        <v>936</v>
      </c>
      <c r="AC196" s="117"/>
      <c r="AD196" s="117" t="s">
        <v>936</v>
      </c>
      <c r="AE196" s="117" t="s">
        <v>936</v>
      </c>
      <c r="AF196" s="117" t="b">
        <v>0</v>
      </c>
      <c r="AG196" s="117" t="s">
        <v>937</v>
      </c>
      <c r="AH196" s="117">
        <v>3215162907940000</v>
      </c>
      <c r="AI196" s="117" t="s">
        <v>310</v>
      </c>
      <c r="AJ196" s="117" t="s">
        <v>32</v>
      </c>
      <c r="AK196" s="117"/>
      <c r="AL196" s="117">
        <v>6285710632634</v>
      </c>
      <c r="AM196" s="117" t="s">
        <v>939</v>
      </c>
      <c r="AN196" s="117" t="s">
        <v>312</v>
      </c>
      <c r="AO196" s="117" t="s">
        <v>940</v>
      </c>
      <c r="AP196" s="117" t="s">
        <v>373</v>
      </c>
      <c r="AQ196" s="117" t="s">
        <v>25</v>
      </c>
      <c r="AR196" s="117" t="s">
        <v>933</v>
      </c>
      <c r="AS196" s="117" t="s">
        <v>26</v>
      </c>
      <c r="AT196" s="117" t="s">
        <v>1934</v>
      </c>
      <c r="AU196" s="117" t="b">
        <v>1</v>
      </c>
      <c r="AV196" s="117" t="b">
        <v>1</v>
      </c>
      <c r="AW196" s="117" t="s">
        <v>934</v>
      </c>
      <c r="AX196" s="117" t="s">
        <v>935</v>
      </c>
      <c r="AY196" s="117" t="s">
        <v>2226</v>
      </c>
      <c r="AZ196" s="117" t="s">
        <v>2227</v>
      </c>
      <c r="BA196" s="117" t="b">
        <v>1</v>
      </c>
      <c r="BB196" s="117" t="b">
        <v>1</v>
      </c>
      <c r="BC196" s="117"/>
      <c r="BD196" s="117"/>
      <c r="BE196" s="117">
        <v>0</v>
      </c>
    </row>
    <row r="197" spans="1:57" ht="16">
      <c r="A197" s="117" t="s">
        <v>2751</v>
      </c>
      <c r="B197" s="117" t="s">
        <v>151</v>
      </c>
      <c r="C197" s="117" t="s">
        <v>152</v>
      </c>
      <c r="D197" s="117" t="s">
        <v>153</v>
      </c>
      <c r="E197" s="117" t="s">
        <v>154</v>
      </c>
      <c r="F197" s="117">
        <v>2613050983</v>
      </c>
      <c r="G197" s="117" t="s">
        <v>155</v>
      </c>
      <c r="H197" s="118">
        <v>2613050983</v>
      </c>
      <c r="I197" s="119" t="s">
        <v>155</v>
      </c>
      <c r="J197" s="120" t="s">
        <v>2508</v>
      </c>
      <c r="K197" s="120" t="s">
        <v>2508</v>
      </c>
      <c r="L197" s="118"/>
      <c r="M197" s="119"/>
      <c r="N197" s="118"/>
      <c r="O197" s="119"/>
      <c r="P197" s="117" t="s">
        <v>88</v>
      </c>
      <c r="Q197" s="117" t="s">
        <v>45</v>
      </c>
      <c r="R197" s="117" t="b">
        <v>1</v>
      </c>
      <c r="S197" s="117" t="b">
        <v>1</v>
      </c>
      <c r="T197" s="117" t="b">
        <v>1</v>
      </c>
      <c r="U197" s="117" t="b">
        <v>0</v>
      </c>
      <c r="V197" s="117" t="b">
        <v>0</v>
      </c>
      <c r="W197" s="117" t="b">
        <v>1</v>
      </c>
      <c r="X197" s="117" t="b">
        <v>1</v>
      </c>
      <c r="Y197" s="117" t="b">
        <v>0</v>
      </c>
      <c r="Z197" s="117" t="b">
        <v>0</v>
      </c>
      <c r="AA197" s="117"/>
      <c r="AB197" s="117" t="s">
        <v>156</v>
      </c>
      <c r="AC197" s="117"/>
      <c r="AD197" s="117" t="s">
        <v>156</v>
      </c>
      <c r="AE197" s="117" t="s">
        <v>156</v>
      </c>
      <c r="AF197" s="117"/>
      <c r="AG197" s="117" t="s">
        <v>157</v>
      </c>
      <c r="AH197" s="117">
        <v>3214010404800000</v>
      </c>
      <c r="AI197" s="117" t="s">
        <v>68</v>
      </c>
      <c r="AJ197" s="117"/>
      <c r="AK197" s="117"/>
      <c r="AL197" s="117">
        <v>6285891943338</v>
      </c>
      <c r="AM197" s="117"/>
      <c r="AN197" s="117"/>
      <c r="AO197" s="117" t="s">
        <v>159</v>
      </c>
      <c r="AP197" s="117"/>
      <c r="AQ197" s="117" t="s">
        <v>153</v>
      </c>
      <c r="AR197" s="117" t="s">
        <v>1905</v>
      </c>
      <c r="AS197" s="117" t="s">
        <v>154</v>
      </c>
      <c r="AT197" s="117" t="s">
        <v>1917</v>
      </c>
      <c r="AU197" s="117" t="b">
        <v>1</v>
      </c>
      <c r="AV197" s="117" t="b">
        <v>1</v>
      </c>
      <c r="AW197" s="117">
        <v>2613050983</v>
      </c>
      <c r="AX197" s="117" t="s">
        <v>155</v>
      </c>
      <c r="AY197" s="117" t="s">
        <v>2024</v>
      </c>
      <c r="AZ197" s="117" t="s">
        <v>2025</v>
      </c>
      <c r="BA197" s="117" t="b">
        <v>1</v>
      </c>
      <c r="BB197" s="117" t="b">
        <v>1</v>
      </c>
      <c r="BC197" s="117"/>
      <c r="BD197" s="117"/>
      <c r="BE197" s="117">
        <v>0</v>
      </c>
    </row>
    <row r="198" spans="1:57" ht="16">
      <c r="A198" s="117" t="s">
        <v>2751</v>
      </c>
      <c r="B198" s="117" t="s">
        <v>151</v>
      </c>
      <c r="C198" s="117" t="s">
        <v>152</v>
      </c>
      <c r="D198" s="117" t="s">
        <v>153</v>
      </c>
      <c r="E198" s="117" t="s">
        <v>154</v>
      </c>
      <c r="F198" s="117" t="s">
        <v>610</v>
      </c>
      <c r="G198" s="117" t="s">
        <v>611</v>
      </c>
      <c r="H198" s="118" t="s">
        <v>610</v>
      </c>
      <c r="I198" s="119" t="s">
        <v>611</v>
      </c>
      <c r="J198" s="120" t="s">
        <v>2508</v>
      </c>
      <c r="K198" s="120" t="s">
        <v>2508</v>
      </c>
      <c r="L198" s="118"/>
      <c r="M198" s="119"/>
      <c r="N198" s="118"/>
      <c r="O198" s="119"/>
      <c r="P198" s="117" t="s">
        <v>88</v>
      </c>
      <c r="Q198" s="117" t="s">
        <v>45</v>
      </c>
      <c r="R198" s="117" t="b">
        <v>1</v>
      </c>
      <c r="S198" s="117" t="b">
        <v>1</v>
      </c>
      <c r="T198" s="117" t="b">
        <v>1</v>
      </c>
      <c r="U198" s="117" t="b">
        <v>0</v>
      </c>
      <c r="V198" s="117" t="b">
        <v>0</v>
      </c>
      <c r="W198" s="117" t="b">
        <v>1</v>
      </c>
      <c r="X198" s="117" t="b">
        <v>1</v>
      </c>
      <c r="Y198" s="117" t="b">
        <v>0</v>
      </c>
      <c r="Z198" s="117" t="b">
        <v>0</v>
      </c>
      <c r="AA198" s="117"/>
      <c r="AB198" s="117" t="s">
        <v>612</v>
      </c>
      <c r="AC198" s="117"/>
      <c r="AD198" s="117" t="s">
        <v>612</v>
      </c>
      <c r="AE198" s="117" t="s">
        <v>612</v>
      </c>
      <c r="AF198" s="117" t="b">
        <v>0</v>
      </c>
      <c r="AG198" s="117" t="s">
        <v>613</v>
      </c>
      <c r="AH198" s="117">
        <v>3215140603910000</v>
      </c>
      <c r="AI198" s="117" t="s">
        <v>310</v>
      </c>
      <c r="AJ198" s="117" t="s">
        <v>32</v>
      </c>
      <c r="AK198" s="117"/>
      <c r="AL198" s="117">
        <v>6285719720181</v>
      </c>
      <c r="AM198" s="117" t="s">
        <v>615</v>
      </c>
      <c r="AN198" s="117" t="s">
        <v>312</v>
      </c>
      <c r="AO198" s="117" t="s">
        <v>616</v>
      </c>
      <c r="AP198" s="117" t="s">
        <v>609</v>
      </c>
      <c r="AQ198" s="117" t="s">
        <v>153</v>
      </c>
      <c r="AR198" s="117" t="s">
        <v>1905</v>
      </c>
      <c r="AS198" s="117" t="s">
        <v>154</v>
      </c>
      <c r="AT198" s="117" t="s">
        <v>1917</v>
      </c>
      <c r="AU198" s="117" t="b">
        <v>1</v>
      </c>
      <c r="AV198" s="117" t="b">
        <v>1</v>
      </c>
      <c r="AW198" s="117" t="s">
        <v>610</v>
      </c>
      <c r="AX198" s="117" t="s">
        <v>611</v>
      </c>
      <c r="AY198" s="117" t="s">
        <v>2158</v>
      </c>
      <c r="AZ198" s="117" t="s">
        <v>2159</v>
      </c>
      <c r="BA198" s="117" t="b">
        <v>1</v>
      </c>
      <c r="BB198" s="117" t="b">
        <v>1</v>
      </c>
      <c r="BC198" s="117"/>
      <c r="BD198" s="117"/>
      <c r="BE198" s="117">
        <v>0</v>
      </c>
    </row>
    <row r="199" spans="1:57" ht="16">
      <c r="A199" s="117" t="s">
        <v>2751</v>
      </c>
      <c r="B199" s="117" t="s">
        <v>151</v>
      </c>
      <c r="C199" s="117" t="s">
        <v>152</v>
      </c>
      <c r="D199" s="117" t="s">
        <v>153</v>
      </c>
      <c r="E199" s="117" t="s">
        <v>154</v>
      </c>
      <c r="F199" s="117" t="s">
        <v>624</v>
      </c>
      <c r="G199" s="117" t="s">
        <v>625</v>
      </c>
      <c r="H199" s="118" t="s">
        <v>624</v>
      </c>
      <c r="I199" s="119" t="s">
        <v>625</v>
      </c>
      <c r="J199" s="120" t="s">
        <v>2508</v>
      </c>
      <c r="K199" s="120" t="s">
        <v>2508</v>
      </c>
      <c r="L199" s="118"/>
      <c r="M199" s="119"/>
      <c r="N199" s="118"/>
      <c r="O199" s="119"/>
      <c r="P199" s="117" t="s">
        <v>88</v>
      </c>
      <c r="Q199" s="117" t="s">
        <v>45</v>
      </c>
      <c r="R199" s="117" t="b">
        <v>1</v>
      </c>
      <c r="S199" s="117" t="b">
        <v>1</v>
      </c>
      <c r="T199" s="117" t="b">
        <v>1</v>
      </c>
      <c r="U199" s="117" t="b">
        <v>0</v>
      </c>
      <c r="V199" s="117" t="b">
        <v>0</v>
      </c>
      <c r="W199" s="117" t="b">
        <v>1</v>
      </c>
      <c r="X199" s="117" t="b">
        <v>1</v>
      </c>
      <c r="Y199" s="117" t="b">
        <v>0</v>
      </c>
      <c r="Z199" s="117" t="b">
        <v>0</v>
      </c>
      <c r="AA199" s="117"/>
      <c r="AB199" s="117" t="s">
        <v>626</v>
      </c>
      <c r="AC199" s="117"/>
      <c r="AD199" s="117" t="s">
        <v>626</v>
      </c>
      <c r="AE199" s="117" t="s">
        <v>626</v>
      </c>
      <c r="AF199" s="117" t="b">
        <v>0</v>
      </c>
      <c r="AG199" s="117" t="s">
        <v>627</v>
      </c>
      <c r="AH199" s="117">
        <v>3215262009840000</v>
      </c>
      <c r="AI199" s="117" t="s">
        <v>310</v>
      </c>
      <c r="AJ199" s="117" t="s">
        <v>32</v>
      </c>
      <c r="AK199" s="117"/>
      <c r="AL199" s="117">
        <v>62981585552228</v>
      </c>
      <c r="AM199" s="117" t="s">
        <v>629</v>
      </c>
      <c r="AN199" s="117" t="s">
        <v>312</v>
      </c>
      <c r="AO199" s="117" t="s">
        <v>630</v>
      </c>
      <c r="AP199" s="117" t="s">
        <v>609</v>
      </c>
      <c r="AQ199" s="117" t="s">
        <v>153</v>
      </c>
      <c r="AR199" s="117" t="s">
        <v>1905</v>
      </c>
      <c r="AS199" s="117" t="s">
        <v>154</v>
      </c>
      <c r="AT199" s="117" t="s">
        <v>1917</v>
      </c>
      <c r="AU199" s="117" t="b">
        <v>1</v>
      </c>
      <c r="AV199" s="117" t="b">
        <v>1</v>
      </c>
      <c r="AW199" s="117" t="s">
        <v>624</v>
      </c>
      <c r="AX199" s="117" t="s">
        <v>625</v>
      </c>
      <c r="AY199" s="117" t="s">
        <v>2162</v>
      </c>
      <c r="AZ199" s="117" t="s">
        <v>2163</v>
      </c>
      <c r="BA199" s="117" t="b">
        <v>1</v>
      </c>
      <c r="BB199" s="117" t="b">
        <v>1</v>
      </c>
      <c r="BC199" s="117"/>
      <c r="BD199" s="117"/>
      <c r="BE199" s="117">
        <v>0</v>
      </c>
    </row>
    <row r="200" spans="1:57" ht="16">
      <c r="A200" s="117" t="s">
        <v>2751</v>
      </c>
      <c r="B200" s="117" t="s">
        <v>151</v>
      </c>
      <c r="C200" s="117" t="s">
        <v>152</v>
      </c>
      <c r="D200" s="117" t="s">
        <v>153</v>
      </c>
      <c r="E200" s="117" t="s">
        <v>154</v>
      </c>
      <c r="F200" s="117" t="s">
        <v>1068</v>
      </c>
      <c r="G200" s="117" t="s">
        <v>1069</v>
      </c>
      <c r="H200" s="118" t="s">
        <v>1068</v>
      </c>
      <c r="I200" s="119" t="s">
        <v>1069</v>
      </c>
      <c r="J200" s="120" t="s">
        <v>2508</v>
      </c>
      <c r="K200" s="120" t="s">
        <v>2508</v>
      </c>
      <c r="L200" s="118"/>
      <c r="M200" s="119"/>
      <c r="N200" s="118"/>
      <c r="O200" s="119"/>
      <c r="P200" s="117" t="s">
        <v>88</v>
      </c>
      <c r="Q200" s="117" t="s">
        <v>45</v>
      </c>
      <c r="R200" s="117" t="b">
        <v>1</v>
      </c>
      <c r="S200" s="117" t="b">
        <v>1</v>
      </c>
      <c r="T200" s="117" t="b">
        <v>1</v>
      </c>
      <c r="U200" s="117" t="b">
        <v>0</v>
      </c>
      <c r="V200" s="117" t="b">
        <v>0</v>
      </c>
      <c r="W200" s="117" t="b">
        <v>1</v>
      </c>
      <c r="X200" s="117" t="b">
        <v>1</v>
      </c>
      <c r="Y200" s="117" t="b">
        <v>0</v>
      </c>
      <c r="Z200" s="117" t="b">
        <v>0</v>
      </c>
      <c r="AA200" s="117"/>
      <c r="AB200" s="117" t="s">
        <v>1070</v>
      </c>
      <c r="AC200" s="117"/>
      <c r="AD200" s="117" t="s">
        <v>1070</v>
      </c>
      <c r="AE200" s="117" t="s">
        <v>1070</v>
      </c>
      <c r="AF200" s="117" t="b">
        <v>0</v>
      </c>
      <c r="AG200" s="117" t="s">
        <v>1071</v>
      </c>
      <c r="AH200" s="117">
        <v>3215251903960000</v>
      </c>
      <c r="AI200" s="117" t="s">
        <v>310</v>
      </c>
      <c r="AJ200" s="117" t="s">
        <v>32</v>
      </c>
      <c r="AK200" s="117"/>
      <c r="AL200" s="117">
        <v>62985811333313</v>
      </c>
      <c r="AM200" s="117" t="s">
        <v>1073</v>
      </c>
      <c r="AN200" s="117" t="s">
        <v>312</v>
      </c>
      <c r="AO200" s="117" t="s">
        <v>1074</v>
      </c>
      <c r="AP200" s="117" t="s">
        <v>609</v>
      </c>
      <c r="AQ200" s="117" t="s">
        <v>153</v>
      </c>
      <c r="AR200" s="117" t="s">
        <v>1905</v>
      </c>
      <c r="AS200" s="117" t="s">
        <v>154</v>
      </c>
      <c r="AT200" s="117" t="s">
        <v>1917</v>
      </c>
      <c r="AU200" s="117" t="b">
        <v>1</v>
      </c>
      <c r="AV200" s="117" t="b">
        <v>1</v>
      </c>
      <c r="AW200" s="117" t="s">
        <v>1068</v>
      </c>
      <c r="AX200" s="117" t="s">
        <v>1069</v>
      </c>
      <c r="AY200" s="117" t="s">
        <v>2270</v>
      </c>
      <c r="AZ200" s="117" t="s">
        <v>2271</v>
      </c>
      <c r="BA200" s="117" t="b">
        <v>1</v>
      </c>
      <c r="BB200" s="117" t="b">
        <v>1</v>
      </c>
      <c r="BC200" s="117"/>
      <c r="BD200" s="117"/>
      <c r="BE200" s="117">
        <v>0</v>
      </c>
    </row>
    <row r="201" spans="1:57" ht="16">
      <c r="A201" s="117" t="s">
        <v>2751</v>
      </c>
      <c r="B201" s="117" t="s">
        <v>151</v>
      </c>
      <c r="C201" s="117" t="s">
        <v>152</v>
      </c>
      <c r="D201" s="117" t="s">
        <v>153</v>
      </c>
      <c r="E201" s="117" t="s">
        <v>154</v>
      </c>
      <c r="F201" s="117" t="s">
        <v>1075</v>
      </c>
      <c r="G201" s="117" t="s">
        <v>1076</v>
      </c>
      <c r="H201" s="118" t="s">
        <v>1075</v>
      </c>
      <c r="I201" s="119" t="s">
        <v>1076</v>
      </c>
      <c r="J201" s="120" t="s">
        <v>2508</v>
      </c>
      <c r="K201" s="120" t="s">
        <v>2508</v>
      </c>
      <c r="L201" s="118"/>
      <c r="M201" s="119"/>
      <c r="N201" s="118"/>
      <c r="O201" s="119"/>
      <c r="P201" s="117" t="s">
        <v>88</v>
      </c>
      <c r="Q201" s="117" t="s">
        <v>45</v>
      </c>
      <c r="R201" s="117" t="b">
        <v>1</v>
      </c>
      <c r="S201" s="117" t="b">
        <v>1</v>
      </c>
      <c r="T201" s="117" t="b">
        <v>1</v>
      </c>
      <c r="U201" s="117" t="b">
        <v>0</v>
      </c>
      <c r="V201" s="117" t="b">
        <v>0</v>
      </c>
      <c r="W201" s="117" t="b">
        <v>1</v>
      </c>
      <c r="X201" s="117" t="b">
        <v>1</v>
      </c>
      <c r="Y201" s="117" t="b">
        <v>0</v>
      </c>
      <c r="Z201" s="117" t="b">
        <v>0</v>
      </c>
      <c r="AA201" s="117"/>
      <c r="AB201" s="117" t="s">
        <v>1077</v>
      </c>
      <c r="AC201" s="117"/>
      <c r="AD201" s="117" t="s">
        <v>1077</v>
      </c>
      <c r="AE201" s="117" t="s">
        <v>1077</v>
      </c>
      <c r="AF201" s="117" t="b">
        <v>0</v>
      </c>
      <c r="AG201" s="117" t="s">
        <v>1078</v>
      </c>
      <c r="AH201" s="117">
        <v>3215161005800000</v>
      </c>
      <c r="AI201" s="117" t="s">
        <v>310</v>
      </c>
      <c r="AJ201" s="117" t="s">
        <v>32</v>
      </c>
      <c r="AK201" s="117"/>
      <c r="AL201" s="117">
        <v>6285777799909</v>
      </c>
      <c r="AM201" s="117" t="s">
        <v>1080</v>
      </c>
      <c r="AN201" s="117" t="s">
        <v>312</v>
      </c>
      <c r="AO201" s="117" t="s">
        <v>1081</v>
      </c>
      <c r="AP201" s="117" t="s">
        <v>609</v>
      </c>
      <c r="AQ201" s="117" t="s">
        <v>153</v>
      </c>
      <c r="AR201" s="117" t="s">
        <v>1905</v>
      </c>
      <c r="AS201" s="117" t="s">
        <v>154</v>
      </c>
      <c r="AT201" s="117" t="s">
        <v>1917</v>
      </c>
      <c r="AU201" s="117" t="b">
        <v>1</v>
      </c>
      <c r="AV201" s="117" t="b">
        <v>1</v>
      </c>
      <c r="AW201" s="117" t="s">
        <v>1075</v>
      </c>
      <c r="AX201" s="117" t="s">
        <v>1076</v>
      </c>
      <c r="AY201" s="117" t="s">
        <v>2272</v>
      </c>
      <c r="AZ201" s="117" t="s">
        <v>2273</v>
      </c>
      <c r="BA201" s="117" t="b">
        <v>1</v>
      </c>
      <c r="BB201" s="117" t="b">
        <v>1</v>
      </c>
      <c r="BC201" s="117"/>
      <c r="BD201" s="117"/>
      <c r="BE201" s="117">
        <v>0</v>
      </c>
    </row>
    <row r="202" spans="1:57" ht="16">
      <c r="A202" s="117" t="s">
        <v>2751</v>
      </c>
      <c r="B202" s="117" t="s">
        <v>631</v>
      </c>
      <c r="C202" s="117" t="s">
        <v>632</v>
      </c>
      <c r="D202" s="117" t="s">
        <v>633</v>
      </c>
      <c r="E202" s="117" t="s">
        <v>634</v>
      </c>
      <c r="F202" s="117" t="s">
        <v>636</v>
      </c>
      <c r="G202" s="117" t="s">
        <v>637</v>
      </c>
      <c r="H202" s="118" t="s">
        <v>636</v>
      </c>
      <c r="I202" s="119" t="s">
        <v>637</v>
      </c>
      <c r="J202" s="120" t="s">
        <v>2508</v>
      </c>
      <c r="K202" s="120" t="s">
        <v>2508</v>
      </c>
      <c r="L202" s="118"/>
      <c r="M202" s="119"/>
      <c r="N202" s="118"/>
      <c r="O202" s="119"/>
      <c r="P202" s="117" t="s">
        <v>88</v>
      </c>
      <c r="Q202" s="117" t="s">
        <v>45</v>
      </c>
      <c r="R202" s="117" t="b">
        <v>1</v>
      </c>
      <c r="S202" s="117" t="b">
        <v>1</v>
      </c>
      <c r="T202" s="117" t="b">
        <v>1</v>
      </c>
      <c r="U202" s="117" t="b">
        <v>0</v>
      </c>
      <c r="V202" s="117" t="b">
        <v>0</v>
      </c>
      <c r="W202" s="117" t="b">
        <v>1</v>
      </c>
      <c r="X202" s="117" t="b">
        <v>1</v>
      </c>
      <c r="Y202" s="117" t="b">
        <v>0</v>
      </c>
      <c r="Z202" s="117" t="b">
        <v>0</v>
      </c>
      <c r="AA202" s="117"/>
      <c r="AB202" s="117" t="s">
        <v>638</v>
      </c>
      <c r="AC202" s="117"/>
      <c r="AD202" s="117" t="s">
        <v>638</v>
      </c>
      <c r="AE202" s="117" t="s">
        <v>638</v>
      </c>
      <c r="AF202" s="117"/>
      <c r="AG202" s="117">
        <v>0</v>
      </c>
      <c r="AH202" s="117">
        <v>3215221204970000</v>
      </c>
      <c r="AI202" s="117" t="s">
        <v>68</v>
      </c>
      <c r="AJ202" s="117"/>
      <c r="AK202" s="117"/>
      <c r="AL202" s="117">
        <v>62815146917247</v>
      </c>
      <c r="AM202" s="117"/>
      <c r="AN202" s="117"/>
      <c r="AO202" s="117" t="s">
        <v>640</v>
      </c>
      <c r="AP202" s="117"/>
      <c r="AQ202" s="117" t="s">
        <v>633</v>
      </c>
      <c r="AR202" s="117" t="s">
        <v>1908</v>
      </c>
      <c r="AS202" s="117" t="s">
        <v>634</v>
      </c>
      <c r="AT202" s="117" t="s">
        <v>1928</v>
      </c>
      <c r="AU202" s="117" t="b">
        <v>1</v>
      </c>
      <c r="AV202" s="117" t="b">
        <v>1</v>
      </c>
      <c r="AW202" s="117" t="s">
        <v>636</v>
      </c>
      <c r="AX202" s="117" t="s">
        <v>637</v>
      </c>
      <c r="AY202" s="117" t="s">
        <v>1980</v>
      </c>
      <c r="AZ202" s="117" t="s">
        <v>1981</v>
      </c>
      <c r="BA202" s="117" t="b">
        <v>1</v>
      </c>
      <c r="BB202" s="117" t="b">
        <v>1</v>
      </c>
      <c r="BC202" s="117"/>
      <c r="BD202" s="117"/>
      <c r="BE202" s="117">
        <v>0</v>
      </c>
    </row>
    <row r="203" spans="1:57" ht="16">
      <c r="A203" s="117" t="s">
        <v>2751</v>
      </c>
      <c r="B203" s="117" t="s">
        <v>631</v>
      </c>
      <c r="C203" s="117" t="s">
        <v>632</v>
      </c>
      <c r="D203" s="117" t="s">
        <v>633</v>
      </c>
      <c r="E203" s="117" t="s">
        <v>634</v>
      </c>
      <c r="F203" s="117" t="s">
        <v>1522</v>
      </c>
      <c r="G203" s="117" t="s">
        <v>1521</v>
      </c>
      <c r="H203" s="118" t="s">
        <v>1522</v>
      </c>
      <c r="I203" s="119" t="s">
        <v>1521</v>
      </c>
      <c r="J203" s="120" t="s">
        <v>2508</v>
      </c>
      <c r="K203" s="120" t="s">
        <v>2508</v>
      </c>
      <c r="L203" s="118"/>
      <c r="M203" s="119"/>
      <c r="N203" s="118"/>
      <c r="O203" s="119"/>
      <c r="P203" s="117" t="s">
        <v>88</v>
      </c>
      <c r="Q203" s="117" t="s">
        <v>45</v>
      </c>
      <c r="R203" s="117" t="b">
        <v>1</v>
      </c>
      <c r="S203" s="117" t="b">
        <v>1</v>
      </c>
      <c r="T203" s="117" t="b">
        <v>1</v>
      </c>
      <c r="U203" s="117" t="b">
        <v>0</v>
      </c>
      <c r="V203" s="117" t="b">
        <v>0</v>
      </c>
      <c r="W203" s="117" t="b">
        <v>1</v>
      </c>
      <c r="X203" s="117" t="b">
        <v>1</v>
      </c>
      <c r="Y203" s="117" t="b">
        <v>0</v>
      </c>
      <c r="Z203" s="117" t="b">
        <v>0</v>
      </c>
      <c r="AA203" s="117"/>
      <c r="AB203" s="117" t="s">
        <v>1523</v>
      </c>
      <c r="AC203" s="117"/>
      <c r="AD203" s="117" t="s">
        <v>1523</v>
      </c>
      <c r="AE203" s="117" t="s">
        <v>1524</v>
      </c>
      <c r="AF203" s="117" t="b">
        <v>0</v>
      </c>
      <c r="AG203" s="117" t="s">
        <v>1525</v>
      </c>
      <c r="AH203" s="117">
        <v>3215170307850000</v>
      </c>
      <c r="AI203" s="117" t="s">
        <v>310</v>
      </c>
      <c r="AJ203" s="117" t="s">
        <v>32</v>
      </c>
      <c r="AK203" s="117"/>
      <c r="AL203" s="117">
        <v>628996266997</v>
      </c>
      <c r="AM203" s="117" t="s">
        <v>1527</v>
      </c>
      <c r="AN203" s="117" t="s">
        <v>312</v>
      </c>
      <c r="AO203" s="117" t="s">
        <v>1528</v>
      </c>
      <c r="AP203" s="117" t="s">
        <v>373</v>
      </c>
      <c r="AQ203" s="117" t="s">
        <v>633</v>
      </c>
      <c r="AR203" s="117" t="s">
        <v>1908</v>
      </c>
      <c r="AS203" s="117" t="s">
        <v>634</v>
      </c>
      <c r="AT203" s="117" t="s">
        <v>1928</v>
      </c>
      <c r="AU203" s="117" t="b">
        <v>1</v>
      </c>
      <c r="AV203" s="117" t="b">
        <v>1</v>
      </c>
      <c r="AW203" s="117" t="s">
        <v>1522</v>
      </c>
      <c r="AX203" s="117" t="s">
        <v>1521</v>
      </c>
      <c r="AY203" s="117" t="s">
        <v>1986</v>
      </c>
      <c r="AZ203" s="117" t="s">
        <v>1987</v>
      </c>
      <c r="BA203" s="117" t="b">
        <v>1</v>
      </c>
      <c r="BB203" s="117" t="b">
        <v>1</v>
      </c>
      <c r="BC203" s="117"/>
      <c r="BD203" s="117"/>
      <c r="BE203" s="117">
        <v>0</v>
      </c>
    </row>
    <row r="204" spans="1:57" ht="16">
      <c r="A204" s="117" t="s">
        <v>2751</v>
      </c>
      <c r="B204" s="117" t="s">
        <v>631</v>
      </c>
      <c r="C204" s="117" t="s">
        <v>632</v>
      </c>
      <c r="D204" s="117" t="s">
        <v>633</v>
      </c>
      <c r="E204" s="117" t="s">
        <v>634</v>
      </c>
      <c r="F204" s="117" t="s">
        <v>1536</v>
      </c>
      <c r="G204" s="117" t="s">
        <v>1535</v>
      </c>
      <c r="H204" s="118" t="s">
        <v>1536</v>
      </c>
      <c r="I204" s="119" t="s">
        <v>1535</v>
      </c>
      <c r="J204" s="120" t="s">
        <v>2508</v>
      </c>
      <c r="K204" s="120" t="s">
        <v>2508</v>
      </c>
      <c r="L204" s="118"/>
      <c r="M204" s="119"/>
      <c r="N204" s="118"/>
      <c r="O204" s="119"/>
      <c r="P204" s="117" t="s">
        <v>88</v>
      </c>
      <c r="Q204" s="117" t="s">
        <v>45</v>
      </c>
      <c r="R204" s="117" t="b">
        <v>1</v>
      </c>
      <c r="S204" s="117" t="b">
        <v>1</v>
      </c>
      <c r="T204" s="117" t="b">
        <v>1</v>
      </c>
      <c r="U204" s="117" t="b">
        <v>0</v>
      </c>
      <c r="V204" s="117" t="b">
        <v>0</v>
      </c>
      <c r="W204" s="117" t="b">
        <v>1</v>
      </c>
      <c r="X204" s="117" t="b">
        <v>1</v>
      </c>
      <c r="Y204" s="117" t="b">
        <v>0</v>
      </c>
      <c r="Z204" s="117" t="b">
        <v>0</v>
      </c>
      <c r="AA204" s="117"/>
      <c r="AB204" s="117" t="s">
        <v>1537</v>
      </c>
      <c r="AC204" s="117"/>
      <c r="AD204" s="117" t="s">
        <v>1537</v>
      </c>
      <c r="AE204" s="117" t="s">
        <v>1537</v>
      </c>
      <c r="AF204" s="117"/>
      <c r="AG204" s="117" t="s">
        <v>1538</v>
      </c>
      <c r="AH204" s="117">
        <v>3302251210920000</v>
      </c>
      <c r="AI204" s="117" t="s">
        <v>68</v>
      </c>
      <c r="AJ204" s="117"/>
      <c r="AK204" s="117"/>
      <c r="AL204" s="117">
        <v>6289673364930</v>
      </c>
      <c r="AM204" s="117"/>
      <c r="AN204" s="117"/>
      <c r="AO204" s="117" t="s">
        <v>1540</v>
      </c>
      <c r="AP204" s="117"/>
      <c r="AQ204" s="117" t="s">
        <v>633</v>
      </c>
      <c r="AR204" s="117" t="s">
        <v>1908</v>
      </c>
      <c r="AS204" s="117" t="s">
        <v>634</v>
      </c>
      <c r="AT204" s="117" t="s">
        <v>1928</v>
      </c>
      <c r="AU204" s="117" t="b">
        <v>1</v>
      </c>
      <c r="AV204" s="117" t="b">
        <v>1</v>
      </c>
      <c r="AW204" s="117" t="s">
        <v>1536</v>
      </c>
      <c r="AX204" s="117" t="s">
        <v>1535</v>
      </c>
      <c r="AY204" s="117" t="s">
        <v>1988</v>
      </c>
      <c r="AZ204" s="117" t="s">
        <v>1989</v>
      </c>
      <c r="BA204" s="117" t="b">
        <v>1</v>
      </c>
      <c r="BB204" s="117" t="b">
        <v>1</v>
      </c>
      <c r="BC204" s="117"/>
      <c r="BD204" s="117"/>
      <c r="BE204" s="117">
        <v>0</v>
      </c>
    </row>
    <row r="205" spans="1:57" ht="16">
      <c r="A205" s="117" t="s">
        <v>2751</v>
      </c>
      <c r="B205" s="117" t="s">
        <v>631</v>
      </c>
      <c r="C205" s="117" t="s">
        <v>632</v>
      </c>
      <c r="D205" s="117" t="s">
        <v>633</v>
      </c>
      <c r="E205" s="117" t="s">
        <v>634</v>
      </c>
      <c r="F205" s="117" t="s">
        <v>1586</v>
      </c>
      <c r="G205" s="117" t="s">
        <v>1585</v>
      </c>
      <c r="H205" s="118" t="s">
        <v>1586</v>
      </c>
      <c r="I205" s="119" t="s">
        <v>1585</v>
      </c>
      <c r="J205" s="120" t="s">
        <v>2508</v>
      </c>
      <c r="K205" s="120" t="s">
        <v>2508</v>
      </c>
      <c r="L205" s="118"/>
      <c r="M205" s="119"/>
      <c r="N205" s="118"/>
      <c r="O205" s="119"/>
      <c r="P205" s="117" t="s">
        <v>88</v>
      </c>
      <c r="Q205" s="117" t="s">
        <v>45</v>
      </c>
      <c r="R205" s="117" t="b">
        <v>1</v>
      </c>
      <c r="S205" s="117" t="b">
        <v>1</v>
      </c>
      <c r="T205" s="117" t="b">
        <v>1</v>
      </c>
      <c r="U205" s="117" t="b">
        <v>0</v>
      </c>
      <c r="V205" s="117" t="b">
        <v>0</v>
      </c>
      <c r="W205" s="117" t="b">
        <v>1</v>
      </c>
      <c r="X205" s="117" t="b">
        <v>1</v>
      </c>
      <c r="Y205" s="117" t="b">
        <v>0</v>
      </c>
      <c r="Z205" s="117" t="b">
        <v>0</v>
      </c>
      <c r="AA205" s="117"/>
      <c r="AB205" s="117" t="s">
        <v>1587</v>
      </c>
      <c r="AC205" s="117"/>
      <c r="AD205" s="117" t="s">
        <v>1587</v>
      </c>
      <c r="AE205" s="117" t="s">
        <v>1587</v>
      </c>
      <c r="AF205" s="117" t="b">
        <v>0</v>
      </c>
      <c r="AG205" s="117" t="s">
        <v>1588</v>
      </c>
      <c r="AH205" s="117">
        <v>3215142005010000</v>
      </c>
      <c r="AI205" s="117" t="s">
        <v>310</v>
      </c>
      <c r="AJ205" s="117" t="s">
        <v>32</v>
      </c>
      <c r="AK205" s="117"/>
      <c r="AL205" s="117">
        <v>6289687862223</v>
      </c>
      <c r="AM205" s="117" t="s">
        <v>1590</v>
      </c>
      <c r="AN205" s="117" t="s">
        <v>312</v>
      </c>
      <c r="AO205" s="117" t="s">
        <v>1591</v>
      </c>
      <c r="AP205" s="117" t="s">
        <v>373</v>
      </c>
      <c r="AQ205" s="117" t="s">
        <v>633</v>
      </c>
      <c r="AR205" s="117" t="s">
        <v>1908</v>
      </c>
      <c r="AS205" s="117" t="s">
        <v>634</v>
      </c>
      <c r="AT205" s="117" t="s">
        <v>1928</v>
      </c>
      <c r="AU205" s="117" t="b">
        <v>1</v>
      </c>
      <c r="AV205" s="117" t="b">
        <v>1</v>
      </c>
      <c r="AW205" s="117" t="s">
        <v>1586</v>
      </c>
      <c r="AX205" s="117" t="s">
        <v>1585</v>
      </c>
      <c r="AY205" s="117" t="s">
        <v>1990</v>
      </c>
      <c r="AZ205" s="117" t="s">
        <v>1991</v>
      </c>
      <c r="BA205" s="117" t="b">
        <v>1</v>
      </c>
      <c r="BB205" s="117" t="b">
        <v>1</v>
      </c>
      <c r="BC205" s="117"/>
      <c r="BD205" s="117"/>
      <c r="BE205" s="117">
        <v>0</v>
      </c>
    </row>
    <row r="206" spans="1:57" ht="16">
      <c r="A206" s="117" t="s">
        <v>2751</v>
      </c>
      <c r="B206" s="117" t="s">
        <v>631</v>
      </c>
      <c r="C206" s="117" t="s">
        <v>632</v>
      </c>
      <c r="D206" s="117" t="s">
        <v>633</v>
      </c>
      <c r="E206" s="117" t="s">
        <v>634</v>
      </c>
      <c r="F206" s="117" t="s">
        <v>1636</v>
      </c>
      <c r="G206" s="117" t="s">
        <v>1635</v>
      </c>
      <c r="H206" s="118" t="s">
        <v>1636</v>
      </c>
      <c r="I206" s="119" t="s">
        <v>1635</v>
      </c>
      <c r="J206" s="120" t="s">
        <v>2508</v>
      </c>
      <c r="K206" s="120" t="s">
        <v>2508</v>
      </c>
      <c r="L206" s="118"/>
      <c r="M206" s="119"/>
      <c r="N206" s="118"/>
      <c r="O206" s="119"/>
      <c r="P206" s="117" t="s">
        <v>88</v>
      </c>
      <c r="Q206" s="117" t="s">
        <v>45</v>
      </c>
      <c r="R206" s="117" t="b">
        <v>1</v>
      </c>
      <c r="S206" s="117" t="b">
        <v>1</v>
      </c>
      <c r="T206" s="117" t="b">
        <v>1</v>
      </c>
      <c r="U206" s="117" t="b">
        <v>0</v>
      </c>
      <c r="V206" s="117" t="b">
        <v>0</v>
      </c>
      <c r="W206" s="117" t="b">
        <v>1</v>
      </c>
      <c r="X206" s="117" t="b">
        <v>1</v>
      </c>
      <c r="Y206" s="117" t="b">
        <v>0</v>
      </c>
      <c r="Z206" s="117" t="b">
        <v>0</v>
      </c>
      <c r="AA206" s="117"/>
      <c r="AB206" s="117" t="s">
        <v>1637</v>
      </c>
      <c r="AC206" s="117"/>
      <c r="AD206" s="117" t="s">
        <v>1637</v>
      </c>
      <c r="AE206" s="117" t="s">
        <v>1637</v>
      </c>
      <c r="AF206" s="117"/>
      <c r="AG206" s="117" t="s">
        <v>1638</v>
      </c>
      <c r="AH206" s="117">
        <v>3209190201960000</v>
      </c>
      <c r="AI206" s="117" t="s">
        <v>68</v>
      </c>
      <c r="AJ206" s="117"/>
      <c r="AK206" s="117"/>
      <c r="AL206" s="117">
        <v>6208996267013</v>
      </c>
      <c r="AM206" s="117"/>
      <c r="AN206" s="117"/>
      <c r="AO206" s="117" t="s">
        <v>1640</v>
      </c>
      <c r="AP206" s="117"/>
      <c r="AQ206" s="117" t="s">
        <v>633</v>
      </c>
      <c r="AR206" s="117" t="s">
        <v>1908</v>
      </c>
      <c r="AS206" s="117" t="s">
        <v>634</v>
      </c>
      <c r="AT206" s="117" t="s">
        <v>1928</v>
      </c>
      <c r="AU206" s="117" t="b">
        <v>1</v>
      </c>
      <c r="AV206" s="117" t="b">
        <v>1</v>
      </c>
      <c r="AW206" s="117" t="s">
        <v>1636</v>
      </c>
      <c r="AX206" s="117" t="s">
        <v>1635</v>
      </c>
      <c r="AY206" s="117" t="s">
        <v>1992</v>
      </c>
      <c r="AZ206" s="117" t="s">
        <v>1993</v>
      </c>
      <c r="BA206" s="117" t="b">
        <v>1</v>
      </c>
      <c r="BB206" s="117" t="b">
        <v>1</v>
      </c>
      <c r="BC206" s="117"/>
      <c r="BD206" s="117"/>
      <c r="BE206" s="117">
        <v>0</v>
      </c>
    </row>
    <row r="207" spans="1:57" ht="16">
      <c r="A207" s="117" t="s">
        <v>2751</v>
      </c>
      <c r="B207" s="117" t="s">
        <v>631</v>
      </c>
      <c r="C207" s="117" t="s">
        <v>632</v>
      </c>
      <c r="D207" s="117" t="s">
        <v>633</v>
      </c>
      <c r="E207" s="117" t="s">
        <v>634</v>
      </c>
      <c r="F207" s="117" t="s">
        <v>1316</v>
      </c>
      <c r="G207" s="117" t="s">
        <v>1317</v>
      </c>
      <c r="H207" s="118" t="s">
        <v>1316</v>
      </c>
      <c r="I207" s="119" t="s">
        <v>1317</v>
      </c>
      <c r="J207" s="120" t="s">
        <v>2508</v>
      </c>
      <c r="K207" s="120" t="s">
        <v>2508</v>
      </c>
      <c r="L207" s="118"/>
      <c r="M207" s="119"/>
      <c r="N207" s="118"/>
      <c r="O207" s="119"/>
      <c r="P207" s="117" t="s">
        <v>88</v>
      </c>
      <c r="Q207" s="117" t="s">
        <v>45</v>
      </c>
      <c r="R207" s="117" t="b">
        <v>1</v>
      </c>
      <c r="S207" s="117" t="b">
        <v>1</v>
      </c>
      <c r="T207" s="117" t="b">
        <v>1</v>
      </c>
      <c r="U207" s="117" t="b">
        <v>0</v>
      </c>
      <c r="V207" s="117" t="b">
        <v>0</v>
      </c>
      <c r="W207" s="117" t="b">
        <v>1</v>
      </c>
      <c r="X207" s="117" t="b">
        <v>1</v>
      </c>
      <c r="Y207" s="117" t="b">
        <v>0</v>
      </c>
      <c r="Z207" s="117" t="b">
        <v>0</v>
      </c>
      <c r="AA207" s="117"/>
      <c r="AB207" s="117" t="s">
        <v>1318</v>
      </c>
      <c r="AC207" s="117"/>
      <c r="AD207" s="117" t="s">
        <v>1318</v>
      </c>
      <c r="AE207" s="117" t="s">
        <v>1319</v>
      </c>
      <c r="AF207" s="117" t="b">
        <v>0</v>
      </c>
      <c r="AG207" s="117" t="s">
        <v>1320</v>
      </c>
      <c r="AH207" s="117">
        <v>3215070501930000</v>
      </c>
      <c r="AI207" s="117" t="s">
        <v>310</v>
      </c>
      <c r="AJ207" s="117" t="s">
        <v>32</v>
      </c>
      <c r="AK207" s="117"/>
      <c r="AL207" s="117">
        <v>6281700000077</v>
      </c>
      <c r="AM207" s="117" t="s">
        <v>1322</v>
      </c>
      <c r="AN207" s="117" t="s">
        <v>312</v>
      </c>
      <c r="AO207" s="117" t="s">
        <v>1323</v>
      </c>
      <c r="AP207" s="117" t="s">
        <v>373</v>
      </c>
      <c r="AQ207" s="117" t="s">
        <v>633</v>
      </c>
      <c r="AR207" s="117" t="s">
        <v>1908</v>
      </c>
      <c r="AS207" s="117" t="s">
        <v>634</v>
      </c>
      <c r="AT207" s="117" t="s">
        <v>1928</v>
      </c>
      <c r="AU207" s="117" t="b">
        <v>1</v>
      </c>
      <c r="AV207" s="117" t="b">
        <v>1</v>
      </c>
      <c r="AW207" s="117" t="s">
        <v>1316</v>
      </c>
      <c r="AX207" s="117" t="s">
        <v>1317</v>
      </c>
      <c r="AY207" s="117" t="s">
        <v>1982</v>
      </c>
      <c r="AZ207" s="117" t="s">
        <v>1983</v>
      </c>
      <c r="BA207" s="117" t="b">
        <v>1</v>
      </c>
      <c r="BB207" s="117" t="b">
        <v>1</v>
      </c>
      <c r="BC207" s="117"/>
      <c r="BD207" s="117"/>
      <c r="BE207" s="117">
        <v>0</v>
      </c>
    </row>
    <row r="208" spans="1:57" ht="16">
      <c r="A208" s="117" t="s">
        <v>2751</v>
      </c>
      <c r="B208" s="117" t="s">
        <v>631</v>
      </c>
      <c r="C208" s="117" t="s">
        <v>632</v>
      </c>
      <c r="D208" s="117" t="s">
        <v>633</v>
      </c>
      <c r="E208" s="117" t="s">
        <v>634</v>
      </c>
      <c r="F208" s="117" t="s">
        <v>1324</v>
      </c>
      <c r="G208" s="117" t="s">
        <v>1325</v>
      </c>
      <c r="H208" s="118" t="s">
        <v>1324</v>
      </c>
      <c r="I208" s="119" t="s">
        <v>1325</v>
      </c>
      <c r="J208" s="120" t="s">
        <v>2508</v>
      </c>
      <c r="K208" s="120" t="s">
        <v>2508</v>
      </c>
      <c r="L208" s="118"/>
      <c r="M208" s="119"/>
      <c r="N208" s="118"/>
      <c r="O208" s="119"/>
      <c r="P208" s="117" t="s">
        <v>88</v>
      </c>
      <c r="Q208" s="117" t="s">
        <v>45</v>
      </c>
      <c r="R208" s="117" t="b">
        <v>1</v>
      </c>
      <c r="S208" s="117" t="b">
        <v>1</v>
      </c>
      <c r="T208" s="117" t="b">
        <v>1</v>
      </c>
      <c r="U208" s="117" t="b">
        <v>0</v>
      </c>
      <c r="V208" s="117" t="b">
        <v>0</v>
      </c>
      <c r="W208" s="117" t="b">
        <v>1</v>
      </c>
      <c r="X208" s="117" t="b">
        <v>1</v>
      </c>
      <c r="Y208" s="117" t="b">
        <v>0</v>
      </c>
      <c r="Z208" s="117" t="b">
        <v>0</v>
      </c>
      <c r="AA208" s="117"/>
      <c r="AB208" s="117" t="s">
        <v>1326</v>
      </c>
      <c r="AC208" s="117"/>
      <c r="AD208" s="117" t="s">
        <v>1326</v>
      </c>
      <c r="AE208" s="117" t="s">
        <v>1327</v>
      </c>
      <c r="AF208" s="117" t="b">
        <v>0</v>
      </c>
      <c r="AG208" s="117" t="s">
        <v>1328</v>
      </c>
      <c r="AH208" s="117">
        <v>3215071007880000</v>
      </c>
      <c r="AI208" s="117" t="s">
        <v>310</v>
      </c>
      <c r="AJ208" s="117" t="s">
        <v>32</v>
      </c>
      <c r="AK208" s="117"/>
      <c r="AL208" s="117">
        <v>6285692620496</v>
      </c>
      <c r="AM208" s="117" t="s">
        <v>1330</v>
      </c>
      <c r="AN208" s="117"/>
      <c r="AO208" s="117" t="s">
        <v>1331</v>
      </c>
      <c r="AP208" s="117" t="s">
        <v>373</v>
      </c>
      <c r="AQ208" s="117" t="s">
        <v>633</v>
      </c>
      <c r="AR208" s="117" t="s">
        <v>1908</v>
      </c>
      <c r="AS208" s="117" t="s">
        <v>634</v>
      </c>
      <c r="AT208" s="117" t="s">
        <v>1928</v>
      </c>
      <c r="AU208" s="117" t="b">
        <v>1</v>
      </c>
      <c r="AV208" s="117" t="b">
        <v>1</v>
      </c>
      <c r="AW208" s="117" t="s">
        <v>1324</v>
      </c>
      <c r="AX208" s="117" t="s">
        <v>1325</v>
      </c>
      <c r="AY208" s="117" t="s">
        <v>1984</v>
      </c>
      <c r="AZ208" s="117" t="s">
        <v>1985</v>
      </c>
      <c r="BA208" s="117" t="b">
        <v>1</v>
      </c>
      <c r="BB208" s="117" t="b">
        <v>1</v>
      </c>
      <c r="BC208" s="117"/>
      <c r="BD208" s="117"/>
      <c r="BE208" s="117">
        <v>0</v>
      </c>
    </row>
    <row r="209" spans="1:57" ht="16">
      <c r="A209" s="117" t="s">
        <v>2751</v>
      </c>
      <c r="B209" s="117" t="s">
        <v>131</v>
      </c>
      <c r="C209" s="117" t="s">
        <v>132</v>
      </c>
      <c r="D209" s="117" t="s">
        <v>133</v>
      </c>
      <c r="E209" s="117" t="s">
        <v>134</v>
      </c>
      <c r="F209" s="117">
        <v>2613050980</v>
      </c>
      <c r="G209" s="117" t="s">
        <v>136</v>
      </c>
      <c r="H209" s="118">
        <v>2613050980</v>
      </c>
      <c r="I209" s="119" t="s">
        <v>136</v>
      </c>
      <c r="J209" s="120" t="s">
        <v>2508</v>
      </c>
      <c r="K209" s="120" t="s">
        <v>2508</v>
      </c>
      <c r="L209" s="118"/>
      <c r="M209" s="119"/>
      <c r="N209" s="118"/>
      <c r="O209" s="119"/>
      <c r="P209" s="117" t="s">
        <v>88</v>
      </c>
      <c r="Q209" s="117" t="s">
        <v>45</v>
      </c>
      <c r="R209" s="117" t="b">
        <v>1</v>
      </c>
      <c r="S209" s="117" t="b">
        <v>1</v>
      </c>
      <c r="T209" s="117" t="b">
        <v>0</v>
      </c>
      <c r="U209" s="117" t="b">
        <v>0</v>
      </c>
      <c r="V209" s="117" t="b">
        <v>0</v>
      </c>
      <c r="W209" s="117" t="b">
        <v>1</v>
      </c>
      <c r="X209" s="117" t="b">
        <v>0</v>
      </c>
      <c r="Y209" s="117" t="b">
        <v>0</v>
      </c>
      <c r="Z209" s="117" t="b">
        <v>0</v>
      </c>
      <c r="AA209" s="117"/>
      <c r="AB209" s="117" t="s">
        <v>137</v>
      </c>
      <c r="AC209" s="117"/>
      <c r="AD209" s="117" t="s">
        <v>137</v>
      </c>
      <c r="AE209" s="117" t="s">
        <v>137</v>
      </c>
      <c r="AF209" s="117"/>
      <c r="AG209" s="117" t="s">
        <v>138</v>
      </c>
      <c r="AH209" s="117">
        <v>3215294101000000</v>
      </c>
      <c r="AI209" s="117" t="s">
        <v>119</v>
      </c>
      <c r="AJ209" s="117"/>
      <c r="AK209" s="117"/>
      <c r="AL209" s="117">
        <v>6285722728319</v>
      </c>
      <c r="AM209" s="117"/>
      <c r="AN209" s="117"/>
      <c r="AO209" s="117" t="s">
        <v>140</v>
      </c>
      <c r="AP209" s="117"/>
      <c r="AQ209" s="117" t="s">
        <v>133</v>
      </c>
      <c r="AR209" s="117" t="s">
        <v>1905</v>
      </c>
      <c r="AS209" s="117" t="s">
        <v>134</v>
      </c>
      <c r="AT209" s="117" t="s">
        <v>1916</v>
      </c>
      <c r="AU209" s="117" t="b">
        <v>1</v>
      </c>
      <c r="AV209" s="117" t="b">
        <v>1</v>
      </c>
      <c r="AW209" s="117">
        <v>2613050980</v>
      </c>
      <c r="AX209" s="117" t="s">
        <v>136</v>
      </c>
      <c r="AY209" s="117" t="s">
        <v>2018</v>
      </c>
      <c r="AZ209" s="117" t="s">
        <v>2019</v>
      </c>
      <c r="BA209" s="117" t="b">
        <v>1</v>
      </c>
      <c r="BB209" s="117" t="b">
        <v>1</v>
      </c>
      <c r="BC209" s="117"/>
      <c r="BD209" s="117"/>
      <c r="BE209" s="117">
        <v>0</v>
      </c>
    </row>
    <row r="210" spans="1:57" ht="16">
      <c r="A210" s="117" t="s">
        <v>2751</v>
      </c>
      <c r="B210" s="117" t="s">
        <v>131</v>
      </c>
      <c r="C210" s="117" t="s">
        <v>132</v>
      </c>
      <c r="D210" s="117" t="s">
        <v>133</v>
      </c>
      <c r="E210" s="117" t="s">
        <v>134</v>
      </c>
      <c r="F210" s="117">
        <v>2613050981</v>
      </c>
      <c r="G210" s="117" t="s">
        <v>141</v>
      </c>
      <c r="H210" s="118">
        <v>2613050981</v>
      </c>
      <c r="I210" s="119" t="s">
        <v>141</v>
      </c>
      <c r="J210" s="120" t="s">
        <v>2508</v>
      </c>
      <c r="K210" s="120" t="s">
        <v>2508</v>
      </c>
      <c r="L210" s="118"/>
      <c r="M210" s="119"/>
      <c r="N210" s="118"/>
      <c r="O210" s="119"/>
      <c r="P210" s="117" t="s">
        <v>88</v>
      </c>
      <c r="Q210" s="117" t="s">
        <v>45</v>
      </c>
      <c r="R210" s="117" t="b">
        <v>1</v>
      </c>
      <c r="S210" s="117" t="b">
        <v>1</v>
      </c>
      <c r="T210" s="117" t="b">
        <v>1</v>
      </c>
      <c r="U210" s="117" t="b">
        <v>0</v>
      </c>
      <c r="V210" s="117" t="b">
        <v>0</v>
      </c>
      <c r="W210" s="117" t="b">
        <v>1</v>
      </c>
      <c r="X210" s="117" t="b">
        <v>1</v>
      </c>
      <c r="Y210" s="117" t="b">
        <v>0</v>
      </c>
      <c r="Z210" s="117" t="b">
        <v>0</v>
      </c>
      <c r="AA210" s="117"/>
      <c r="AB210" s="117" t="s">
        <v>142</v>
      </c>
      <c r="AC210" s="117"/>
      <c r="AD210" s="117" t="s">
        <v>142</v>
      </c>
      <c r="AE210" s="117" t="s">
        <v>142</v>
      </c>
      <c r="AF210" s="117"/>
      <c r="AG210" s="117" t="s">
        <v>143</v>
      </c>
      <c r="AH210" s="117">
        <v>3215131002780000</v>
      </c>
      <c r="AI210" s="117" t="s">
        <v>68</v>
      </c>
      <c r="AJ210" s="117"/>
      <c r="AK210" s="117"/>
      <c r="AL210" s="117">
        <v>6285891947779</v>
      </c>
      <c r="AM210" s="117"/>
      <c r="AN210" s="117"/>
      <c r="AO210" s="117" t="s">
        <v>145</v>
      </c>
      <c r="AP210" s="117"/>
      <c r="AQ210" s="117" t="s">
        <v>133</v>
      </c>
      <c r="AR210" s="117" t="s">
        <v>1905</v>
      </c>
      <c r="AS210" s="117" t="s">
        <v>134</v>
      </c>
      <c r="AT210" s="117" t="s">
        <v>1916</v>
      </c>
      <c r="AU210" s="117" t="b">
        <v>1</v>
      </c>
      <c r="AV210" s="117" t="b">
        <v>1</v>
      </c>
      <c r="AW210" s="117">
        <v>2613050981</v>
      </c>
      <c r="AX210" s="117" t="s">
        <v>141</v>
      </c>
      <c r="AY210" s="117" t="s">
        <v>2020</v>
      </c>
      <c r="AZ210" s="117" t="s">
        <v>2021</v>
      </c>
      <c r="BA210" s="117" t="b">
        <v>1</v>
      </c>
      <c r="BB210" s="117" t="b">
        <v>1</v>
      </c>
      <c r="BC210" s="117"/>
      <c r="BD210" s="117"/>
      <c r="BE210" s="117">
        <v>0</v>
      </c>
    </row>
    <row r="211" spans="1:57" ht="16">
      <c r="A211" s="117" t="s">
        <v>2751</v>
      </c>
      <c r="B211" s="117" t="s">
        <v>131</v>
      </c>
      <c r="C211" s="117" t="s">
        <v>132</v>
      </c>
      <c r="D211" s="117" t="s">
        <v>133</v>
      </c>
      <c r="E211" s="117" t="s">
        <v>134</v>
      </c>
      <c r="F211" s="117">
        <v>2613050982</v>
      </c>
      <c r="G211" s="117" t="s">
        <v>146</v>
      </c>
      <c r="H211" s="118">
        <v>2613050982</v>
      </c>
      <c r="I211" s="119" t="s">
        <v>146</v>
      </c>
      <c r="J211" s="120" t="s">
        <v>2508</v>
      </c>
      <c r="K211" s="120" t="s">
        <v>2508</v>
      </c>
      <c r="L211" s="118"/>
      <c r="M211" s="119"/>
      <c r="N211" s="118"/>
      <c r="O211" s="119"/>
      <c r="P211" s="117" t="s">
        <v>88</v>
      </c>
      <c r="Q211" s="117" t="s">
        <v>45</v>
      </c>
      <c r="R211" s="117" t="b">
        <v>1</v>
      </c>
      <c r="S211" s="117" t="b">
        <v>1</v>
      </c>
      <c r="T211" s="117" t="b">
        <v>1</v>
      </c>
      <c r="U211" s="117" t="b">
        <v>0</v>
      </c>
      <c r="V211" s="117" t="b">
        <v>0</v>
      </c>
      <c r="W211" s="117" t="b">
        <v>1</v>
      </c>
      <c r="X211" s="117" t="b">
        <v>1</v>
      </c>
      <c r="Y211" s="117" t="b">
        <v>0</v>
      </c>
      <c r="Z211" s="117" t="b">
        <v>0</v>
      </c>
      <c r="AA211" s="117"/>
      <c r="AB211" s="117" t="s">
        <v>147</v>
      </c>
      <c r="AC211" s="117"/>
      <c r="AD211" s="117" t="s">
        <v>147</v>
      </c>
      <c r="AE211" s="117" t="s">
        <v>147</v>
      </c>
      <c r="AF211" s="117"/>
      <c r="AG211" s="117" t="s">
        <v>148</v>
      </c>
      <c r="AH211" s="117">
        <v>3215130505820010</v>
      </c>
      <c r="AI211" s="117" t="s">
        <v>68</v>
      </c>
      <c r="AJ211" s="117"/>
      <c r="AK211" s="117"/>
      <c r="AL211" s="117">
        <v>6285891960007</v>
      </c>
      <c r="AM211" s="117"/>
      <c r="AN211" s="117"/>
      <c r="AO211" s="117" t="s">
        <v>150</v>
      </c>
      <c r="AP211" s="117"/>
      <c r="AQ211" s="117" t="s">
        <v>133</v>
      </c>
      <c r="AR211" s="117" t="s">
        <v>1905</v>
      </c>
      <c r="AS211" s="117" t="s">
        <v>134</v>
      </c>
      <c r="AT211" s="117" t="s">
        <v>1916</v>
      </c>
      <c r="AU211" s="117" t="b">
        <v>1</v>
      </c>
      <c r="AV211" s="117" t="b">
        <v>1</v>
      </c>
      <c r="AW211" s="117">
        <v>2613050982</v>
      </c>
      <c r="AX211" s="117" t="s">
        <v>146</v>
      </c>
      <c r="AY211" s="117" t="s">
        <v>2022</v>
      </c>
      <c r="AZ211" s="117" t="s">
        <v>2023</v>
      </c>
      <c r="BA211" s="117" t="b">
        <v>1</v>
      </c>
      <c r="BB211" s="117" t="b">
        <v>1</v>
      </c>
      <c r="BC211" s="117"/>
      <c r="BD211" s="117"/>
      <c r="BE211" s="117">
        <v>0</v>
      </c>
    </row>
    <row r="212" spans="1:57" ht="16">
      <c r="A212" s="117" t="s">
        <v>2751</v>
      </c>
      <c r="B212" s="117" t="s">
        <v>131</v>
      </c>
      <c r="C212" s="117" t="s">
        <v>132</v>
      </c>
      <c r="D212" s="117" t="s">
        <v>133</v>
      </c>
      <c r="E212" s="117" t="s">
        <v>134</v>
      </c>
      <c r="F212" s="117">
        <v>2613053164</v>
      </c>
      <c r="G212" s="117" t="s">
        <v>305</v>
      </c>
      <c r="H212" s="118">
        <v>2613053164</v>
      </c>
      <c r="I212" s="119" t="s">
        <v>305</v>
      </c>
      <c r="J212" s="120" t="s">
        <v>2508</v>
      </c>
      <c r="K212" s="120" t="s">
        <v>2508</v>
      </c>
      <c r="L212" s="118"/>
      <c r="M212" s="119"/>
      <c r="N212" s="118"/>
      <c r="O212" s="119"/>
      <c r="P212" s="117" t="s">
        <v>88</v>
      </c>
      <c r="Q212" s="117" t="s">
        <v>45</v>
      </c>
      <c r="R212" s="117" t="b">
        <v>1</v>
      </c>
      <c r="S212" s="117" t="b">
        <v>1</v>
      </c>
      <c r="T212" s="117" t="b">
        <v>1</v>
      </c>
      <c r="U212" s="117" t="b">
        <v>0</v>
      </c>
      <c r="V212" s="117" t="b">
        <v>0</v>
      </c>
      <c r="W212" s="117" t="b">
        <v>1</v>
      </c>
      <c r="X212" s="117" t="b">
        <v>1</v>
      </c>
      <c r="Y212" s="117" t="b">
        <v>0</v>
      </c>
      <c r="Z212" s="117" t="b">
        <v>0</v>
      </c>
      <c r="AA212" s="117"/>
      <c r="AB212" s="117" t="s">
        <v>306</v>
      </c>
      <c r="AC212" s="117"/>
      <c r="AD212" s="117" t="s">
        <v>306</v>
      </c>
      <c r="AE212" s="117" t="s">
        <v>307</v>
      </c>
      <c r="AF212" s="117" t="b">
        <v>0</v>
      </c>
      <c r="AG212" s="117" t="s">
        <v>308</v>
      </c>
      <c r="AH212" s="117">
        <v>3204110206930000</v>
      </c>
      <c r="AI212" s="117" t="s">
        <v>310</v>
      </c>
      <c r="AJ212" s="117" t="s">
        <v>32</v>
      </c>
      <c r="AK212" s="117"/>
      <c r="AL212" s="117">
        <v>6281584068363</v>
      </c>
      <c r="AM212" s="117" t="s">
        <v>311</v>
      </c>
      <c r="AN212" s="117" t="s">
        <v>312</v>
      </c>
      <c r="AO212" s="117" t="s">
        <v>313</v>
      </c>
      <c r="AP212" s="117" t="s">
        <v>240</v>
      </c>
      <c r="AQ212" s="117" t="s">
        <v>133</v>
      </c>
      <c r="AR212" s="117" t="s">
        <v>1905</v>
      </c>
      <c r="AS212" s="117" t="s">
        <v>134</v>
      </c>
      <c r="AT212" s="117" t="s">
        <v>1916</v>
      </c>
      <c r="AU212" s="117" t="b">
        <v>1</v>
      </c>
      <c r="AV212" s="117" t="b">
        <v>1</v>
      </c>
      <c r="AW212" s="117">
        <v>2613053164</v>
      </c>
      <c r="AX212" s="117" t="s">
        <v>305</v>
      </c>
      <c r="AY212" s="117" t="s">
        <v>2072</v>
      </c>
      <c r="AZ212" s="117" t="s">
        <v>2073</v>
      </c>
      <c r="BA212" s="117" t="b">
        <v>1</v>
      </c>
      <c r="BB212" s="117" t="b">
        <v>1</v>
      </c>
      <c r="BC212" s="117"/>
      <c r="BD212" s="117"/>
      <c r="BE212" s="117">
        <v>0</v>
      </c>
    </row>
    <row r="213" spans="1:57" ht="16">
      <c r="A213" s="117" t="s">
        <v>2751</v>
      </c>
      <c r="B213" s="117" t="s">
        <v>131</v>
      </c>
      <c r="C213" s="117" t="s">
        <v>132</v>
      </c>
      <c r="D213" s="117" t="s">
        <v>133</v>
      </c>
      <c r="E213" s="117" t="s">
        <v>134</v>
      </c>
      <c r="F213" s="117" t="s">
        <v>602</v>
      </c>
      <c r="G213" s="117" t="s">
        <v>603</v>
      </c>
      <c r="H213" s="118" t="s">
        <v>602</v>
      </c>
      <c r="I213" s="119" t="s">
        <v>603</v>
      </c>
      <c r="J213" s="120" t="s">
        <v>2508</v>
      </c>
      <c r="K213" s="120" t="s">
        <v>2508</v>
      </c>
      <c r="L213" s="118"/>
      <c r="M213" s="119"/>
      <c r="N213" s="118"/>
      <c r="O213" s="119"/>
      <c r="P213" s="117" t="s">
        <v>88</v>
      </c>
      <c r="Q213" s="117" t="s">
        <v>45</v>
      </c>
      <c r="R213" s="117" t="b">
        <v>1</v>
      </c>
      <c r="S213" s="117" t="b">
        <v>1</v>
      </c>
      <c r="T213" s="117" t="b">
        <v>1</v>
      </c>
      <c r="U213" s="117" t="b">
        <v>0</v>
      </c>
      <c r="V213" s="117" t="b">
        <v>0</v>
      </c>
      <c r="W213" s="117" t="b">
        <v>1</v>
      </c>
      <c r="X213" s="117" t="b">
        <v>1</v>
      </c>
      <c r="Y213" s="117" t="b">
        <v>0</v>
      </c>
      <c r="Z213" s="117" t="b">
        <v>0</v>
      </c>
      <c r="AA213" s="117"/>
      <c r="AB213" s="117" t="s">
        <v>604</v>
      </c>
      <c r="AC213" s="117"/>
      <c r="AD213" s="117" t="s">
        <v>604</v>
      </c>
      <c r="AE213" s="117" t="s">
        <v>604</v>
      </c>
      <c r="AF213" s="117" t="b">
        <v>0</v>
      </c>
      <c r="AG213" s="117" t="s">
        <v>605</v>
      </c>
      <c r="AH213" s="117">
        <v>3213112805860000</v>
      </c>
      <c r="AI213" s="117" t="s">
        <v>310</v>
      </c>
      <c r="AJ213" s="117" t="s">
        <v>32</v>
      </c>
      <c r="AK213" s="117"/>
      <c r="AL213" s="117">
        <v>6285882641933</v>
      </c>
      <c r="AM213" s="117" t="s">
        <v>607</v>
      </c>
      <c r="AN213" s="117" t="s">
        <v>312</v>
      </c>
      <c r="AO213" s="117" t="s">
        <v>608</v>
      </c>
      <c r="AP213" s="117" t="s">
        <v>609</v>
      </c>
      <c r="AQ213" s="117" t="s">
        <v>133</v>
      </c>
      <c r="AR213" s="117" t="s">
        <v>1905</v>
      </c>
      <c r="AS213" s="117" t="s">
        <v>134</v>
      </c>
      <c r="AT213" s="117" t="s">
        <v>1916</v>
      </c>
      <c r="AU213" s="117" t="b">
        <v>1</v>
      </c>
      <c r="AV213" s="117" t="b">
        <v>1</v>
      </c>
      <c r="AW213" s="117" t="s">
        <v>602</v>
      </c>
      <c r="AX213" s="117" t="s">
        <v>603</v>
      </c>
      <c r="AY213" s="117" t="s">
        <v>2156</v>
      </c>
      <c r="AZ213" s="117" t="s">
        <v>2157</v>
      </c>
      <c r="BA213" s="117" t="b">
        <v>1</v>
      </c>
      <c r="BB213" s="117" t="b">
        <v>1</v>
      </c>
      <c r="BC213" s="117"/>
      <c r="BD213" s="117"/>
      <c r="BE213" s="117">
        <v>0</v>
      </c>
    </row>
    <row r="214" spans="1:57" ht="16">
      <c r="A214" s="117" t="s">
        <v>2751</v>
      </c>
      <c r="B214" s="117" t="s">
        <v>131</v>
      </c>
      <c r="C214" s="117" t="s">
        <v>132</v>
      </c>
      <c r="D214" s="117" t="s">
        <v>133</v>
      </c>
      <c r="E214" s="117" t="s">
        <v>134</v>
      </c>
      <c r="F214" s="117" t="s">
        <v>617</v>
      </c>
      <c r="G214" s="117" t="s">
        <v>618</v>
      </c>
      <c r="H214" s="118" t="s">
        <v>617</v>
      </c>
      <c r="I214" s="119" t="s">
        <v>618</v>
      </c>
      <c r="J214" s="120" t="s">
        <v>2508</v>
      </c>
      <c r="K214" s="120" t="s">
        <v>2508</v>
      </c>
      <c r="L214" s="118"/>
      <c r="M214" s="119"/>
      <c r="N214" s="118"/>
      <c r="O214" s="119"/>
      <c r="P214" s="117" t="s">
        <v>88</v>
      </c>
      <c r="Q214" s="117" t="s">
        <v>45</v>
      </c>
      <c r="R214" s="117" t="b">
        <v>1</v>
      </c>
      <c r="S214" s="117" t="b">
        <v>1</v>
      </c>
      <c r="T214" s="117" t="b">
        <v>1</v>
      </c>
      <c r="U214" s="117" t="b">
        <v>0</v>
      </c>
      <c r="V214" s="117" t="b">
        <v>0</v>
      </c>
      <c r="W214" s="117" t="b">
        <v>1</v>
      </c>
      <c r="X214" s="117" t="b">
        <v>1</v>
      </c>
      <c r="Y214" s="117" t="b">
        <v>0</v>
      </c>
      <c r="Z214" s="117" t="b">
        <v>0</v>
      </c>
      <c r="AA214" s="117"/>
      <c r="AB214" s="117" t="s">
        <v>619</v>
      </c>
      <c r="AC214" s="117"/>
      <c r="AD214" s="117" t="s">
        <v>619</v>
      </c>
      <c r="AE214" s="117" t="s">
        <v>619</v>
      </c>
      <c r="AF214" s="117" t="b">
        <v>0</v>
      </c>
      <c r="AG214" s="117" t="s">
        <v>620</v>
      </c>
      <c r="AH214" s="117">
        <v>3215153105970000</v>
      </c>
      <c r="AI214" s="117" t="s">
        <v>310</v>
      </c>
      <c r="AJ214" s="117" t="s">
        <v>32</v>
      </c>
      <c r="AK214" s="117"/>
      <c r="AL214" s="117">
        <v>6285773051597</v>
      </c>
      <c r="AM214" s="117" t="s">
        <v>622</v>
      </c>
      <c r="AN214" s="117" t="s">
        <v>312</v>
      </c>
      <c r="AO214" s="117" t="s">
        <v>623</v>
      </c>
      <c r="AP214" s="117" t="s">
        <v>609</v>
      </c>
      <c r="AQ214" s="117" t="s">
        <v>133</v>
      </c>
      <c r="AR214" s="117" t="s">
        <v>1905</v>
      </c>
      <c r="AS214" s="117" t="s">
        <v>134</v>
      </c>
      <c r="AT214" s="117" t="s">
        <v>1916</v>
      </c>
      <c r="AU214" s="117" t="b">
        <v>1</v>
      </c>
      <c r="AV214" s="117" t="b">
        <v>1</v>
      </c>
      <c r="AW214" s="117" t="s">
        <v>617</v>
      </c>
      <c r="AX214" s="117" t="s">
        <v>618</v>
      </c>
      <c r="AY214" s="117" t="s">
        <v>2160</v>
      </c>
      <c r="AZ214" s="117" t="s">
        <v>2161</v>
      </c>
      <c r="BA214" s="117" t="b">
        <v>1</v>
      </c>
      <c r="BB214" s="117" t="b">
        <v>1</v>
      </c>
      <c r="BC214" s="117"/>
      <c r="BD214" s="117"/>
      <c r="BE214" s="117">
        <v>0</v>
      </c>
    </row>
    <row r="215" spans="1:57" ht="16">
      <c r="A215" s="117" t="s">
        <v>2751</v>
      </c>
      <c r="B215" s="117" t="s">
        <v>131</v>
      </c>
      <c r="C215" s="117" t="s">
        <v>132</v>
      </c>
      <c r="D215" s="117" t="s">
        <v>133</v>
      </c>
      <c r="E215" s="117" t="s">
        <v>134</v>
      </c>
      <c r="F215" s="117" t="s">
        <v>1061</v>
      </c>
      <c r="G215" s="117" t="s">
        <v>1062</v>
      </c>
      <c r="H215" s="118" t="s">
        <v>1061</v>
      </c>
      <c r="I215" s="119" t="s">
        <v>1062</v>
      </c>
      <c r="J215" s="120" t="s">
        <v>2508</v>
      </c>
      <c r="K215" s="120" t="s">
        <v>2508</v>
      </c>
      <c r="L215" s="118"/>
      <c r="M215" s="119"/>
      <c r="N215" s="118"/>
      <c r="O215" s="119"/>
      <c r="P215" s="117" t="s">
        <v>88</v>
      </c>
      <c r="Q215" s="117" t="s">
        <v>45</v>
      </c>
      <c r="R215" s="117" t="b">
        <v>1</v>
      </c>
      <c r="S215" s="117" t="b">
        <v>1</v>
      </c>
      <c r="T215" s="117" t="b">
        <v>1</v>
      </c>
      <c r="U215" s="117" t="b">
        <v>0</v>
      </c>
      <c r="V215" s="117" t="b">
        <v>0</v>
      </c>
      <c r="W215" s="117" t="b">
        <v>1</v>
      </c>
      <c r="X215" s="117" t="b">
        <v>1</v>
      </c>
      <c r="Y215" s="117" t="b">
        <v>0</v>
      </c>
      <c r="Z215" s="117" t="b">
        <v>0</v>
      </c>
      <c r="AA215" s="117"/>
      <c r="AB215" s="117" t="s">
        <v>1063</v>
      </c>
      <c r="AC215" s="117"/>
      <c r="AD215" s="117" t="s">
        <v>1063</v>
      </c>
      <c r="AE215" s="117" t="s">
        <v>1063</v>
      </c>
      <c r="AF215" s="117" t="b">
        <v>0</v>
      </c>
      <c r="AG215" s="117" t="s">
        <v>1064</v>
      </c>
      <c r="AH215" s="117">
        <v>3215190112940000</v>
      </c>
      <c r="AI215" s="117" t="s">
        <v>310</v>
      </c>
      <c r="AJ215" s="117" t="s">
        <v>32</v>
      </c>
      <c r="AK215" s="117"/>
      <c r="AL215" s="117">
        <v>6285777565554</v>
      </c>
      <c r="AM215" s="117" t="s">
        <v>1066</v>
      </c>
      <c r="AN215" s="117" t="s">
        <v>312</v>
      </c>
      <c r="AO215" s="117" t="s">
        <v>1067</v>
      </c>
      <c r="AP215" s="117" t="s">
        <v>609</v>
      </c>
      <c r="AQ215" s="117" t="s">
        <v>133</v>
      </c>
      <c r="AR215" s="117" t="s">
        <v>1905</v>
      </c>
      <c r="AS215" s="117" t="s">
        <v>134</v>
      </c>
      <c r="AT215" s="117" t="s">
        <v>1916</v>
      </c>
      <c r="AU215" s="117" t="b">
        <v>1</v>
      </c>
      <c r="AV215" s="117" t="b">
        <v>1</v>
      </c>
      <c r="AW215" s="117" t="s">
        <v>1061</v>
      </c>
      <c r="AX215" s="117" t="s">
        <v>1062</v>
      </c>
      <c r="AY215" s="117" t="s">
        <v>2268</v>
      </c>
      <c r="AZ215" s="117" t="s">
        <v>2269</v>
      </c>
      <c r="BA215" s="117" t="b">
        <v>1</v>
      </c>
      <c r="BB215" s="117" t="b">
        <v>1</v>
      </c>
      <c r="BC215" s="117"/>
      <c r="BD215" s="117"/>
      <c r="BE215" s="117" t="s">
        <v>2505</v>
      </c>
    </row>
    <row r="216" spans="1:57" ht="16">
      <c r="A216" s="117" t="s">
        <v>2752</v>
      </c>
      <c r="B216" s="117" t="s">
        <v>251</v>
      </c>
      <c r="C216" s="117" t="s">
        <v>252</v>
      </c>
      <c r="D216" s="117" t="s">
        <v>253</v>
      </c>
      <c r="E216" s="117" t="s">
        <v>254</v>
      </c>
      <c r="F216" s="117">
        <v>2613051196</v>
      </c>
      <c r="G216" s="117" t="s">
        <v>255</v>
      </c>
      <c r="H216" s="118">
        <v>2613051196</v>
      </c>
      <c r="I216" s="119" t="s">
        <v>255</v>
      </c>
      <c r="J216" s="120" t="s">
        <v>2508</v>
      </c>
      <c r="K216" s="120" t="s">
        <v>2508</v>
      </c>
      <c r="L216" s="118"/>
      <c r="M216" s="119"/>
      <c r="N216" s="118"/>
      <c r="O216" s="119"/>
      <c r="P216" s="117" t="s">
        <v>28</v>
      </c>
      <c r="Q216" s="117" t="s">
        <v>45</v>
      </c>
      <c r="R216" s="117" t="b">
        <v>1</v>
      </c>
      <c r="S216" s="117" t="b">
        <v>1</v>
      </c>
      <c r="T216" s="117" t="b">
        <v>1</v>
      </c>
      <c r="U216" s="117" t="b">
        <v>1</v>
      </c>
      <c r="V216" s="117" t="b">
        <v>1</v>
      </c>
      <c r="W216" s="117" t="b">
        <v>1</v>
      </c>
      <c r="X216" s="117" t="b">
        <v>1</v>
      </c>
      <c r="Y216" s="117" t="b">
        <v>0</v>
      </c>
      <c r="Z216" s="117" t="b">
        <v>0</v>
      </c>
      <c r="AA216" s="117"/>
      <c r="AB216" s="117" t="s">
        <v>256</v>
      </c>
      <c r="AC216" s="117"/>
      <c r="AD216" s="117"/>
      <c r="AE216" s="117"/>
      <c r="AF216" s="117"/>
      <c r="AG216" s="117" t="s">
        <v>257</v>
      </c>
      <c r="AH216" s="117">
        <v>3304116206950000</v>
      </c>
      <c r="AI216" s="117" t="s">
        <v>119</v>
      </c>
      <c r="AJ216" s="117" t="s">
        <v>32</v>
      </c>
      <c r="AK216" s="117"/>
      <c r="AL216" s="117">
        <v>6285714183352</v>
      </c>
      <c r="AM216" s="117"/>
      <c r="AN216" s="117"/>
      <c r="AO216" s="117" t="s">
        <v>259</v>
      </c>
      <c r="AP216" s="117"/>
      <c r="AQ216" s="117" t="s">
        <v>253</v>
      </c>
      <c r="AR216" s="117" t="s">
        <v>1906</v>
      </c>
      <c r="AS216" s="117" t="s">
        <v>254</v>
      </c>
      <c r="AT216" s="117" t="s">
        <v>1920</v>
      </c>
      <c r="AU216" s="117" t="b">
        <v>1</v>
      </c>
      <c r="AV216" s="117" t="b">
        <v>1</v>
      </c>
      <c r="AW216" s="117">
        <v>2613051196</v>
      </c>
      <c r="AX216" s="117" t="s">
        <v>255</v>
      </c>
      <c r="AY216" s="117" t="s">
        <v>2058</v>
      </c>
      <c r="AZ216" s="117" t="s">
        <v>2059</v>
      </c>
      <c r="BA216" s="117" t="b">
        <v>1</v>
      </c>
      <c r="BB216" s="117" t="b">
        <v>1</v>
      </c>
      <c r="BC216" s="117"/>
      <c r="BD216" s="117"/>
      <c r="BE216" s="117">
        <v>0</v>
      </c>
    </row>
    <row r="217" spans="1:57" ht="16">
      <c r="A217" s="117" t="s">
        <v>2752</v>
      </c>
      <c r="B217" s="117" t="s">
        <v>251</v>
      </c>
      <c r="C217" s="117" t="s">
        <v>252</v>
      </c>
      <c r="D217" s="117" t="s">
        <v>253</v>
      </c>
      <c r="E217" s="117" t="s">
        <v>254</v>
      </c>
      <c r="F217" s="117">
        <v>2613051197</v>
      </c>
      <c r="G217" s="117" t="s">
        <v>260</v>
      </c>
      <c r="H217" s="118">
        <v>2613051197</v>
      </c>
      <c r="I217" s="119" t="s">
        <v>260</v>
      </c>
      <c r="J217" s="120" t="s">
        <v>2508</v>
      </c>
      <c r="K217" s="120" t="s">
        <v>2508</v>
      </c>
      <c r="L217" s="118"/>
      <c r="M217" s="119"/>
      <c r="N217" s="118"/>
      <c r="O217" s="119"/>
      <c r="P217" s="117" t="s">
        <v>28</v>
      </c>
      <c r="Q217" s="117" t="s">
        <v>45</v>
      </c>
      <c r="R217" s="117" t="b">
        <v>1</v>
      </c>
      <c r="S217" s="117" t="b">
        <v>1</v>
      </c>
      <c r="T217" s="117" t="b">
        <v>1</v>
      </c>
      <c r="U217" s="117" t="b">
        <v>1</v>
      </c>
      <c r="V217" s="117" t="b">
        <v>1</v>
      </c>
      <c r="W217" s="117" t="b">
        <v>1</v>
      </c>
      <c r="X217" s="117" t="b">
        <v>1</v>
      </c>
      <c r="Y217" s="117" t="b">
        <v>0</v>
      </c>
      <c r="Z217" s="117" t="b">
        <v>0</v>
      </c>
      <c r="AA217" s="117"/>
      <c r="AB217" s="117" t="s">
        <v>261</v>
      </c>
      <c r="AC217" s="117"/>
      <c r="AD217" s="117"/>
      <c r="AE217" s="117"/>
      <c r="AF217" s="117"/>
      <c r="AG217" s="117" t="s">
        <v>262</v>
      </c>
      <c r="AH217" s="117">
        <v>3327072101980020</v>
      </c>
      <c r="AI217" s="117" t="s">
        <v>68</v>
      </c>
      <c r="AJ217" s="117" t="s">
        <v>32</v>
      </c>
      <c r="AK217" s="117"/>
      <c r="AL217" s="117">
        <v>6285714193988</v>
      </c>
      <c r="AM217" s="117"/>
      <c r="AN217" s="117"/>
      <c r="AO217" s="117" t="s">
        <v>264</v>
      </c>
      <c r="AP217" s="117"/>
      <c r="AQ217" s="117" t="s">
        <v>253</v>
      </c>
      <c r="AR217" s="117" t="s">
        <v>1906</v>
      </c>
      <c r="AS217" s="117" t="s">
        <v>254</v>
      </c>
      <c r="AT217" s="117" t="s">
        <v>1920</v>
      </c>
      <c r="AU217" s="117" t="b">
        <v>1</v>
      </c>
      <c r="AV217" s="117" t="b">
        <v>1</v>
      </c>
      <c r="AW217" s="117">
        <v>2613051197</v>
      </c>
      <c r="AX217" s="117" t="s">
        <v>260</v>
      </c>
      <c r="AY217" s="117" t="s">
        <v>2060</v>
      </c>
      <c r="AZ217" s="117" t="s">
        <v>2061</v>
      </c>
      <c r="BA217" s="117" t="b">
        <v>1</v>
      </c>
      <c r="BB217" s="117" t="b">
        <v>1</v>
      </c>
      <c r="BC217" s="117"/>
      <c r="BD217" s="117"/>
      <c r="BE217" s="117">
        <v>0</v>
      </c>
    </row>
    <row r="218" spans="1:57" ht="16">
      <c r="A218" s="117" t="s">
        <v>2752</v>
      </c>
      <c r="B218" s="117" t="s">
        <v>251</v>
      </c>
      <c r="C218" s="117" t="s">
        <v>252</v>
      </c>
      <c r="D218" s="117" t="s">
        <v>253</v>
      </c>
      <c r="E218" s="117" t="s">
        <v>254</v>
      </c>
      <c r="F218" s="117">
        <v>2613051371</v>
      </c>
      <c r="G218" s="117" t="s">
        <v>265</v>
      </c>
      <c r="H218" s="118">
        <v>2613051371</v>
      </c>
      <c r="I218" s="119" t="s">
        <v>265</v>
      </c>
      <c r="J218" s="120" t="s">
        <v>2508</v>
      </c>
      <c r="K218" s="120" t="s">
        <v>2508</v>
      </c>
      <c r="L218" s="118"/>
      <c r="M218" s="119"/>
      <c r="N218" s="118"/>
      <c r="O218" s="119"/>
      <c r="P218" s="117" t="s">
        <v>28</v>
      </c>
      <c r="Q218" s="117" t="s">
        <v>45</v>
      </c>
      <c r="R218" s="117" t="b">
        <v>1</v>
      </c>
      <c r="S218" s="117" t="b">
        <v>1</v>
      </c>
      <c r="T218" s="117" t="b">
        <v>1</v>
      </c>
      <c r="U218" s="117" t="b">
        <v>1</v>
      </c>
      <c r="V218" s="117" t="b">
        <v>1</v>
      </c>
      <c r="W218" s="117" t="b">
        <v>1</v>
      </c>
      <c r="X218" s="117" t="b">
        <v>1</v>
      </c>
      <c r="Y218" s="117" t="b">
        <v>0</v>
      </c>
      <c r="Z218" s="117" t="b">
        <v>0</v>
      </c>
      <c r="AA218" s="117"/>
      <c r="AB218" s="117" t="s">
        <v>266</v>
      </c>
      <c r="AC218" s="117"/>
      <c r="AD218" s="117"/>
      <c r="AE218" s="117"/>
      <c r="AF218" s="117"/>
      <c r="AG218" s="117" t="s">
        <v>267</v>
      </c>
      <c r="AH218" s="117">
        <v>3203102210880000</v>
      </c>
      <c r="AI218" s="117" t="s">
        <v>68</v>
      </c>
      <c r="AJ218" s="117" t="s">
        <v>32</v>
      </c>
      <c r="AK218" s="117"/>
      <c r="AL218" s="117">
        <v>628567799578</v>
      </c>
      <c r="AM218" s="117"/>
      <c r="AN218" s="117"/>
      <c r="AO218" s="117" t="s">
        <v>269</v>
      </c>
      <c r="AP218" s="117"/>
      <c r="AQ218" s="117" t="s">
        <v>253</v>
      </c>
      <c r="AR218" s="117" t="s">
        <v>1906</v>
      </c>
      <c r="AS218" s="117" t="s">
        <v>254</v>
      </c>
      <c r="AT218" s="117" t="s">
        <v>1920</v>
      </c>
      <c r="AU218" s="117" t="b">
        <v>1</v>
      </c>
      <c r="AV218" s="117" t="b">
        <v>1</v>
      </c>
      <c r="AW218" s="117">
        <v>2613051371</v>
      </c>
      <c r="AX218" s="117" t="s">
        <v>265</v>
      </c>
      <c r="AY218" s="117" t="s">
        <v>2062</v>
      </c>
      <c r="AZ218" s="117" t="s">
        <v>2063</v>
      </c>
      <c r="BA218" s="117" t="b">
        <v>1</v>
      </c>
      <c r="BB218" s="117" t="b">
        <v>1</v>
      </c>
      <c r="BC218" s="117"/>
      <c r="BD218" s="117"/>
      <c r="BE218" s="117">
        <v>0</v>
      </c>
    </row>
    <row r="219" spans="1:57" ht="16">
      <c r="A219" s="117" t="s">
        <v>2752</v>
      </c>
      <c r="B219" s="117" t="s">
        <v>251</v>
      </c>
      <c r="C219" s="117" t="s">
        <v>252</v>
      </c>
      <c r="D219" s="117" t="s">
        <v>253</v>
      </c>
      <c r="E219" s="117" t="s">
        <v>254</v>
      </c>
      <c r="F219" s="117" t="s">
        <v>1150</v>
      </c>
      <c r="G219" s="117" t="s">
        <v>1151</v>
      </c>
      <c r="H219" s="118" t="s">
        <v>1150</v>
      </c>
      <c r="I219" s="119" t="s">
        <v>1151</v>
      </c>
      <c r="J219" s="120" t="s">
        <v>2508</v>
      </c>
      <c r="K219" s="120" t="s">
        <v>2508</v>
      </c>
      <c r="L219" s="118"/>
      <c r="M219" s="119"/>
      <c r="N219" s="118"/>
      <c r="O219" s="119"/>
      <c r="P219" s="117" t="s">
        <v>28</v>
      </c>
      <c r="Q219" s="117" t="s">
        <v>45</v>
      </c>
      <c r="R219" s="117" t="b">
        <v>1</v>
      </c>
      <c r="S219" s="117" t="b">
        <v>1</v>
      </c>
      <c r="T219" s="117" t="b">
        <v>1</v>
      </c>
      <c r="U219" s="117" t="b">
        <v>1</v>
      </c>
      <c r="V219" s="117" t="b">
        <v>1</v>
      </c>
      <c r="W219" s="117" t="b">
        <v>1</v>
      </c>
      <c r="X219" s="117" t="b">
        <v>1</v>
      </c>
      <c r="Y219" s="117" t="b">
        <v>0</v>
      </c>
      <c r="Z219" s="117" t="b">
        <v>0</v>
      </c>
      <c r="AA219" s="117"/>
      <c r="AB219" s="117" t="s">
        <v>1152</v>
      </c>
      <c r="AC219" s="117"/>
      <c r="AD219" s="117"/>
      <c r="AE219" s="117"/>
      <c r="AF219" s="117"/>
      <c r="AG219" s="117" t="s">
        <v>1153</v>
      </c>
      <c r="AH219" s="117">
        <v>3174052007900000</v>
      </c>
      <c r="AI219" s="117" t="s">
        <v>68</v>
      </c>
      <c r="AJ219" s="117" t="s">
        <v>32</v>
      </c>
      <c r="AK219" s="117"/>
      <c r="AL219" s="117">
        <v>6285716960151</v>
      </c>
      <c r="AM219" s="117"/>
      <c r="AN219" s="117"/>
      <c r="AO219" s="117" t="s">
        <v>1155</v>
      </c>
      <c r="AP219" s="117"/>
      <c r="AQ219" s="117" t="s">
        <v>253</v>
      </c>
      <c r="AR219" s="117" t="s">
        <v>1906</v>
      </c>
      <c r="AS219" s="117" t="s">
        <v>254</v>
      </c>
      <c r="AT219" s="117" t="s">
        <v>1920</v>
      </c>
      <c r="AU219" s="117" t="b">
        <v>1</v>
      </c>
      <c r="AV219" s="117" t="b">
        <v>1</v>
      </c>
      <c r="AW219" s="117" t="s">
        <v>1150</v>
      </c>
      <c r="AX219" s="117" t="s">
        <v>1151</v>
      </c>
      <c r="AY219" s="117" t="s">
        <v>2296</v>
      </c>
      <c r="AZ219" s="117" t="s">
        <v>2297</v>
      </c>
      <c r="BA219" s="117" t="b">
        <v>1</v>
      </c>
      <c r="BB219" s="117" t="b">
        <v>1</v>
      </c>
      <c r="BC219" s="117"/>
      <c r="BD219" s="117"/>
      <c r="BE219" s="117">
        <v>0</v>
      </c>
    </row>
    <row r="220" spans="1:57" ht="16">
      <c r="A220" s="117" t="s">
        <v>2752</v>
      </c>
      <c r="B220" s="117" t="s">
        <v>251</v>
      </c>
      <c r="C220" s="117" t="s">
        <v>252</v>
      </c>
      <c r="D220" s="117" t="s">
        <v>253</v>
      </c>
      <c r="E220" s="117" t="s">
        <v>254</v>
      </c>
      <c r="F220" s="117" t="s">
        <v>1156</v>
      </c>
      <c r="G220" s="117" t="s">
        <v>1157</v>
      </c>
      <c r="H220" s="118" t="s">
        <v>1156</v>
      </c>
      <c r="I220" s="119" t="s">
        <v>1157</v>
      </c>
      <c r="J220" s="120" t="s">
        <v>2508</v>
      </c>
      <c r="K220" s="120" t="s">
        <v>2508</v>
      </c>
      <c r="L220" s="118"/>
      <c r="M220" s="119"/>
      <c r="N220" s="118"/>
      <c r="O220" s="119"/>
      <c r="P220" s="117" t="s">
        <v>28</v>
      </c>
      <c r="Q220" s="117" t="s">
        <v>45</v>
      </c>
      <c r="R220" s="117" t="b">
        <v>1</v>
      </c>
      <c r="S220" s="117" t="b">
        <v>1</v>
      </c>
      <c r="T220" s="117" t="b">
        <v>1</v>
      </c>
      <c r="U220" s="117" t="b">
        <v>1</v>
      </c>
      <c r="V220" s="117" t="b">
        <v>1</v>
      </c>
      <c r="W220" s="117" t="b">
        <v>1</v>
      </c>
      <c r="X220" s="117" t="b">
        <v>1</v>
      </c>
      <c r="Y220" s="117" t="b">
        <v>0</v>
      </c>
      <c r="Z220" s="117" t="b">
        <v>0</v>
      </c>
      <c r="AA220" s="117"/>
      <c r="AB220" s="117" t="s">
        <v>1158</v>
      </c>
      <c r="AC220" s="117"/>
      <c r="AD220" s="117"/>
      <c r="AE220" s="117"/>
      <c r="AF220" s="117"/>
      <c r="AG220" s="117" t="s">
        <v>1159</v>
      </c>
      <c r="AH220" s="117">
        <v>3173054605920000</v>
      </c>
      <c r="AI220" s="117" t="s">
        <v>119</v>
      </c>
      <c r="AJ220" s="117" t="s">
        <v>32</v>
      </c>
      <c r="AK220" s="117"/>
      <c r="AL220" s="117">
        <v>6285777218168</v>
      </c>
      <c r="AM220" s="117"/>
      <c r="AN220" s="117"/>
      <c r="AO220" s="117" t="s">
        <v>1161</v>
      </c>
      <c r="AP220" s="117"/>
      <c r="AQ220" s="117" t="s">
        <v>253</v>
      </c>
      <c r="AR220" s="117" t="s">
        <v>1906</v>
      </c>
      <c r="AS220" s="117" t="s">
        <v>254</v>
      </c>
      <c r="AT220" s="117" t="s">
        <v>1920</v>
      </c>
      <c r="AU220" s="117" t="b">
        <v>1</v>
      </c>
      <c r="AV220" s="117" t="b">
        <v>1</v>
      </c>
      <c r="AW220" s="117" t="s">
        <v>1156</v>
      </c>
      <c r="AX220" s="117" t="s">
        <v>1157</v>
      </c>
      <c r="AY220" s="117" t="s">
        <v>2298</v>
      </c>
      <c r="AZ220" s="117" t="s">
        <v>2299</v>
      </c>
      <c r="BA220" s="117" t="b">
        <v>1</v>
      </c>
      <c r="BB220" s="117" t="b">
        <v>1</v>
      </c>
      <c r="BC220" s="117"/>
      <c r="BD220" s="117"/>
      <c r="BE220" s="117">
        <v>0</v>
      </c>
    </row>
    <row r="221" spans="1:57" ht="16">
      <c r="A221" s="117" t="s">
        <v>2752</v>
      </c>
      <c r="B221" s="117" t="s">
        <v>251</v>
      </c>
      <c r="C221" s="117" t="s">
        <v>252</v>
      </c>
      <c r="D221" s="117" t="s">
        <v>253</v>
      </c>
      <c r="E221" s="117" t="s">
        <v>254</v>
      </c>
      <c r="F221" s="117" t="s">
        <v>1162</v>
      </c>
      <c r="G221" s="117" t="s">
        <v>1163</v>
      </c>
      <c r="H221" s="118" t="s">
        <v>1162</v>
      </c>
      <c r="I221" s="119" t="s">
        <v>1163</v>
      </c>
      <c r="J221" s="120" t="s">
        <v>2508</v>
      </c>
      <c r="K221" s="120" t="s">
        <v>2508</v>
      </c>
      <c r="L221" s="118"/>
      <c r="M221" s="119"/>
      <c r="N221" s="118"/>
      <c r="O221" s="119"/>
      <c r="P221" s="117" t="s">
        <v>28</v>
      </c>
      <c r="Q221" s="117" t="s">
        <v>45</v>
      </c>
      <c r="R221" s="117" t="b">
        <v>1</v>
      </c>
      <c r="S221" s="117" t="b">
        <v>1</v>
      </c>
      <c r="T221" s="117" t="b">
        <v>1</v>
      </c>
      <c r="U221" s="117" t="b">
        <v>1</v>
      </c>
      <c r="V221" s="117" t="b">
        <v>1</v>
      </c>
      <c r="W221" s="117" t="b">
        <v>1</v>
      </c>
      <c r="X221" s="117" t="b">
        <v>1</v>
      </c>
      <c r="Y221" s="117" t="b">
        <v>0</v>
      </c>
      <c r="Z221" s="117" t="b">
        <v>0</v>
      </c>
      <c r="AA221" s="117"/>
      <c r="AB221" s="117" t="s">
        <v>1164</v>
      </c>
      <c r="AC221" s="117"/>
      <c r="AD221" s="117"/>
      <c r="AE221" s="117"/>
      <c r="AF221" s="117"/>
      <c r="AG221" s="117" t="s">
        <v>1165</v>
      </c>
      <c r="AH221" s="117">
        <v>3174032506880000</v>
      </c>
      <c r="AI221" s="117" t="s">
        <v>68</v>
      </c>
      <c r="AJ221" s="117" t="s">
        <v>32</v>
      </c>
      <c r="AK221" s="117"/>
      <c r="AL221" s="117">
        <v>6285711122768</v>
      </c>
      <c r="AM221" s="117"/>
      <c r="AN221" s="117"/>
      <c r="AO221" s="117" t="s">
        <v>1167</v>
      </c>
      <c r="AP221" s="117"/>
      <c r="AQ221" s="117" t="s">
        <v>253</v>
      </c>
      <c r="AR221" s="117" t="s">
        <v>1906</v>
      </c>
      <c r="AS221" s="117" t="s">
        <v>254</v>
      </c>
      <c r="AT221" s="117" t="s">
        <v>1920</v>
      </c>
      <c r="AU221" s="117" t="b">
        <v>1</v>
      </c>
      <c r="AV221" s="117" t="b">
        <v>1</v>
      </c>
      <c r="AW221" s="117" t="s">
        <v>1162</v>
      </c>
      <c r="AX221" s="117" t="s">
        <v>1163</v>
      </c>
      <c r="AY221" s="117" t="s">
        <v>2300</v>
      </c>
      <c r="AZ221" s="117" t="s">
        <v>2301</v>
      </c>
      <c r="BA221" s="117" t="b">
        <v>1</v>
      </c>
      <c r="BB221" s="117" t="b">
        <v>1</v>
      </c>
      <c r="BC221" s="117"/>
      <c r="BD221" s="117"/>
      <c r="BE221" s="117">
        <v>0</v>
      </c>
    </row>
    <row r="222" spans="1:57" ht="16">
      <c r="A222" s="117" t="s">
        <v>2752</v>
      </c>
      <c r="B222" s="117" t="s">
        <v>251</v>
      </c>
      <c r="C222" s="117" t="s">
        <v>252</v>
      </c>
      <c r="D222" s="117" t="s">
        <v>253</v>
      </c>
      <c r="E222" s="117" t="s">
        <v>254</v>
      </c>
      <c r="F222" s="117" t="s">
        <v>1168</v>
      </c>
      <c r="G222" s="117" t="s">
        <v>1169</v>
      </c>
      <c r="H222" s="118" t="s">
        <v>1168</v>
      </c>
      <c r="I222" s="119" t="s">
        <v>1169</v>
      </c>
      <c r="J222" s="120" t="s">
        <v>2508</v>
      </c>
      <c r="K222" s="120" t="s">
        <v>2508</v>
      </c>
      <c r="L222" s="118"/>
      <c r="M222" s="119"/>
      <c r="N222" s="118"/>
      <c r="O222" s="119"/>
      <c r="P222" s="117" t="s">
        <v>28</v>
      </c>
      <c r="Q222" s="117" t="s">
        <v>45</v>
      </c>
      <c r="R222" s="117" t="b">
        <v>1</v>
      </c>
      <c r="S222" s="117" t="b">
        <v>1</v>
      </c>
      <c r="T222" s="117" t="b">
        <v>1</v>
      </c>
      <c r="U222" s="117" t="b">
        <v>1</v>
      </c>
      <c r="V222" s="117" t="b">
        <v>1</v>
      </c>
      <c r="W222" s="117" t="b">
        <v>1</v>
      </c>
      <c r="X222" s="117" t="b">
        <v>1</v>
      </c>
      <c r="Y222" s="117" t="b">
        <v>0</v>
      </c>
      <c r="Z222" s="117" t="b">
        <v>0</v>
      </c>
      <c r="AA222" s="117" t="s">
        <v>2841</v>
      </c>
      <c r="AB222" s="117" t="s">
        <v>1170</v>
      </c>
      <c r="AC222" s="117"/>
      <c r="AD222" s="117"/>
      <c r="AE222" s="117"/>
      <c r="AF222" s="117"/>
      <c r="AG222" s="117" t="s">
        <v>1171</v>
      </c>
      <c r="AH222" s="117">
        <v>3174080106961000</v>
      </c>
      <c r="AI222" s="117" t="s">
        <v>68</v>
      </c>
      <c r="AJ222" s="117" t="s">
        <v>32</v>
      </c>
      <c r="AK222" s="117"/>
      <c r="AL222" s="117">
        <v>6285711122775</v>
      </c>
      <c r="AM222" s="117"/>
      <c r="AN222" s="117"/>
      <c r="AO222" s="117" t="s">
        <v>1173</v>
      </c>
      <c r="AP222" s="117"/>
      <c r="AQ222" s="117" t="s">
        <v>253</v>
      </c>
      <c r="AR222" s="117" t="s">
        <v>1906</v>
      </c>
      <c r="AS222" s="117" t="s">
        <v>254</v>
      </c>
      <c r="AT222" s="117" t="s">
        <v>1920</v>
      </c>
      <c r="AU222" s="117" t="b">
        <v>1</v>
      </c>
      <c r="AV222" s="117" t="b">
        <v>1</v>
      </c>
      <c r="AW222" s="117" t="s">
        <v>1168</v>
      </c>
      <c r="AX222" s="117" t="s">
        <v>1169</v>
      </c>
      <c r="AY222" s="117" t="s">
        <v>2302</v>
      </c>
      <c r="AZ222" s="117" t="s">
        <v>2303</v>
      </c>
      <c r="BA222" s="117" t="b">
        <v>1</v>
      </c>
      <c r="BB222" s="117" t="b">
        <v>1</v>
      </c>
      <c r="BC222" s="117"/>
      <c r="BD222" s="117"/>
      <c r="BE222" s="117">
        <v>0</v>
      </c>
    </row>
    <row r="223" spans="1:57" ht="16">
      <c r="A223" s="117" t="s">
        <v>2752</v>
      </c>
      <c r="B223" s="117" t="s">
        <v>251</v>
      </c>
      <c r="C223" s="117" t="s">
        <v>252</v>
      </c>
      <c r="D223" s="117" t="s">
        <v>253</v>
      </c>
      <c r="E223" s="117" t="s">
        <v>254</v>
      </c>
      <c r="F223" s="122">
        <v>2613052472</v>
      </c>
      <c r="G223" s="122" t="s">
        <v>302</v>
      </c>
      <c r="H223" s="118" t="s">
        <v>2615</v>
      </c>
      <c r="I223" s="119" t="s">
        <v>2616</v>
      </c>
      <c r="J223" s="120" t="s">
        <v>2508</v>
      </c>
      <c r="K223" s="120" t="s">
        <v>2508</v>
      </c>
      <c r="L223" s="118"/>
      <c r="M223" s="119"/>
      <c r="N223" s="118"/>
      <c r="O223" s="119"/>
      <c r="P223" s="117" t="s">
        <v>28</v>
      </c>
      <c r="Q223" s="117" t="s">
        <v>45</v>
      </c>
      <c r="R223" s="117" t="b">
        <v>1</v>
      </c>
      <c r="S223" s="117" t="b">
        <v>1</v>
      </c>
      <c r="T223" s="117" t="b">
        <v>1</v>
      </c>
      <c r="U223" s="117" t="b">
        <v>0</v>
      </c>
      <c r="V223" s="117" t="b">
        <v>0</v>
      </c>
      <c r="W223" s="117" t="b">
        <v>1</v>
      </c>
      <c r="X223" s="117" t="b">
        <v>1</v>
      </c>
      <c r="Y223" s="117" t="b">
        <v>0</v>
      </c>
      <c r="Z223" s="117" t="b">
        <v>0</v>
      </c>
      <c r="AA223" s="117"/>
      <c r="AB223" s="117" t="s">
        <v>2613</v>
      </c>
      <c r="AC223" s="117"/>
      <c r="AD223" s="117"/>
      <c r="AE223" s="117"/>
      <c r="AF223" s="117"/>
      <c r="AG223" s="117"/>
      <c r="AH223" s="117">
        <v>3.37405031288123E+16</v>
      </c>
      <c r="AI223" s="117"/>
      <c r="AJ223" s="117"/>
      <c r="AK223" s="117"/>
      <c r="AL223" s="117">
        <v>6281511043226</v>
      </c>
      <c r="AM223" s="117"/>
      <c r="AN223" s="117"/>
      <c r="AO223" s="117" t="s">
        <v>304</v>
      </c>
      <c r="AP223" s="117" t="s">
        <v>291</v>
      </c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7"/>
      <c r="BD223" s="117"/>
      <c r="BE223" s="117"/>
    </row>
    <row r="224" spans="1:57" ht="16">
      <c r="A224" s="117" t="s">
        <v>2752</v>
      </c>
      <c r="B224" s="117" t="s">
        <v>251</v>
      </c>
      <c r="C224" s="117" t="s">
        <v>252</v>
      </c>
      <c r="D224" s="117" t="s">
        <v>253</v>
      </c>
      <c r="E224" s="117" t="s">
        <v>254</v>
      </c>
      <c r="F224" s="117" t="s">
        <v>1174</v>
      </c>
      <c r="G224" s="117" t="s">
        <v>1175</v>
      </c>
      <c r="H224" s="118" t="s">
        <v>1174</v>
      </c>
      <c r="I224" s="119" t="s">
        <v>1175</v>
      </c>
      <c r="J224" s="120" t="s">
        <v>2508</v>
      </c>
      <c r="K224" s="120" t="s">
        <v>2508</v>
      </c>
      <c r="L224" s="118"/>
      <c r="M224" s="119"/>
      <c r="N224" s="118"/>
      <c r="O224" s="119"/>
      <c r="P224" s="117" t="s">
        <v>28</v>
      </c>
      <c r="Q224" s="117" t="s">
        <v>45</v>
      </c>
      <c r="R224" s="117" t="b">
        <v>1</v>
      </c>
      <c r="S224" s="117" t="b">
        <v>1</v>
      </c>
      <c r="T224" s="117" t="b">
        <v>1</v>
      </c>
      <c r="U224" s="117" t="b">
        <v>1</v>
      </c>
      <c r="V224" s="117" t="b">
        <v>1</v>
      </c>
      <c r="W224" s="117" t="b">
        <v>1</v>
      </c>
      <c r="X224" s="117" t="b">
        <v>1</v>
      </c>
      <c r="Y224" s="117" t="b">
        <v>0</v>
      </c>
      <c r="Z224" s="117" t="b">
        <v>0</v>
      </c>
      <c r="AA224" s="117"/>
      <c r="AB224" s="117" t="s">
        <v>1176</v>
      </c>
      <c r="AC224" s="117"/>
      <c r="AD224" s="117"/>
      <c r="AE224" s="117"/>
      <c r="AF224" s="117"/>
      <c r="AG224" s="117" t="s">
        <v>1177</v>
      </c>
      <c r="AH224" s="117">
        <v>3173030810950000</v>
      </c>
      <c r="AI224" s="117" t="s">
        <v>68</v>
      </c>
      <c r="AJ224" s="117" t="s">
        <v>32</v>
      </c>
      <c r="AK224" s="117"/>
      <c r="AL224" s="117">
        <v>6285777217965</v>
      </c>
      <c r="AM224" s="117"/>
      <c r="AN224" s="117"/>
      <c r="AO224" s="117" t="s">
        <v>1179</v>
      </c>
      <c r="AP224" s="117"/>
      <c r="AQ224" s="117" t="s">
        <v>253</v>
      </c>
      <c r="AR224" s="117" t="s">
        <v>1906</v>
      </c>
      <c r="AS224" s="117" t="s">
        <v>254</v>
      </c>
      <c r="AT224" s="117" t="s">
        <v>1920</v>
      </c>
      <c r="AU224" s="117" t="b">
        <v>1</v>
      </c>
      <c r="AV224" s="117" t="b">
        <v>1</v>
      </c>
      <c r="AW224" s="117" t="s">
        <v>1174</v>
      </c>
      <c r="AX224" s="117" t="s">
        <v>1175</v>
      </c>
      <c r="AY224" s="117" t="s">
        <v>2304</v>
      </c>
      <c r="AZ224" s="117" t="s">
        <v>2305</v>
      </c>
      <c r="BA224" s="117" t="b">
        <v>1</v>
      </c>
      <c r="BB224" s="117" t="b">
        <v>1</v>
      </c>
      <c r="BC224" s="117"/>
      <c r="BD224" s="117"/>
      <c r="BE224" s="117">
        <v>0</v>
      </c>
    </row>
    <row r="225" spans="1:57" ht="16">
      <c r="A225" s="117" t="s">
        <v>2752</v>
      </c>
      <c r="B225" s="117" t="s">
        <v>181</v>
      </c>
      <c r="C225" s="117" t="s">
        <v>182</v>
      </c>
      <c r="D225" s="117" t="s">
        <v>183</v>
      </c>
      <c r="E225" s="117" t="s">
        <v>184</v>
      </c>
      <c r="F225" s="117">
        <v>2613051010</v>
      </c>
      <c r="G225" s="117" t="s">
        <v>185</v>
      </c>
      <c r="H225" s="118">
        <v>2613051010</v>
      </c>
      <c r="I225" s="119" t="s">
        <v>185</v>
      </c>
      <c r="J225" s="120" t="s">
        <v>2508</v>
      </c>
      <c r="K225" s="120" t="s">
        <v>2508</v>
      </c>
      <c r="L225" s="118"/>
      <c r="M225" s="119"/>
      <c r="N225" s="118"/>
      <c r="O225" s="119"/>
      <c r="P225" s="117" t="s">
        <v>28</v>
      </c>
      <c r="Q225" s="117" t="s">
        <v>45</v>
      </c>
      <c r="R225" s="117" t="b">
        <v>1</v>
      </c>
      <c r="S225" s="117" t="b">
        <v>1</v>
      </c>
      <c r="T225" s="117" t="b">
        <v>1</v>
      </c>
      <c r="U225" s="117" t="b">
        <v>0</v>
      </c>
      <c r="V225" s="117" t="b">
        <v>0</v>
      </c>
      <c r="W225" s="117" t="b">
        <v>1</v>
      </c>
      <c r="X225" s="117" t="b">
        <v>1</v>
      </c>
      <c r="Y225" s="117" t="b">
        <v>0</v>
      </c>
      <c r="Z225" s="117" t="b">
        <v>0</v>
      </c>
      <c r="AA225" s="117"/>
      <c r="AB225" s="117" t="s">
        <v>186</v>
      </c>
      <c r="AC225" s="117"/>
      <c r="AD225" s="117"/>
      <c r="AE225" s="117"/>
      <c r="AF225" s="117"/>
      <c r="AG225" s="117" t="s">
        <v>187</v>
      </c>
      <c r="AH225" s="117">
        <v>3175051810830010</v>
      </c>
      <c r="AI225" s="117" t="s">
        <v>68</v>
      </c>
      <c r="AJ225" s="117" t="s">
        <v>32</v>
      </c>
      <c r="AK225" s="117"/>
      <c r="AL225" s="117">
        <v>6285782299524</v>
      </c>
      <c r="AM225" s="117"/>
      <c r="AN225" s="117"/>
      <c r="AO225" s="117" t="s">
        <v>189</v>
      </c>
      <c r="AP225" s="117"/>
      <c r="AQ225" s="117" t="s">
        <v>183</v>
      </c>
      <c r="AR225" s="117" t="s">
        <v>1906</v>
      </c>
      <c r="AS225" s="117" t="s">
        <v>184</v>
      </c>
      <c r="AT225" s="117" t="s">
        <v>1919</v>
      </c>
      <c r="AU225" s="117" t="b">
        <v>1</v>
      </c>
      <c r="AV225" s="117" t="b">
        <v>1</v>
      </c>
      <c r="AW225" s="117">
        <v>2613051010</v>
      </c>
      <c r="AX225" s="117" t="s">
        <v>185</v>
      </c>
      <c r="AY225" s="117" t="s">
        <v>2032</v>
      </c>
      <c r="AZ225" s="117" t="s">
        <v>2033</v>
      </c>
      <c r="BA225" s="117" t="b">
        <v>1</v>
      </c>
      <c r="BB225" s="117" t="b">
        <v>1</v>
      </c>
      <c r="BC225" s="117"/>
      <c r="BD225" s="117"/>
      <c r="BE225" s="117">
        <v>0</v>
      </c>
    </row>
    <row r="226" spans="1:57" ht="16">
      <c r="A226" s="117" t="s">
        <v>2752</v>
      </c>
      <c r="B226" s="117" t="s">
        <v>181</v>
      </c>
      <c r="C226" s="117" t="s">
        <v>182</v>
      </c>
      <c r="D226" s="117" t="s">
        <v>183</v>
      </c>
      <c r="E226" s="117" t="s">
        <v>184</v>
      </c>
      <c r="F226" s="117">
        <v>2613051011</v>
      </c>
      <c r="G226" s="117" t="s">
        <v>190</v>
      </c>
      <c r="H226" s="118">
        <v>2613051011</v>
      </c>
      <c r="I226" s="119" t="s">
        <v>190</v>
      </c>
      <c r="J226" s="120" t="s">
        <v>2508</v>
      </c>
      <c r="K226" s="120" t="s">
        <v>2508</v>
      </c>
      <c r="L226" s="118"/>
      <c r="M226" s="119"/>
      <c r="N226" s="118"/>
      <c r="O226" s="119"/>
      <c r="P226" s="117" t="s">
        <v>28</v>
      </c>
      <c r="Q226" s="117" t="s">
        <v>45</v>
      </c>
      <c r="R226" s="117" t="b">
        <v>1</v>
      </c>
      <c r="S226" s="117" t="b">
        <v>1</v>
      </c>
      <c r="T226" s="117" t="b">
        <v>1</v>
      </c>
      <c r="U226" s="117" t="b">
        <v>0</v>
      </c>
      <c r="V226" s="117" t="b">
        <v>0</v>
      </c>
      <c r="W226" s="117" t="b">
        <v>1</v>
      </c>
      <c r="X226" s="117" t="b">
        <v>1</v>
      </c>
      <c r="Y226" s="117" t="b">
        <v>0</v>
      </c>
      <c r="Z226" s="117" t="b">
        <v>0</v>
      </c>
      <c r="AA226" s="117"/>
      <c r="AB226" s="117" t="s">
        <v>191</v>
      </c>
      <c r="AC226" s="117"/>
      <c r="AD226" s="117"/>
      <c r="AE226" s="117"/>
      <c r="AF226" s="117"/>
      <c r="AG226" s="117" t="s">
        <v>192</v>
      </c>
      <c r="AH226" s="117">
        <v>3275090907800020</v>
      </c>
      <c r="AI226" s="117" t="s">
        <v>68</v>
      </c>
      <c r="AJ226" s="117" t="s">
        <v>32</v>
      </c>
      <c r="AK226" s="117"/>
      <c r="AL226" s="117">
        <v>6285777188892</v>
      </c>
      <c r="AM226" s="117"/>
      <c r="AN226" s="117"/>
      <c r="AO226" s="117" t="s">
        <v>194</v>
      </c>
      <c r="AP226" s="117"/>
      <c r="AQ226" s="117" t="s">
        <v>183</v>
      </c>
      <c r="AR226" s="117" t="s">
        <v>1906</v>
      </c>
      <c r="AS226" s="117" t="s">
        <v>184</v>
      </c>
      <c r="AT226" s="117" t="s">
        <v>1919</v>
      </c>
      <c r="AU226" s="117" t="b">
        <v>1</v>
      </c>
      <c r="AV226" s="117" t="b">
        <v>1</v>
      </c>
      <c r="AW226" s="117">
        <v>2613051011</v>
      </c>
      <c r="AX226" s="117" t="s">
        <v>190</v>
      </c>
      <c r="AY226" s="117" t="s">
        <v>2034</v>
      </c>
      <c r="AZ226" s="117" t="s">
        <v>2035</v>
      </c>
      <c r="BA226" s="117" t="b">
        <v>1</v>
      </c>
      <c r="BB226" s="117" t="b">
        <v>1</v>
      </c>
      <c r="BC226" s="117"/>
      <c r="BD226" s="117"/>
      <c r="BE226" s="117">
        <v>0</v>
      </c>
    </row>
    <row r="227" spans="1:57" ht="16">
      <c r="A227" s="117" t="s">
        <v>2752</v>
      </c>
      <c r="B227" s="117" t="s">
        <v>181</v>
      </c>
      <c r="C227" s="117" t="s">
        <v>182</v>
      </c>
      <c r="D227" s="117" t="s">
        <v>183</v>
      </c>
      <c r="E227" s="117" t="s">
        <v>184</v>
      </c>
      <c r="F227" s="117">
        <v>2613051039</v>
      </c>
      <c r="G227" s="117" t="s">
        <v>205</v>
      </c>
      <c r="H227" s="118">
        <v>2613051039</v>
      </c>
      <c r="I227" s="119" t="s">
        <v>205</v>
      </c>
      <c r="J227" s="120" t="s">
        <v>2508</v>
      </c>
      <c r="K227" s="120" t="s">
        <v>2508</v>
      </c>
      <c r="L227" s="118"/>
      <c r="M227" s="119"/>
      <c r="N227" s="118"/>
      <c r="O227" s="119"/>
      <c r="P227" s="117" t="s">
        <v>28</v>
      </c>
      <c r="Q227" s="117" t="s">
        <v>45</v>
      </c>
      <c r="R227" s="117" t="b">
        <v>1</v>
      </c>
      <c r="S227" s="117" t="b">
        <v>1</v>
      </c>
      <c r="T227" s="117" t="b">
        <v>1</v>
      </c>
      <c r="U227" s="117" t="b">
        <v>0</v>
      </c>
      <c r="V227" s="117" t="b">
        <v>0</v>
      </c>
      <c r="W227" s="117" t="b">
        <v>1</v>
      </c>
      <c r="X227" s="117" t="b">
        <v>1</v>
      </c>
      <c r="Y227" s="117" t="b">
        <v>0</v>
      </c>
      <c r="Z227" s="117" t="b">
        <v>0</v>
      </c>
      <c r="AA227" s="117"/>
      <c r="AB227" s="117" t="s">
        <v>206</v>
      </c>
      <c r="AC227" s="117"/>
      <c r="AD227" s="117"/>
      <c r="AE227" s="117"/>
      <c r="AF227" s="117"/>
      <c r="AG227" s="117" t="s">
        <v>207</v>
      </c>
      <c r="AH227" s="117">
        <v>3275051205890000</v>
      </c>
      <c r="AI227" s="117" t="s">
        <v>68</v>
      </c>
      <c r="AJ227" s="117" t="s">
        <v>32</v>
      </c>
      <c r="AK227" s="117"/>
      <c r="AL227" s="117">
        <v>6285772279482</v>
      </c>
      <c r="AM227" s="117"/>
      <c r="AN227" s="117"/>
      <c r="AO227" s="117" t="s">
        <v>209</v>
      </c>
      <c r="AP227" s="117"/>
      <c r="AQ227" s="117" t="s">
        <v>183</v>
      </c>
      <c r="AR227" s="117" t="s">
        <v>1906</v>
      </c>
      <c r="AS227" s="117" t="s">
        <v>184</v>
      </c>
      <c r="AT227" s="117" t="s">
        <v>1919</v>
      </c>
      <c r="AU227" s="117" t="b">
        <v>1</v>
      </c>
      <c r="AV227" s="117" t="b">
        <v>1</v>
      </c>
      <c r="AW227" s="117">
        <v>2613051039</v>
      </c>
      <c r="AX227" s="117" t="s">
        <v>205</v>
      </c>
      <c r="AY227" s="117" t="s">
        <v>2040</v>
      </c>
      <c r="AZ227" s="117" t="s">
        <v>2041</v>
      </c>
      <c r="BA227" s="117" t="b">
        <v>1</v>
      </c>
      <c r="BB227" s="117" t="b">
        <v>1</v>
      </c>
      <c r="BC227" s="117"/>
      <c r="BD227" s="117"/>
      <c r="BE227" s="117">
        <v>0</v>
      </c>
    </row>
    <row r="228" spans="1:57" ht="16">
      <c r="A228" s="117" t="s">
        <v>2752</v>
      </c>
      <c r="B228" s="117" t="s">
        <v>181</v>
      </c>
      <c r="C228" s="117" t="s">
        <v>182</v>
      </c>
      <c r="D228" s="117" t="s">
        <v>183</v>
      </c>
      <c r="E228" s="117" t="s">
        <v>184</v>
      </c>
      <c r="F228" s="117">
        <v>2613051040</v>
      </c>
      <c r="G228" s="117" t="s">
        <v>210</v>
      </c>
      <c r="H228" s="118">
        <v>2613051040</v>
      </c>
      <c r="I228" s="119" t="s">
        <v>210</v>
      </c>
      <c r="J228" s="120" t="s">
        <v>2508</v>
      </c>
      <c r="K228" s="120" t="s">
        <v>2508</v>
      </c>
      <c r="L228" s="118"/>
      <c r="M228" s="119"/>
      <c r="N228" s="118"/>
      <c r="O228" s="119"/>
      <c r="P228" s="117" t="s">
        <v>28</v>
      </c>
      <c r="Q228" s="117" t="s">
        <v>45</v>
      </c>
      <c r="R228" s="117" t="b">
        <v>1</v>
      </c>
      <c r="S228" s="117" t="b">
        <v>1</v>
      </c>
      <c r="T228" s="117" t="b">
        <v>1</v>
      </c>
      <c r="U228" s="117" t="b">
        <v>0</v>
      </c>
      <c r="V228" s="117" t="b">
        <v>0</v>
      </c>
      <c r="W228" s="117" t="b">
        <v>1</v>
      </c>
      <c r="X228" s="117" t="b">
        <v>1</v>
      </c>
      <c r="Y228" s="117" t="b">
        <v>0</v>
      </c>
      <c r="Z228" s="117" t="b">
        <v>0</v>
      </c>
      <c r="AA228" s="117"/>
      <c r="AB228" s="117" t="s">
        <v>211</v>
      </c>
      <c r="AC228" s="117"/>
      <c r="AD228" s="117"/>
      <c r="AE228" s="117"/>
      <c r="AF228" s="117"/>
      <c r="AG228" s="117" t="s">
        <v>212</v>
      </c>
      <c r="AH228" s="117">
        <v>3174080202860000</v>
      </c>
      <c r="AI228" s="117" t="s">
        <v>68</v>
      </c>
      <c r="AJ228" s="117" t="s">
        <v>32</v>
      </c>
      <c r="AK228" s="117"/>
      <c r="AL228" s="117">
        <v>6285892021430</v>
      </c>
      <c r="AM228" s="117"/>
      <c r="AN228" s="117"/>
      <c r="AO228" s="117" t="s">
        <v>214</v>
      </c>
      <c r="AP228" s="117"/>
      <c r="AQ228" s="117" t="s">
        <v>183</v>
      </c>
      <c r="AR228" s="117" t="s">
        <v>1906</v>
      </c>
      <c r="AS228" s="117" t="s">
        <v>184</v>
      </c>
      <c r="AT228" s="117" t="s">
        <v>1919</v>
      </c>
      <c r="AU228" s="117" t="b">
        <v>1</v>
      </c>
      <c r="AV228" s="117" t="b">
        <v>1</v>
      </c>
      <c r="AW228" s="117">
        <v>2613051040</v>
      </c>
      <c r="AX228" s="117" t="s">
        <v>210</v>
      </c>
      <c r="AY228" s="117" t="s">
        <v>2042</v>
      </c>
      <c r="AZ228" s="117" t="s">
        <v>2043</v>
      </c>
      <c r="BA228" s="117" t="b">
        <v>1</v>
      </c>
      <c r="BB228" s="117" t="b">
        <v>1</v>
      </c>
      <c r="BC228" s="117"/>
      <c r="BD228" s="117"/>
      <c r="BE228" s="117">
        <v>0</v>
      </c>
    </row>
    <row r="229" spans="1:57" ht="16">
      <c r="A229" s="117" t="s">
        <v>2752</v>
      </c>
      <c r="B229" s="117" t="s">
        <v>181</v>
      </c>
      <c r="C229" s="117" t="s">
        <v>182</v>
      </c>
      <c r="D229" s="117" t="s">
        <v>183</v>
      </c>
      <c r="E229" s="117" t="s">
        <v>184</v>
      </c>
      <c r="F229" s="117">
        <v>2613051141</v>
      </c>
      <c r="G229" s="117" t="s">
        <v>246</v>
      </c>
      <c r="H229" s="118">
        <v>2613051141</v>
      </c>
      <c r="I229" s="119" t="s">
        <v>246</v>
      </c>
      <c r="J229" s="120" t="s">
        <v>2508</v>
      </c>
      <c r="K229" s="120" t="s">
        <v>2508</v>
      </c>
      <c r="L229" s="118"/>
      <c r="M229" s="119"/>
      <c r="N229" s="118"/>
      <c r="O229" s="119"/>
      <c r="P229" s="117" t="s">
        <v>28</v>
      </c>
      <c r="Q229" s="117" t="s">
        <v>45</v>
      </c>
      <c r="R229" s="117" t="b">
        <v>1</v>
      </c>
      <c r="S229" s="117" t="b">
        <v>1</v>
      </c>
      <c r="T229" s="117" t="b">
        <v>1</v>
      </c>
      <c r="U229" s="117" t="b">
        <v>0</v>
      </c>
      <c r="V229" s="117" t="b">
        <v>0</v>
      </c>
      <c r="W229" s="117" t="b">
        <v>1</v>
      </c>
      <c r="X229" s="117" t="b">
        <v>1</v>
      </c>
      <c r="Y229" s="117" t="b">
        <v>0</v>
      </c>
      <c r="Z229" s="117" t="b">
        <v>0</v>
      </c>
      <c r="AA229" s="117"/>
      <c r="AB229" s="117" t="s">
        <v>247</v>
      </c>
      <c r="AC229" s="117"/>
      <c r="AD229" s="117"/>
      <c r="AE229" s="117"/>
      <c r="AF229" s="117"/>
      <c r="AG229" s="117" t="s">
        <v>248</v>
      </c>
      <c r="AH229" s="117">
        <v>3216011804900000</v>
      </c>
      <c r="AI229" s="117" t="s">
        <v>68</v>
      </c>
      <c r="AJ229" s="117" t="s">
        <v>32</v>
      </c>
      <c r="AK229" s="117"/>
      <c r="AL229" s="117">
        <v>6285714181518</v>
      </c>
      <c r="AM229" s="117"/>
      <c r="AN229" s="117"/>
      <c r="AO229" s="117" t="s">
        <v>250</v>
      </c>
      <c r="AP229" s="117"/>
      <c r="AQ229" s="117" t="s">
        <v>183</v>
      </c>
      <c r="AR229" s="117" t="s">
        <v>1906</v>
      </c>
      <c r="AS229" s="117" t="s">
        <v>184</v>
      </c>
      <c r="AT229" s="117" t="s">
        <v>1919</v>
      </c>
      <c r="AU229" s="117" t="b">
        <v>1</v>
      </c>
      <c r="AV229" s="117" t="b">
        <v>1</v>
      </c>
      <c r="AW229" s="117">
        <v>2613051141</v>
      </c>
      <c r="AX229" s="117" t="s">
        <v>246</v>
      </c>
      <c r="AY229" s="117" t="s">
        <v>2056</v>
      </c>
      <c r="AZ229" s="117" t="s">
        <v>2057</v>
      </c>
      <c r="BA229" s="117" t="b">
        <v>1</v>
      </c>
      <c r="BB229" s="117" t="b">
        <v>1</v>
      </c>
      <c r="BC229" s="117"/>
      <c r="BD229" s="117"/>
      <c r="BE229" s="117">
        <v>0</v>
      </c>
    </row>
    <row r="230" spans="1:57" ht="16">
      <c r="A230" s="117" t="s">
        <v>2752</v>
      </c>
      <c r="B230" s="117" t="s">
        <v>181</v>
      </c>
      <c r="C230" s="117" t="s">
        <v>182</v>
      </c>
      <c r="D230" s="117" t="s">
        <v>183</v>
      </c>
      <c r="E230" s="117" t="s">
        <v>184</v>
      </c>
      <c r="F230" s="117" t="s">
        <v>1362</v>
      </c>
      <c r="G230" s="117" t="s">
        <v>1363</v>
      </c>
      <c r="H230" s="118" t="s">
        <v>1362</v>
      </c>
      <c r="I230" s="119" t="s">
        <v>1363</v>
      </c>
      <c r="J230" s="120" t="s">
        <v>2508</v>
      </c>
      <c r="K230" s="120" t="s">
        <v>2508</v>
      </c>
      <c r="L230" s="118"/>
      <c r="M230" s="119"/>
      <c r="N230" s="118"/>
      <c r="O230" s="119"/>
      <c r="P230" s="117" t="s">
        <v>28</v>
      </c>
      <c r="Q230" s="117" t="s">
        <v>45</v>
      </c>
      <c r="R230" s="117" t="b">
        <v>1</v>
      </c>
      <c r="S230" s="117" t="b">
        <v>1</v>
      </c>
      <c r="T230" s="117" t="b">
        <v>1</v>
      </c>
      <c r="U230" s="117" t="b">
        <v>0</v>
      </c>
      <c r="V230" s="117" t="b">
        <v>0</v>
      </c>
      <c r="W230" s="117" t="b">
        <v>1</v>
      </c>
      <c r="X230" s="117" t="b">
        <v>1</v>
      </c>
      <c r="Y230" s="117" t="b">
        <v>0</v>
      </c>
      <c r="Z230" s="117" t="b">
        <v>0</v>
      </c>
      <c r="AA230" s="117"/>
      <c r="AB230" s="117" t="s">
        <v>1364</v>
      </c>
      <c r="AC230" s="117"/>
      <c r="AD230" s="117"/>
      <c r="AE230" s="117"/>
      <c r="AF230" s="117"/>
      <c r="AG230" s="117" t="s">
        <v>1365</v>
      </c>
      <c r="AH230" s="117">
        <v>3174082301800000</v>
      </c>
      <c r="AI230" s="117" t="s">
        <v>68</v>
      </c>
      <c r="AJ230" s="117" t="s">
        <v>32</v>
      </c>
      <c r="AK230" s="117"/>
      <c r="AL230" s="117">
        <v>6285711122656</v>
      </c>
      <c r="AM230" s="117"/>
      <c r="AN230" s="117"/>
      <c r="AO230" s="117" t="s">
        <v>1367</v>
      </c>
      <c r="AP230" s="117"/>
      <c r="AQ230" s="117" t="s">
        <v>183</v>
      </c>
      <c r="AR230" s="117" t="s">
        <v>1906</v>
      </c>
      <c r="AS230" s="117" t="s">
        <v>184</v>
      </c>
      <c r="AT230" s="117" t="s">
        <v>1919</v>
      </c>
      <c r="AU230" s="117" t="b">
        <v>1</v>
      </c>
      <c r="AV230" s="117" t="b">
        <v>1</v>
      </c>
      <c r="AW230" s="117" t="s">
        <v>1362</v>
      </c>
      <c r="AX230" s="117" t="s">
        <v>1363</v>
      </c>
      <c r="AY230" s="117" t="s">
        <v>2350</v>
      </c>
      <c r="AZ230" s="117" t="s">
        <v>2351</v>
      </c>
      <c r="BA230" s="117" t="b">
        <v>1</v>
      </c>
      <c r="BB230" s="117" t="b">
        <v>1</v>
      </c>
      <c r="BC230" s="117"/>
      <c r="BD230" s="117"/>
      <c r="BE230" s="117">
        <v>0</v>
      </c>
    </row>
    <row r="231" spans="1:57" ht="16">
      <c r="A231" s="117" t="s">
        <v>2752</v>
      </c>
      <c r="B231" s="117" t="s">
        <v>181</v>
      </c>
      <c r="C231" s="117" t="s">
        <v>182</v>
      </c>
      <c r="D231" s="117" t="s">
        <v>183</v>
      </c>
      <c r="E231" s="117" t="s">
        <v>184</v>
      </c>
      <c r="F231" s="117" t="s">
        <v>1368</v>
      </c>
      <c r="G231" s="117" t="s">
        <v>1369</v>
      </c>
      <c r="H231" s="118" t="s">
        <v>1368</v>
      </c>
      <c r="I231" s="119" t="s">
        <v>1369</v>
      </c>
      <c r="J231" s="120" t="s">
        <v>2508</v>
      </c>
      <c r="K231" s="120" t="s">
        <v>2508</v>
      </c>
      <c r="L231" s="118"/>
      <c r="M231" s="119"/>
      <c r="N231" s="118"/>
      <c r="O231" s="119"/>
      <c r="P231" s="117" t="s">
        <v>28</v>
      </c>
      <c r="Q231" s="117" t="s">
        <v>45</v>
      </c>
      <c r="R231" s="117" t="b">
        <v>1</v>
      </c>
      <c r="S231" s="117" t="b">
        <v>1</v>
      </c>
      <c r="T231" s="117" t="b">
        <v>1</v>
      </c>
      <c r="U231" s="117" t="b">
        <v>0</v>
      </c>
      <c r="V231" s="117" t="b">
        <v>0</v>
      </c>
      <c r="W231" s="117" t="b">
        <v>1</v>
      </c>
      <c r="X231" s="117" t="b">
        <v>1</v>
      </c>
      <c r="Y231" s="117" t="b">
        <v>0</v>
      </c>
      <c r="Z231" s="117" t="b">
        <v>0</v>
      </c>
      <c r="AA231" s="117"/>
      <c r="AB231" s="117" t="s">
        <v>1370</v>
      </c>
      <c r="AC231" s="117"/>
      <c r="AD231" s="117"/>
      <c r="AE231" s="117"/>
      <c r="AF231" s="117"/>
      <c r="AG231" s="117" t="s">
        <v>1371</v>
      </c>
      <c r="AH231" s="117">
        <v>3209121111960010</v>
      </c>
      <c r="AI231" s="117" t="s">
        <v>68</v>
      </c>
      <c r="AJ231" s="117" t="s">
        <v>32</v>
      </c>
      <c r="AK231" s="117"/>
      <c r="AL231" s="117">
        <v>6285711122663</v>
      </c>
      <c r="AM231" s="117"/>
      <c r="AN231" s="117"/>
      <c r="AO231" s="117" t="s">
        <v>1373</v>
      </c>
      <c r="AP231" s="117"/>
      <c r="AQ231" s="117" t="s">
        <v>183</v>
      </c>
      <c r="AR231" s="117" t="s">
        <v>1906</v>
      </c>
      <c r="AS231" s="117" t="s">
        <v>184</v>
      </c>
      <c r="AT231" s="117" t="s">
        <v>1919</v>
      </c>
      <c r="AU231" s="117" t="b">
        <v>1</v>
      </c>
      <c r="AV231" s="117" t="b">
        <v>1</v>
      </c>
      <c r="AW231" s="117" t="s">
        <v>1368</v>
      </c>
      <c r="AX231" s="117" t="s">
        <v>1369</v>
      </c>
      <c r="AY231" s="117" t="s">
        <v>2352</v>
      </c>
      <c r="AZ231" s="117" t="s">
        <v>2353</v>
      </c>
      <c r="BA231" s="117" t="b">
        <v>1</v>
      </c>
      <c r="BB231" s="117" t="b">
        <v>1</v>
      </c>
      <c r="BC231" s="117"/>
      <c r="BD231" s="117"/>
      <c r="BE231" s="117">
        <v>0</v>
      </c>
    </row>
    <row r="232" spans="1:57" ht="16">
      <c r="A232" s="117" t="s">
        <v>2752</v>
      </c>
      <c r="B232" s="117" t="s">
        <v>181</v>
      </c>
      <c r="C232" s="117" t="s">
        <v>182</v>
      </c>
      <c r="D232" s="117" t="s">
        <v>183</v>
      </c>
      <c r="E232" s="117" t="s">
        <v>184</v>
      </c>
      <c r="F232" s="117" t="s">
        <v>1374</v>
      </c>
      <c r="G232" s="117" t="s">
        <v>1375</v>
      </c>
      <c r="H232" s="118" t="s">
        <v>1374</v>
      </c>
      <c r="I232" s="119" t="s">
        <v>1375</v>
      </c>
      <c r="J232" s="120" t="s">
        <v>2508</v>
      </c>
      <c r="K232" s="120" t="s">
        <v>2508</v>
      </c>
      <c r="L232" s="118"/>
      <c r="M232" s="119"/>
      <c r="N232" s="118"/>
      <c r="O232" s="119"/>
      <c r="P232" s="117" t="s">
        <v>28</v>
      </c>
      <c r="Q232" s="117" t="s">
        <v>45</v>
      </c>
      <c r="R232" s="117" t="b">
        <v>1</v>
      </c>
      <c r="S232" s="117" t="b">
        <v>1</v>
      </c>
      <c r="T232" s="117" t="b">
        <v>1</v>
      </c>
      <c r="U232" s="117" t="b">
        <v>0</v>
      </c>
      <c r="V232" s="117" t="b">
        <v>0</v>
      </c>
      <c r="W232" s="117" t="b">
        <v>1</v>
      </c>
      <c r="X232" s="117" t="b">
        <v>1</v>
      </c>
      <c r="Y232" s="117" t="b">
        <v>0</v>
      </c>
      <c r="Z232" s="117" t="b">
        <v>0</v>
      </c>
      <c r="AA232" s="117"/>
      <c r="AB232" s="117" t="s">
        <v>1376</v>
      </c>
      <c r="AC232" s="117"/>
      <c r="AD232" s="117"/>
      <c r="AE232" s="117"/>
      <c r="AF232" s="117"/>
      <c r="AG232" s="117" t="s">
        <v>1377</v>
      </c>
      <c r="AH232" s="117">
        <v>3174080811770010</v>
      </c>
      <c r="AI232" s="117" t="s">
        <v>68</v>
      </c>
      <c r="AJ232" s="117" t="s">
        <v>32</v>
      </c>
      <c r="AK232" s="117"/>
      <c r="AL232" s="117">
        <v>6285711122856</v>
      </c>
      <c r="AM232" s="117"/>
      <c r="AN232" s="117"/>
      <c r="AO232" s="117" t="s">
        <v>1379</v>
      </c>
      <c r="AP232" s="117"/>
      <c r="AQ232" s="117" t="s">
        <v>183</v>
      </c>
      <c r="AR232" s="117" t="s">
        <v>1906</v>
      </c>
      <c r="AS232" s="117" t="s">
        <v>184</v>
      </c>
      <c r="AT232" s="117" t="s">
        <v>1919</v>
      </c>
      <c r="AU232" s="117" t="b">
        <v>1</v>
      </c>
      <c r="AV232" s="117" t="b">
        <v>1</v>
      </c>
      <c r="AW232" s="117" t="s">
        <v>1374</v>
      </c>
      <c r="AX232" s="117" t="s">
        <v>1375</v>
      </c>
      <c r="AY232" s="117" t="s">
        <v>2354</v>
      </c>
      <c r="AZ232" s="117" t="s">
        <v>2355</v>
      </c>
      <c r="BA232" s="117" t="b">
        <v>1</v>
      </c>
      <c r="BB232" s="117" t="b">
        <v>1</v>
      </c>
      <c r="BC232" s="117"/>
      <c r="BD232" s="117"/>
      <c r="BE232" s="117">
        <v>0</v>
      </c>
    </row>
    <row r="233" spans="1:57" ht="16">
      <c r="A233" s="117" t="s">
        <v>2752</v>
      </c>
      <c r="B233" s="117" t="s">
        <v>181</v>
      </c>
      <c r="C233" s="117" t="s">
        <v>182</v>
      </c>
      <c r="D233" s="117" t="s">
        <v>183</v>
      </c>
      <c r="E233" s="117" t="s">
        <v>184</v>
      </c>
      <c r="F233" s="117" t="s">
        <v>1380</v>
      </c>
      <c r="G233" s="117" t="s">
        <v>1381</v>
      </c>
      <c r="H233" s="118" t="s">
        <v>1380</v>
      </c>
      <c r="I233" s="119" t="s">
        <v>1381</v>
      </c>
      <c r="J233" s="120" t="s">
        <v>2508</v>
      </c>
      <c r="K233" s="120" t="s">
        <v>2508</v>
      </c>
      <c r="L233" s="118"/>
      <c r="M233" s="119"/>
      <c r="N233" s="118"/>
      <c r="O233" s="119"/>
      <c r="P233" s="117" t="s">
        <v>28</v>
      </c>
      <c r="Q233" s="117" t="s">
        <v>45</v>
      </c>
      <c r="R233" s="117" t="b">
        <v>1</v>
      </c>
      <c r="S233" s="117" t="b">
        <v>1</v>
      </c>
      <c r="T233" s="117" t="b">
        <v>1</v>
      </c>
      <c r="U233" s="117" t="b">
        <v>0</v>
      </c>
      <c r="V233" s="117" t="b">
        <v>0</v>
      </c>
      <c r="W233" s="117" t="b">
        <v>1</v>
      </c>
      <c r="X233" s="117" t="b">
        <v>1</v>
      </c>
      <c r="Y233" s="117" t="b">
        <v>0</v>
      </c>
      <c r="Z233" s="117" t="b">
        <v>0</v>
      </c>
      <c r="AA233" s="117"/>
      <c r="AB233" s="117" t="s">
        <v>1382</v>
      </c>
      <c r="AC233" s="117"/>
      <c r="AD233" s="117"/>
      <c r="AE233" s="117"/>
      <c r="AF233" s="117"/>
      <c r="AG233" s="117" t="s">
        <v>1383</v>
      </c>
      <c r="AH233" s="117">
        <v>3174082611700000</v>
      </c>
      <c r="AI233" s="117" t="s">
        <v>68</v>
      </c>
      <c r="AJ233" s="117" t="s">
        <v>32</v>
      </c>
      <c r="AK233" s="117"/>
      <c r="AL233" s="117">
        <v>6285711122858</v>
      </c>
      <c r="AM233" s="117"/>
      <c r="AN233" s="117"/>
      <c r="AO233" s="117" t="s">
        <v>1385</v>
      </c>
      <c r="AP233" s="117"/>
      <c r="AQ233" s="117" t="s">
        <v>183</v>
      </c>
      <c r="AR233" s="117" t="s">
        <v>1906</v>
      </c>
      <c r="AS233" s="117" t="s">
        <v>184</v>
      </c>
      <c r="AT233" s="117" t="s">
        <v>1919</v>
      </c>
      <c r="AU233" s="117" t="b">
        <v>1</v>
      </c>
      <c r="AV233" s="117" t="b">
        <v>1</v>
      </c>
      <c r="AW233" s="117" t="s">
        <v>1380</v>
      </c>
      <c r="AX233" s="117" t="s">
        <v>1381</v>
      </c>
      <c r="AY233" s="117" t="s">
        <v>2356</v>
      </c>
      <c r="AZ233" s="117" t="s">
        <v>2357</v>
      </c>
      <c r="BA233" s="117" t="b">
        <v>1</v>
      </c>
      <c r="BB233" s="117" t="b">
        <v>1</v>
      </c>
      <c r="BC233" s="117"/>
      <c r="BD233" s="117"/>
      <c r="BE233" s="117">
        <v>0</v>
      </c>
    </row>
    <row r="234" spans="1:57" ht="16">
      <c r="A234" s="117" t="s">
        <v>2752</v>
      </c>
      <c r="B234" s="117" t="s">
        <v>161</v>
      </c>
      <c r="C234" s="117" t="s">
        <v>162</v>
      </c>
      <c r="D234" s="117" t="s">
        <v>163</v>
      </c>
      <c r="E234" s="117" t="s">
        <v>164</v>
      </c>
      <c r="F234" s="117">
        <v>2613051003</v>
      </c>
      <c r="G234" s="117" t="s">
        <v>166</v>
      </c>
      <c r="H234" s="118">
        <v>2613051003</v>
      </c>
      <c r="I234" s="119" t="s">
        <v>166</v>
      </c>
      <c r="J234" s="120" t="s">
        <v>2508</v>
      </c>
      <c r="K234" s="120" t="s">
        <v>2508</v>
      </c>
      <c r="L234" s="118"/>
      <c r="M234" s="119"/>
      <c r="N234" s="118"/>
      <c r="O234" s="119"/>
      <c r="P234" s="117" t="s">
        <v>28</v>
      </c>
      <c r="Q234" s="117" t="s">
        <v>45</v>
      </c>
      <c r="R234" s="117" t="b">
        <v>1</v>
      </c>
      <c r="S234" s="117" t="b">
        <v>1</v>
      </c>
      <c r="T234" s="117" t="b">
        <v>1</v>
      </c>
      <c r="U234" s="117" t="b">
        <v>0</v>
      </c>
      <c r="V234" s="117" t="b">
        <v>0</v>
      </c>
      <c r="W234" s="117" t="b">
        <v>1</v>
      </c>
      <c r="X234" s="117" t="b">
        <v>1</v>
      </c>
      <c r="Y234" s="117" t="b">
        <v>0</v>
      </c>
      <c r="Z234" s="117" t="b">
        <v>0</v>
      </c>
      <c r="AA234" s="117"/>
      <c r="AB234" s="117" t="s">
        <v>167</v>
      </c>
      <c r="AC234" s="117"/>
      <c r="AD234" s="117"/>
      <c r="AE234" s="117"/>
      <c r="AF234" s="117"/>
      <c r="AG234" s="117" t="s">
        <v>168</v>
      </c>
      <c r="AH234" s="117">
        <v>3175100501860000</v>
      </c>
      <c r="AI234" s="117" t="s">
        <v>68</v>
      </c>
      <c r="AJ234" s="117" t="s">
        <v>32</v>
      </c>
      <c r="AK234" s="117"/>
      <c r="AL234" s="117">
        <v>6285892014016</v>
      </c>
      <c r="AM234" s="117"/>
      <c r="AN234" s="117"/>
      <c r="AO234" s="117" t="s">
        <v>170</v>
      </c>
      <c r="AP234" s="117"/>
      <c r="AQ234" s="117" t="s">
        <v>163</v>
      </c>
      <c r="AR234" s="117" t="s">
        <v>1906</v>
      </c>
      <c r="AS234" s="117" t="s">
        <v>164</v>
      </c>
      <c r="AT234" s="117" t="s">
        <v>1918</v>
      </c>
      <c r="AU234" s="117" t="b">
        <v>1</v>
      </c>
      <c r="AV234" s="117" t="b">
        <v>1</v>
      </c>
      <c r="AW234" s="117">
        <v>2613051003</v>
      </c>
      <c r="AX234" s="117" t="s">
        <v>166</v>
      </c>
      <c r="AY234" s="117" t="s">
        <v>2026</v>
      </c>
      <c r="AZ234" s="117" t="s">
        <v>2027</v>
      </c>
      <c r="BA234" s="117" t="b">
        <v>1</v>
      </c>
      <c r="BB234" s="117" t="b">
        <v>1</v>
      </c>
      <c r="BC234" s="117"/>
      <c r="BD234" s="117"/>
      <c r="BE234" s="117">
        <v>0</v>
      </c>
    </row>
    <row r="235" spans="1:57" ht="16">
      <c r="A235" s="117" t="s">
        <v>2752</v>
      </c>
      <c r="B235" s="117" t="s">
        <v>161</v>
      </c>
      <c r="C235" s="117" t="s">
        <v>162</v>
      </c>
      <c r="D235" s="117" t="s">
        <v>163</v>
      </c>
      <c r="E235" s="117" t="s">
        <v>164</v>
      </c>
      <c r="F235" s="117">
        <v>2613051004</v>
      </c>
      <c r="G235" s="117" t="s">
        <v>171</v>
      </c>
      <c r="H235" s="118">
        <v>2613051004</v>
      </c>
      <c r="I235" s="119" t="s">
        <v>171</v>
      </c>
      <c r="J235" s="120" t="s">
        <v>2508</v>
      </c>
      <c r="K235" s="120" t="s">
        <v>2508</v>
      </c>
      <c r="L235" s="118"/>
      <c r="M235" s="119"/>
      <c r="N235" s="118"/>
      <c r="O235" s="119"/>
      <c r="P235" s="117" t="s">
        <v>28</v>
      </c>
      <c r="Q235" s="117" t="s">
        <v>45</v>
      </c>
      <c r="R235" s="117" t="b">
        <v>1</v>
      </c>
      <c r="S235" s="117" t="b">
        <v>1</v>
      </c>
      <c r="T235" s="117" t="b">
        <v>1</v>
      </c>
      <c r="U235" s="117" t="b">
        <v>0</v>
      </c>
      <c r="V235" s="117" t="b">
        <v>0</v>
      </c>
      <c r="W235" s="117" t="b">
        <v>1</v>
      </c>
      <c r="X235" s="117" t="b">
        <v>1</v>
      </c>
      <c r="Y235" s="117" t="b">
        <v>0</v>
      </c>
      <c r="Z235" s="117" t="b">
        <v>0</v>
      </c>
      <c r="AA235" s="117"/>
      <c r="AB235" s="117" t="s">
        <v>172</v>
      </c>
      <c r="AC235" s="117"/>
      <c r="AD235" s="117"/>
      <c r="AE235" s="117"/>
      <c r="AF235" s="117"/>
      <c r="AG235" s="117" t="s">
        <v>173</v>
      </c>
      <c r="AH235" s="117">
        <v>1609032703010000</v>
      </c>
      <c r="AI235" s="117" t="s">
        <v>68</v>
      </c>
      <c r="AJ235" s="117" t="s">
        <v>32</v>
      </c>
      <c r="AK235" s="117"/>
      <c r="AL235" s="117">
        <v>6285892009255</v>
      </c>
      <c r="AM235" s="117"/>
      <c r="AN235" s="117"/>
      <c r="AO235" s="117" t="s">
        <v>175</v>
      </c>
      <c r="AP235" s="117"/>
      <c r="AQ235" s="117" t="s">
        <v>163</v>
      </c>
      <c r="AR235" s="117" t="s">
        <v>1906</v>
      </c>
      <c r="AS235" s="117" t="s">
        <v>164</v>
      </c>
      <c r="AT235" s="117" t="s">
        <v>1918</v>
      </c>
      <c r="AU235" s="117" t="b">
        <v>1</v>
      </c>
      <c r="AV235" s="117" t="b">
        <v>1</v>
      </c>
      <c r="AW235" s="117">
        <v>2613051004</v>
      </c>
      <c r="AX235" s="117" t="s">
        <v>171</v>
      </c>
      <c r="AY235" s="117" t="s">
        <v>2028</v>
      </c>
      <c r="AZ235" s="117" t="s">
        <v>2029</v>
      </c>
      <c r="BA235" s="117" t="b">
        <v>1</v>
      </c>
      <c r="BB235" s="117" t="b">
        <v>1</v>
      </c>
      <c r="BC235" s="117"/>
      <c r="BD235" s="117"/>
      <c r="BE235" s="117">
        <v>0</v>
      </c>
    </row>
    <row r="236" spans="1:57" ht="16">
      <c r="A236" s="117" t="s">
        <v>2752</v>
      </c>
      <c r="B236" s="117" t="s">
        <v>161</v>
      </c>
      <c r="C236" s="117" t="s">
        <v>162</v>
      </c>
      <c r="D236" s="117" t="s">
        <v>163</v>
      </c>
      <c r="E236" s="117" t="s">
        <v>164</v>
      </c>
      <c r="F236" s="117">
        <v>2613051005</v>
      </c>
      <c r="G236" s="117" t="s">
        <v>176</v>
      </c>
      <c r="H236" s="118">
        <v>2613051005</v>
      </c>
      <c r="I236" s="119" t="s">
        <v>176</v>
      </c>
      <c r="J236" s="120" t="s">
        <v>2508</v>
      </c>
      <c r="K236" s="120" t="s">
        <v>2508</v>
      </c>
      <c r="L236" s="118"/>
      <c r="M236" s="119"/>
      <c r="N236" s="118"/>
      <c r="O236" s="119"/>
      <c r="P236" s="117" t="s">
        <v>28</v>
      </c>
      <c r="Q236" s="117" t="s">
        <v>45</v>
      </c>
      <c r="R236" s="117" t="b">
        <v>1</v>
      </c>
      <c r="S236" s="117" t="b">
        <v>1</v>
      </c>
      <c r="T236" s="117" t="b">
        <v>1</v>
      </c>
      <c r="U236" s="117" t="b">
        <v>0</v>
      </c>
      <c r="V236" s="117" t="b">
        <v>0</v>
      </c>
      <c r="W236" s="117" t="b">
        <v>1</v>
      </c>
      <c r="X236" s="117" t="b">
        <v>1</v>
      </c>
      <c r="Y236" s="117" t="b">
        <v>0</v>
      </c>
      <c r="Z236" s="117" t="b">
        <v>0</v>
      </c>
      <c r="AA236" s="117"/>
      <c r="AB236" s="117" t="s">
        <v>177</v>
      </c>
      <c r="AC236" s="117"/>
      <c r="AD236" s="117"/>
      <c r="AE236" s="117"/>
      <c r="AF236" s="117"/>
      <c r="AG236" s="117" t="s">
        <v>178</v>
      </c>
      <c r="AH236" s="117">
        <v>7601021908900000</v>
      </c>
      <c r="AI236" s="117" t="s">
        <v>68</v>
      </c>
      <c r="AJ236" s="117" t="s">
        <v>32</v>
      </c>
      <c r="AK236" s="117"/>
      <c r="AL236" s="117">
        <v>6285882551119</v>
      </c>
      <c r="AM236" s="117"/>
      <c r="AN236" s="117"/>
      <c r="AO236" s="117" t="s">
        <v>180</v>
      </c>
      <c r="AP236" s="117"/>
      <c r="AQ236" s="117" t="s">
        <v>163</v>
      </c>
      <c r="AR236" s="117" t="s">
        <v>1906</v>
      </c>
      <c r="AS236" s="117" t="s">
        <v>164</v>
      </c>
      <c r="AT236" s="117" t="s">
        <v>1918</v>
      </c>
      <c r="AU236" s="117" t="b">
        <v>1</v>
      </c>
      <c r="AV236" s="117" t="b">
        <v>1</v>
      </c>
      <c r="AW236" s="117">
        <v>2613051005</v>
      </c>
      <c r="AX236" s="117" t="s">
        <v>176</v>
      </c>
      <c r="AY236" s="117" t="s">
        <v>2030</v>
      </c>
      <c r="AZ236" s="117" t="s">
        <v>2031</v>
      </c>
      <c r="BA236" s="117" t="b">
        <v>1</v>
      </c>
      <c r="BB236" s="117" t="b">
        <v>1</v>
      </c>
      <c r="BC236" s="117"/>
      <c r="BD236" s="117"/>
      <c r="BE236" s="117">
        <v>0</v>
      </c>
    </row>
    <row r="237" spans="1:57" ht="16">
      <c r="A237" s="117" t="s">
        <v>2752</v>
      </c>
      <c r="B237" s="117" t="s">
        <v>161</v>
      </c>
      <c r="C237" s="117" t="s">
        <v>162</v>
      </c>
      <c r="D237" s="117" t="s">
        <v>163</v>
      </c>
      <c r="E237" s="117" t="s">
        <v>164</v>
      </c>
      <c r="F237" s="117">
        <v>2613051012</v>
      </c>
      <c r="G237" s="117" t="s">
        <v>195</v>
      </c>
      <c r="H237" s="118">
        <v>2613051012</v>
      </c>
      <c r="I237" s="119" t="s">
        <v>195</v>
      </c>
      <c r="J237" s="120" t="s">
        <v>2508</v>
      </c>
      <c r="K237" s="120" t="s">
        <v>2508</v>
      </c>
      <c r="L237" s="118"/>
      <c r="M237" s="119"/>
      <c r="N237" s="118"/>
      <c r="O237" s="119"/>
      <c r="P237" s="117" t="s">
        <v>28</v>
      </c>
      <c r="Q237" s="117" t="s">
        <v>45</v>
      </c>
      <c r="R237" s="117" t="b">
        <v>1</v>
      </c>
      <c r="S237" s="117" t="b">
        <v>1</v>
      </c>
      <c r="T237" s="117" t="b">
        <v>1</v>
      </c>
      <c r="U237" s="117" t="b">
        <v>0</v>
      </c>
      <c r="V237" s="117" t="b">
        <v>0</v>
      </c>
      <c r="W237" s="117" t="b">
        <v>1</v>
      </c>
      <c r="X237" s="117" t="b">
        <v>1</v>
      </c>
      <c r="Y237" s="117" t="b">
        <v>0</v>
      </c>
      <c r="Z237" s="117" t="b">
        <v>0</v>
      </c>
      <c r="AA237" s="117"/>
      <c r="AB237" s="117" t="s">
        <v>196</v>
      </c>
      <c r="AC237" s="117"/>
      <c r="AD237" s="117"/>
      <c r="AE237" s="117"/>
      <c r="AF237" s="117"/>
      <c r="AG237" s="117" t="s">
        <v>197</v>
      </c>
      <c r="AH237" s="117">
        <v>3276012704810000</v>
      </c>
      <c r="AI237" s="117" t="s">
        <v>68</v>
      </c>
      <c r="AJ237" s="117" t="s">
        <v>32</v>
      </c>
      <c r="AK237" s="117"/>
      <c r="AL237" s="117">
        <v>6285882277374</v>
      </c>
      <c r="AM237" s="117"/>
      <c r="AN237" s="117"/>
      <c r="AO237" s="117" t="s">
        <v>199</v>
      </c>
      <c r="AP237" s="117"/>
      <c r="AQ237" s="117" t="s">
        <v>163</v>
      </c>
      <c r="AR237" s="117" t="s">
        <v>1906</v>
      </c>
      <c r="AS237" s="117" t="s">
        <v>164</v>
      </c>
      <c r="AT237" s="117" t="s">
        <v>1918</v>
      </c>
      <c r="AU237" s="117" t="b">
        <v>1</v>
      </c>
      <c r="AV237" s="117" t="b">
        <v>1</v>
      </c>
      <c r="AW237" s="117">
        <v>2613051012</v>
      </c>
      <c r="AX237" s="117" t="s">
        <v>195</v>
      </c>
      <c r="AY237" s="117" t="s">
        <v>2036</v>
      </c>
      <c r="AZ237" s="117" t="s">
        <v>2037</v>
      </c>
      <c r="BA237" s="117" t="b">
        <v>1</v>
      </c>
      <c r="BB237" s="117" t="b">
        <v>1</v>
      </c>
      <c r="BC237" s="117"/>
      <c r="BD237" s="117"/>
      <c r="BE237" s="117">
        <v>0</v>
      </c>
    </row>
    <row r="238" spans="1:57" ht="16">
      <c r="A238" s="117" t="s">
        <v>2752</v>
      </c>
      <c r="B238" s="117" t="s">
        <v>161</v>
      </c>
      <c r="C238" s="117" t="s">
        <v>162</v>
      </c>
      <c r="D238" s="117" t="s">
        <v>163</v>
      </c>
      <c r="E238" s="117" t="s">
        <v>164</v>
      </c>
      <c r="F238" s="117">
        <v>2613051037</v>
      </c>
      <c r="G238" s="117" t="s">
        <v>200</v>
      </c>
      <c r="H238" s="118">
        <v>2613051037</v>
      </c>
      <c r="I238" s="119" t="s">
        <v>200</v>
      </c>
      <c r="J238" s="120" t="s">
        <v>2508</v>
      </c>
      <c r="K238" s="120" t="s">
        <v>2508</v>
      </c>
      <c r="L238" s="118"/>
      <c r="M238" s="119"/>
      <c r="N238" s="118"/>
      <c r="O238" s="119"/>
      <c r="P238" s="117" t="s">
        <v>28</v>
      </c>
      <c r="Q238" s="117" t="s">
        <v>45</v>
      </c>
      <c r="R238" s="117" t="b">
        <v>1</v>
      </c>
      <c r="S238" s="117" t="b">
        <v>1</v>
      </c>
      <c r="T238" s="117" t="b">
        <v>1</v>
      </c>
      <c r="U238" s="117" t="b">
        <v>0</v>
      </c>
      <c r="V238" s="117" t="b">
        <v>0</v>
      </c>
      <c r="W238" s="117" t="b">
        <v>1</v>
      </c>
      <c r="X238" s="117" t="b">
        <v>1</v>
      </c>
      <c r="Y238" s="117" t="b">
        <v>0</v>
      </c>
      <c r="Z238" s="117" t="b">
        <v>0</v>
      </c>
      <c r="AA238" s="117"/>
      <c r="AB238" s="117" t="s">
        <v>201</v>
      </c>
      <c r="AC238" s="117"/>
      <c r="AD238" s="117"/>
      <c r="AE238" s="117"/>
      <c r="AF238" s="117"/>
      <c r="AG238" s="117" t="s">
        <v>202</v>
      </c>
      <c r="AH238" s="117">
        <v>3175062310941000</v>
      </c>
      <c r="AI238" s="117" t="s">
        <v>68</v>
      </c>
      <c r="AJ238" s="117" t="s">
        <v>32</v>
      </c>
      <c r="AK238" s="117"/>
      <c r="AL238" s="117">
        <v>6285882605670</v>
      </c>
      <c r="AM238" s="117"/>
      <c r="AN238" s="117"/>
      <c r="AO238" s="117" t="s">
        <v>204</v>
      </c>
      <c r="AP238" s="117"/>
      <c r="AQ238" s="117" t="s">
        <v>163</v>
      </c>
      <c r="AR238" s="117" t="s">
        <v>1906</v>
      </c>
      <c r="AS238" s="117" t="s">
        <v>164</v>
      </c>
      <c r="AT238" s="117" t="s">
        <v>1918</v>
      </c>
      <c r="AU238" s="117" t="b">
        <v>1</v>
      </c>
      <c r="AV238" s="117" t="b">
        <v>1</v>
      </c>
      <c r="AW238" s="117">
        <v>2613051037</v>
      </c>
      <c r="AX238" s="117" t="s">
        <v>200</v>
      </c>
      <c r="AY238" s="117" t="s">
        <v>2038</v>
      </c>
      <c r="AZ238" s="117" t="s">
        <v>2039</v>
      </c>
      <c r="BA238" s="117" t="b">
        <v>1</v>
      </c>
      <c r="BB238" s="117" t="b">
        <v>1</v>
      </c>
      <c r="BC238" s="117"/>
      <c r="BD238" s="117"/>
      <c r="BE238" s="117">
        <v>0</v>
      </c>
    </row>
    <row r="239" spans="1:57" ht="16">
      <c r="A239" s="117" t="s">
        <v>2752</v>
      </c>
      <c r="B239" s="117" t="s">
        <v>161</v>
      </c>
      <c r="C239" s="117" t="s">
        <v>162</v>
      </c>
      <c r="D239" s="117" t="s">
        <v>163</v>
      </c>
      <c r="E239" s="117" t="s">
        <v>164</v>
      </c>
      <c r="F239" s="117">
        <v>2613051076</v>
      </c>
      <c r="G239" s="117" t="s">
        <v>215</v>
      </c>
      <c r="H239" s="118">
        <v>2613051076</v>
      </c>
      <c r="I239" s="119" t="s">
        <v>215</v>
      </c>
      <c r="J239" s="120" t="s">
        <v>2508</v>
      </c>
      <c r="K239" s="120" t="s">
        <v>2508</v>
      </c>
      <c r="L239" s="118"/>
      <c r="M239" s="119"/>
      <c r="N239" s="118"/>
      <c r="O239" s="119"/>
      <c r="P239" s="117" t="s">
        <v>28</v>
      </c>
      <c r="Q239" s="117" t="s">
        <v>45</v>
      </c>
      <c r="R239" s="117" t="b">
        <v>1</v>
      </c>
      <c r="S239" s="117" t="b">
        <v>1</v>
      </c>
      <c r="T239" s="117" t="b">
        <v>1</v>
      </c>
      <c r="U239" s="117" t="b">
        <v>0</v>
      </c>
      <c r="V239" s="117" t="b">
        <v>0</v>
      </c>
      <c r="W239" s="117" t="b">
        <v>1</v>
      </c>
      <c r="X239" s="117" t="b">
        <v>1</v>
      </c>
      <c r="Y239" s="117" t="b">
        <v>0</v>
      </c>
      <c r="Z239" s="117" t="b">
        <v>0</v>
      </c>
      <c r="AA239" s="117"/>
      <c r="AB239" s="117" t="s">
        <v>216</v>
      </c>
      <c r="AC239" s="117"/>
      <c r="AD239" s="117"/>
      <c r="AE239" s="117"/>
      <c r="AF239" s="117"/>
      <c r="AG239" s="117" t="s">
        <v>217</v>
      </c>
      <c r="AH239" s="117">
        <v>3175062201800000</v>
      </c>
      <c r="AI239" s="117" t="s">
        <v>68</v>
      </c>
      <c r="AJ239" s="117" t="s">
        <v>32</v>
      </c>
      <c r="AK239" s="117"/>
      <c r="AL239" s="117">
        <v>6285881887988</v>
      </c>
      <c r="AM239" s="117"/>
      <c r="AN239" s="117"/>
      <c r="AO239" s="117" t="s">
        <v>219</v>
      </c>
      <c r="AP239" s="117"/>
      <c r="AQ239" s="117" t="s">
        <v>163</v>
      </c>
      <c r="AR239" s="117" t="s">
        <v>1906</v>
      </c>
      <c r="AS239" s="117" t="s">
        <v>164</v>
      </c>
      <c r="AT239" s="117" t="s">
        <v>1918</v>
      </c>
      <c r="AU239" s="117" t="b">
        <v>1</v>
      </c>
      <c r="AV239" s="117" t="b">
        <v>1</v>
      </c>
      <c r="AW239" s="117">
        <v>2613051076</v>
      </c>
      <c r="AX239" s="117" t="s">
        <v>215</v>
      </c>
      <c r="AY239" s="117" t="s">
        <v>2044</v>
      </c>
      <c r="AZ239" s="117" t="s">
        <v>2045</v>
      </c>
      <c r="BA239" s="117" t="b">
        <v>1</v>
      </c>
      <c r="BB239" s="117" t="b">
        <v>1</v>
      </c>
      <c r="BC239" s="117"/>
      <c r="BD239" s="117"/>
      <c r="BE239" s="117">
        <v>0</v>
      </c>
    </row>
    <row r="240" spans="1:57" ht="16">
      <c r="A240" s="117" t="s">
        <v>2752</v>
      </c>
      <c r="B240" s="117" t="s">
        <v>161</v>
      </c>
      <c r="C240" s="117" t="s">
        <v>162</v>
      </c>
      <c r="D240" s="117" t="s">
        <v>163</v>
      </c>
      <c r="E240" s="117" t="s">
        <v>164</v>
      </c>
      <c r="F240" s="117" t="s">
        <v>1256</v>
      </c>
      <c r="G240" s="117" t="s">
        <v>1257</v>
      </c>
      <c r="H240" s="118" t="s">
        <v>1256</v>
      </c>
      <c r="I240" s="119" t="s">
        <v>1257</v>
      </c>
      <c r="J240" s="120" t="s">
        <v>2508</v>
      </c>
      <c r="K240" s="120" t="s">
        <v>2508</v>
      </c>
      <c r="L240" s="118"/>
      <c r="M240" s="119"/>
      <c r="N240" s="118"/>
      <c r="O240" s="119"/>
      <c r="P240" s="117" t="s">
        <v>28</v>
      </c>
      <c r="Q240" s="117" t="s">
        <v>45</v>
      </c>
      <c r="R240" s="117" t="b">
        <v>1</v>
      </c>
      <c r="S240" s="117" t="b">
        <v>1</v>
      </c>
      <c r="T240" s="117" t="b">
        <v>1</v>
      </c>
      <c r="U240" s="117" t="b">
        <v>0</v>
      </c>
      <c r="V240" s="117" t="b">
        <v>0</v>
      </c>
      <c r="W240" s="117" t="b">
        <v>1</v>
      </c>
      <c r="X240" s="117" t="b">
        <v>1</v>
      </c>
      <c r="Y240" s="117" t="b">
        <v>0</v>
      </c>
      <c r="Z240" s="117" t="b">
        <v>0</v>
      </c>
      <c r="AA240" s="117"/>
      <c r="AB240" s="117" t="s">
        <v>1258</v>
      </c>
      <c r="AC240" s="117"/>
      <c r="AD240" s="117"/>
      <c r="AE240" s="117"/>
      <c r="AF240" s="117"/>
      <c r="AG240" s="117" t="s">
        <v>1259</v>
      </c>
      <c r="AH240" s="117">
        <v>3313016501910000</v>
      </c>
      <c r="AI240" s="117" t="s">
        <v>119</v>
      </c>
      <c r="AJ240" s="117" t="s">
        <v>32</v>
      </c>
      <c r="AK240" s="117"/>
      <c r="AL240" s="117">
        <v>6285711122631</v>
      </c>
      <c r="AM240" s="117"/>
      <c r="AN240" s="117"/>
      <c r="AO240" s="117" t="s">
        <v>1261</v>
      </c>
      <c r="AP240" s="117"/>
      <c r="AQ240" s="117" t="s">
        <v>163</v>
      </c>
      <c r="AR240" s="117" t="s">
        <v>1906</v>
      </c>
      <c r="AS240" s="117" t="s">
        <v>164</v>
      </c>
      <c r="AT240" s="117" t="s">
        <v>1918</v>
      </c>
      <c r="AU240" s="117" t="b">
        <v>1</v>
      </c>
      <c r="AV240" s="117" t="b">
        <v>1</v>
      </c>
      <c r="AW240" s="117" t="s">
        <v>1256</v>
      </c>
      <c r="AX240" s="117" t="s">
        <v>1257</v>
      </c>
      <c r="AY240" s="117" t="s">
        <v>2330</v>
      </c>
      <c r="AZ240" s="117" t="s">
        <v>2331</v>
      </c>
      <c r="BA240" s="117" t="b">
        <v>1</v>
      </c>
      <c r="BB240" s="117" t="b">
        <v>1</v>
      </c>
      <c r="BC240" s="117"/>
      <c r="BD240" s="117"/>
      <c r="BE240" s="117">
        <v>0</v>
      </c>
    </row>
    <row r="241" spans="1:57" ht="16">
      <c r="A241" s="117" t="s">
        <v>2752</v>
      </c>
      <c r="B241" s="117" t="s">
        <v>161</v>
      </c>
      <c r="C241" s="117" t="s">
        <v>162</v>
      </c>
      <c r="D241" s="117" t="s">
        <v>163</v>
      </c>
      <c r="E241" s="117" t="s">
        <v>164</v>
      </c>
      <c r="F241" s="117" t="s">
        <v>1262</v>
      </c>
      <c r="G241" s="117" t="s">
        <v>1263</v>
      </c>
      <c r="H241" s="118" t="s">
        <v>1262</v>
      </c>
      <c r="I241" s="119" t="s">
        <v>1263</v>
      </c>
      <c r="J241" s="120" t="s">
        <v>2508</v>
      </c>
      <c r="K241" s="120" t="s">
        <v>2508</v>
      </c>
      <c r="L241" s="118"/>
      <c r="M241" s="119"/>
      <c r="N241" s="118"/>
      <c r="O241" s="119"/>
      <c r="P241" s="117" t="s">
        <v>28</v>
      </c>
      <c r="Q241" s="117" t="s">
        <v>45</v>
      </c>
      <c r="R241" s="117" t="b">
        <v>1</v>
      </c>
      <c r="S241" s="117" t="b">
        <v>1</v>
      </c>
      <c r="T241" s="117" t="b">
        <v>1</v>
      </c>
      <c r="U241" s="117" t="b">
        <v>0</v>
      </c>
      <c r="V241" s="117" t="b">
        <v>0</v>
      </c>
      <c r="W241" s="117" t="b">
        <v>1</v>
      </c>
      <c r="X241" s="117" t="b">
        <v>1</v>
      </c>
      <c r="Y241" s="117" t="b">
        <v>0</v>
      </c>
      <c r="Z241" s="117" t="b">
        <v>0</v>
      </c>
      <c r="AA241" s="117"/>
      <c r="AB241" s="117" t="s">
        <v>1264</v>
      </c>
      <c r="AC241" s="117"/>
      <c r="AD241" s="117"/>
      <c r="AE241" s="117"/>
      <c r="AF241" s="117"/>
      <c r="AG241" s="117" t="s">
        <v>1265</v>
      </c>
      <c r="AH241" s="117">
        <v>3328041109860000</v>
      </c>
      <c r="AI241" s="117" t="s">
        <v>68</v>
      </c>
      <c r="AJ241" s="117" t="s">
        <v>32</v>
      </c>
      <c r="AK241" s="117"/>
      <c r="AL241" s="117">
        <v>6285711122665</v>
      </c>
      <c r="AM241" s="117"/>
      <c r="AN241" s="117"/>
      <c r="AO241" s="117" t="s">
        <v>1267</v>
      </c>
      <c r="AP241" s="117"/>
      <c r="AQ241" s="117" t="s">
        <v>163</v>
      </c>
      <c r="AR241" s="117" t="s">
        <v>1906</v>
      </c>
      <c r="AS241" s="117" t="s">
        <v>164</v>
      </c>
      <c r="AT241" s="117" t="s">
        <v>1918</v>
      </c>
      <c r="AU241" s="117" t="b">
        <v>1</v>
      </c>
      <c r="AV241" s="117" t="b">
        <v>1</v>
      </c>
      <c r="AW241" s="117" t="s">
        <v>1262</v>
      </c>
      <c r="AX241" s="117" t="s">
        <v>1263</v>
      </c>
      <c r="AY241" s="117" t="s">
        <v>2332</v>
      </c>
      <c r="AZ241" s="117" t="s">
        <v>2333</v>
      </c>
      <c r="BA241" s="117" t="b">
        <v>1</v>
      </c>
      <c r="BB241" s="117" t="b">
        <v>1</v>
      </c>
      <c r="BC241" s="117"/>
      <c r="BD241" s="117"/>
      <c r="BE241" s="117">
        <v>0</v>
      </c>
    </row>
    <row r="242" spans="1:57" ht="16">
      <c r="A242" s="117" t="s">
        <v>2752</v>
      </c>
      <c r="B242" s="117" t="s">
        <v>161</v>
      </c>
      <c r="C242" s="117" t="s">
        <v>162</v>
      </c>
      <c r="D242" s="117" t="s">
        <v>163</v>
      </c>
      <c r="E242" s="117" t="s">
        <v>164</v>
      </c>
      <c r="F242" s="117" t="s">
        <v>1268</v>
      </c>
      <c r="G242" s="117" t="s">
        <v>1269</v>
      </c>
      <c r="H242" s="118" t="s">
        <v>1268</v>
      </c>
      <c r="I242" s="119" t="s">
        <v>1269</v>
      </c>
      <c r="J242" s="120" t="s">
        <v>2508</v>
      </c>
      <c r="K242" s="120" t="s">
        <v>2508</v>
      </c>
      <c r="L242" s="118"/>
      <c r="M242" s="119"/>
      <c r="N242" s="118"/>
      <c r="O242" s="119"/>
      <c r="P242" s="117" t="s">
        <v>28</v>
      </c>
      <c r="Q242" s="117" t="s">
        <v>45</v>
      </c>
      <c r="R242" s="117" t="b">
        <v>1</v>
      </c>
      <c r="S242" s="117" t="b">
        <v>1</v>
      </c>
      <c r="T242" s="117" t="b">
        <v>1</v>
      </c>
      <c r="U242" s="117" t="b">
        <v>0</v>
      </c>
      <c r="V242" s="117" t="b">
        <v>0</v>
      </c>
      <c r="W242" s="117" t="b">
        <v>1</v>
      </c>
      <c r="X242" s="117" t="b">
        <v>1</v>
      </c>
      <c r="Y242" s="117" t="b">
        <v>0</v>
      </c>
      <c r="Z242" s="117" t="b">
        <v>0</v>
      </c>
      <c r="AA242" s="117"/>
      <c r="AB242" s="117" t="s">
        <v>1270</v>
      </c>
      <c r="AC242" s="117"/>
      <c r="AD242" s="117"/>
      <c r="AE242" s="117"/>
      <c r="AF242" s="117"/>
      <c r="AG242" s="117" t="s">
        <v>1271</v>
      </c>
      <c r="AH242" s="117">
        <v>3173072211780000</v>
      </c>
      <c r="AI242" s="117" t="s">
        <v>68</v>
      </c>
      <c r="AJ242" s="117" t="s">
        <v>32</v>
      </c>
      <c r="AK242" s="117"/>
      <c r="AL242" s="117">
        <v>6285711122667</v>
      </c>
      <c r="AM242" s="117"/>
      <c r="AN242" s="117"/>
      <c r="AO242" s="117" t="s">
        <v>1273</v>
      </c>
      <c r="AP242" s="117"/>
      <c r="AQ242" s="117" t="s">
        <v>163</v>
      </c>
      <c r="AR242" s="117" t="s">
        <v>1906</v>
      </c>
      <c r="AS242" s="117" t="s">
        <v>164</v>
      </c>
      <c r="AT242" s="117" t="s">
        <v>1918</v>
      </c>
      <c r="AU242" s="117" t="b">
        <v>1</v>
      </c>
      <c r="AV242" s="117" t="b">
        <v>1</v>
      </c>
      <c r="AW242" s="117" t="s">
        <v>1268</v>
      </c>
      <c r="AX242" s="117" t="s">
        <v>1269</v>
      </c>
      <c r="AY242" s="117" t="s">
        <v>2334</v>
      </c>
      <c r="AZ242" s="117" t="s">
        <v>2335</v>
      </c>
      <c r="BA242" s="117" t="b">
        <v>1</v>
      </c>
      <c r="BB242" s="117" t="b">
        <v>1</v>
      </c>
      <c r="BC242" s="117"/>
      <c r="BD242" s="117"/>
      <c r="BE242" s="117">
        <v>0</v>
      </c>
    </row>
    <row r="243" spans="1:57" ht="16">
      <c r="A243" s="117" t="s">
        <v>2752</v>
      </c>
      <c r="B243" s="117" t="s">
        <v>161</v>
      </c>
      <c r="C243" s="117" t="s">
        <v>162</v>
      </c>
      <c r="D243" s="117" t="s">
        <v>163</v>
      </c>
      <c r="E243" s="117" t="s">
        <v>164</v>
      </c>
      <c r="F243" s="117" t="s">
        <v>1274</v>
      </c>
      <c r="G243" s="117" t="s">
        <v>1275</v>
      </c>
      <c r="H243" s="118" t="s">
        <v>1274</v>
      </c>
      <c r="I243" s="119" t="s">
        <v>1275</v>
      </c>
      <c r="J243" s="120" t="s">
        <v>2508</v>
      </c>
      <c r="K243" s="120" t="s">
        <v>2508</v>
      </c>
      <c r="L243" s="118"/>
      <c r="M243" s="119"/>
      <c r="N243" s="118"/>
      <c r="O243" s="119"/>
      <c r="P243" s="117" t="s">
        <v>28</v>
      </c>
      <c r="Q243" s="117" t="s">
        <v>45</v>
      </c>
      <c r="R243" s="117" t="b">
        <v>1</v>
      </c>
      <c r="S243" s="117" t="b">
        <v>1</v>
      </c>
      <c r="T243" s="117" t="b">
        <v>1</v>
      </c>
      <c r="U243" s="117" t="b">
        <v>0</v>
      </c>
      <c r="V243" s="117" t="b">
        <v>0</v>
      </c>
      <c r="W243" s="117" t="b">
        <v>1</v>
      </c>
      <c r="X243" s="117" t="b">
        <v>1</v>
      </c>
      <c r="Y243" s="117" t="b">
        <v>0</v>
      </c>
      <c r="Z243" s="117" t="b">
        <v>0</v>
      </c>
      <c r="AA243" s="117"/>
      <c r="AB243" s="117" t="s">
        <v>1276</v>
      </c>
      <c r="AC243" s="117"/>
      <c r="AD243" s="117"/>
      <c r="AE243" s="117"/>
      <c r="AF243" s="117"/>
      <c r="AG243" s="117" t="s">
        <v>1277</v>
      </c>
      <c r="AH243" s="117">
        <v>3175092304760000</v>
      </c>
      <c r="AI243" s="117" t="s">
        <v>68</v>
      </c>
      <c r="AJ243" s="117" t="s">
        <v>32</v>
      </c>
      <c r="AK243" s="117"/>
      <c r="AL243" s="117">
        <v>6285711122669</v>
      </c>
      <c r="AM243" s="117"/>
      <c r="AN243" s="117"/>
      <c r="AO243" s="117" t="s">
        <v>1279</v>
      </c>
      <c r="AP243" s="117"/>
      <c r="AQ243" s="117" t="s">
        <v>163</v>
      </c>
      <c r="AR243" s="117" t="s">
        <v>1906</v>
      </c>
      <c r="AS243" s="117" t="s">
        <v>164</v>
      </c>
      <c r="AT243" s="117" t="s">
        <v>1918</v>
      </c>
      <c r="AU243" s="117" t="b">
        <v>1</v>
      </c>
      <c r="AV243" s="117" t="b">
        <v>1</v>
      </c>
      <c r="AW243" s="117" t="s">
        <v>1274</v>
      </c>
      <c r="AX243" s="117" t="s">
        <v>1275</v>
      </c>
      <c r="AY243" s="117" t="s">
        <v>2336</v>
      </c>
      <c r="AZ243" s="117" t="s">
        <v>2337</v>
      </c>
      <c r="BA243" s="117" t="b">
        <v>1</v>
      </c>
      <c r="BB243" s="117" t="b">
        <v>1</v>
      </c>
      <c r="BC243" s="117"/>
      <c r="BD243" s="117"/>
      <c r="BE243" s="117">
        <v>0</v>
      </c>
    </row>
    <row r="244" spans="1:57" ht="16">
      <c r="A244" s="117" t="s">
        <v>2752</v>
      </c>
      <c r="B244" s="117" t="s">
        <v>161</v>
      </c>
      <c r="C244" s="117" t="s">
        <v>162</v>
      </c>
      <c r="D244" s="117" t="s">
        <v>163</v>
      </c>
      <c r="E244" s="117" t="s">
        <v>164</v>
      </c>
      <c r="F244" s="117" t="s">
        <v>1280</v>
      </c>
      <c r="G244" s="117" t="s">
        <v>1281</v>
      </c>
      <c r="H244" s="118" t="s">
        <v>1280</v>
      </c>
      <c r="I244" s="119" t="s">
        <v>1281</v>
      </c>
      <c r="J244" s="120" t="s">
        <v>2508</v>
      </c>
      <c r="K244" s="120" t="s">
        <v>2508</v>
      </c>
      <c r="L244" s="118"/>
      <c r="M244" s="119"/>
      <c r="N244" s="118"/>
      <c r="O244" s="119"/>
      <c r="P244" s="117" t="s">
        <v>28</v>
      </c>
      <c r="Q244" s="117" t="s">
        <v>45</v>
      </c>
      <c r="R244" s="117" t="b">
        <v>1</v>
      </c>
      <c r="S244" s="117" t="b">
        <v>1</v>
      </c>
      <c r="T244" s="117" t="b">
        <v>1</v>
      </c>
      <c r="U244" s="117" t="b">
        <v>0</v>
      </c>
      <c r="V244" s="117" t="b">
        <v>0</v>
      </c>
      <c r="W244" s="117" t="b">
        <v>1</v>
      </c>
      <c r="X244" s="117" t="b">
        <v>1</v>
      </c>
      <c r="Y244" s="117" t="b">
        <v>0</v>
      </c>
      <c r="Z244" s="117" t="b">
        <v>0</v>
      </c>
      <c r="AA244" s="117"/>
      <c r="AB244" s="117" t="s">
        <v>1282</v>
      </c>
      <c r="AC244" s="117"/>
      <c r="AD244" s="117"/>
      <c r="AE244" s="117"/>
      <c r="AF244" s="117"/>
      <c r="AG244" s="117" t="s">
        <v>1283</v>
      </c>
      <c r="AH244" s="117">
        <v>3175041006850000</v>
      </c>
      <c r="AI244" s="117" t="s">
        <v>68</v>
      </c>
      <c r="AJ244" s="117" t="s">
        <v>32</v>
      </c>
      <c r="AK244" s="117"/>
      <c r="AL244" s="117">
        <v>6285711122760</v>
      </c>
      <c r="AM244" s="117"/>
      <c r="AN244" s="117"/>
      <c r="AO244" s="117" t="s">
        <v>1285</v>
      </c>
      <c r="AP244" s="117"/>
      <c r="AQ244" s="117" t="s">
        <v>163</v>
      </c>
      <c r="AR244" s="117" t="s">
        <v>1906</v>
      </c>
      <c r="AS244" s="117" t="s">
        <v>164</v>
      </c>
      <c r="AT244" s="117" t="s">
        <v>1918</v>
      </c>
      <c r="AU244" s="117" t="b">
        <v>1</v>
      </c>
      <c r="AV244" s="117" t="b">
        <v>1</v>
      </c>
      <c r="AW244" s="117" t="s">
        <v>1280</v>
      </c>
      <c r="AX244" s="117" t="s">
        <v>1281</v>
      </c>
      <c r="AY244" s="117" t="s">
        <v>2338</v>
      </c>
      <c r="AZ244" s="117" t="s">
        <v>2339</v>
      </c>
      <c r="BA244" s="117" t="b">
        <v>1</v>
      </c>
      <c r="BB244" s="117" t="b">
        <v>1</v>
      </c>
      <c r="BC244" s="117"/>
      <c r="BD244" s="117"/>
      <c r="BE244" s="117">
        <v>0</v>
      </c>
    </row>
    <row r="245" spans="1:57" ht="16">
      <c r="A245" s="117" t="s">
        <v>2752</v>
      </c>
      <c r="B245" s="117" t="s">
        <v>161</v>
      </c>
      <c r="C245" s="117" t="s">
        <v>162</v>
      </c>
      <c r="D245" s="117" t="s">
        <v>163</v>
      </c>
      <c r="E245" s="117" t="s">
        <v>164</v>
      </c>
      <c r="F245" s="117" t="s">
        <v>1286</v>
      </c>
      <c r="G245" s="117" t="s">
        <v>1287</v>
      </c>
      <c r="H245" s="118" t="s">
        <v>1286</v>
      </c>
      <c r="I245" s="119" t="s">
        <v>1287</v>
      </c>
      <c r="J245" s="120" t="s">
        <v>2508</v>
      </c>
      <c r="K245" s="120" t="s">
        <v>2508</v>
      </c>
      <c r="L245" s="118"/>
      <c r="M245" s="119"/>
      <c r="N245" s="118"/>
      <c r="O245" s="119"/>
      <c r="P245" s="117" t="s">
        <v>28</v>
      </c>
      <c r="Q245" s="117" t="s">
        <v>45</v>
      </c>
      <c r="R245" s="117" t="b">
        <v>1</v>
      </c>
      <c r="S245" s="117" t="b">
        <v>1</v>
      </c>
      <c r="T245" s="117" t="b">
        <v>1</v>
      </c>
      <c r="U245" s="117" t="b">
        <v>0</v>
      </c>
      <c r="V245" s="117" t="b">
        <v>0</v>
      </c>
      <c r="W245" s="117" t="b">
        <v>1</v>
      </c>
      <c r="X245" s="117" t="b">
        <v>1</v>
      </c>
      <c r="Y245" s="117" t="b">
        <v>0</v>
      </c>
      <c r="Z245" s="117" t="b">
        <v>0</v>
      </c>
      <c r="AA245" s="117"/>
      <c r="AB245" s="117" t="s">
        <v>1288</v>
      </c>
      <c r="AC245" s="117"/>
      <c r="AD245" s="117"/>
      <c r="AE245" s="117"/>
      <c r="AF245" s="117"/>
      <c r="AG245" s="117" t="s">
        <v>1289</v>
      </c>
      <c r="AH245" s="117">
        <v>3212241106920000</v>
      </c>
      <c r="AI245" s="117" t="s">
        <v>68</v>
      </c>
      <c r="AJ245" s="117" t="s">
        <v>32</v>
      </c>
      <c r="AK245" s="117"/>
      <c r="AL245" s="117">
        <v>6285711122864</v>
      </c>
      <c r="AM245" s="117"/>
      <c r="AN245" s="117"/>
      <c r="AO245" s="117" t="s">
        <v>1291</v>
      </c>
      <c r="AP245" s="117"/>
      <c r="AQ245" s="117" t="s">
        <v>163</v>
      </c>
      <c r="AR245" s="117" t="s">
        <v>1906</v>
      </c>
      <c r="AS245" s="117" t="s">
        <v>164</v>
      </c>
      <c r="AT245" s="117" t="s">
        <v>1918</v>
      </c>
      <c r="AU245" s="117" t="b">
        <v>1</v>
      </c>
      <c r="AV245" s="117" t="b">
        <v>1</v>
      </c>
      <c r="AW245" s="117" t="s">
        <v>1286</v>
      </c>
      <c r="AX245" s="117" t="s">
        <v>1287</v>
      </c>
      <c r="AY245" s="117" t="s">
        <v>2340</v>
      </c>
      <c r="AZ245" s="117" t="s">
        <v>2341</v>
      </c>
      <c r="BA245" s="117" t="b">
        <v>1</v>
      </c>
      <c r="BB245" s="117" t="b">
        <v>1</v>
      </c>
      <c r="BC245" s="117"/>
      <c r="BD245" s="117"/>
      <c r="BE245" s="117">
        <v>0</v>
      </c>
    </row>
    <row r="246" spans="1:57" ht="16">
      <c r="A246" s="117" t="s">
        <v>2751</v>
      </c>
      <c r="B246" s="117" t="s">
        <v>82</v>
      </c>
      <c r="C246" s="117" t="s">
        <v>83</v>
      </c>
      <c r="D246" s="117" t="s">
        <v>84</v>
      </c>
      <c r="E246" s="117" t="s">
        <v>85</v>
      </c>
      <c r="F246" s="117">
        <v>2613050705</v>
      </c>
      <c r="G246" s="117" t="s">
        <v>87</v>
      </c>
      <c r="H246" s="118">
        <v>2613050705</v>
      </c>
      <c r="I246" s="119" t="s">
        <v>87</v>
      </c>
      <c r="J246" s="120" t="s">
        <v>2508</v>
      </c>
      <c r="K246" s="120" t="s">
        <v>2508</v>
      </c>
      <c r="L246" s="118"/>
      <c r="M246" s="119"/>
      <c r="N246" s="118"/>
      <c r="O246" s="119"/>
      <c r="P246" s="117" t="s">
        <v>88</v>
      </c>
      <c r="Q246" s="117" t="s">
        <v>45</v>
      </c>
      <c r="R246" s="117" t="b">
        <v>1</v>
      </c>
      <c r="S246" s="117" t="b">
        <v>1</v>
      </c>
      <c r="T246" s="117" t="b">
        <v>1</v>
      </c>
      <c r="U246" s="117" t="b">
        <v>0</v>
      </c>
      <c r="V246" s="117" t="b">
        <v>0</v>
      </c>
      <c r="W246" s="117" t="b">
        <v>1</v>
      </c>
      <c r="X246" s="117" t="b">
        <v>1</v>
      </c>
      <c r="Y246" s="117" t="b">
        <v>0</v>
      </c>
      <c r="Z246" s="117" t="b">
        <v>0</v>
      </c>
      <c r="AA246" s="117"/>
      <c r="AB246" s="117" t="s">
        <v>89</v>
      </c>
      <c r="AC246" s="117"/>
      <c r="AD246" s="117" t="s">
        <v>89</v>
      </c>
      <c r="AE246" s="117" t="s">
        <v>89</v>
      </c>
      <c r="AF246" s="117"/>
      <c r="AG246" s="117" t="s">
        <v>90</v>
      </c>
      <c r="AH246" s="117">
        <v>3215030204990000</v>
      </c>
      <c r="AI246" s="117" t="s">
        <v>68</v>
      </c>
      <c r="AJ246" s="117"/>
      <c r="AK246" s="117"/>
      <c r="AL246" s="117">
        <v>6285717747490</v>
      </c>
      <c r="AM246" s="117"/>
      <c r="AN246" s="117"/>
      <c r="AO246" s="117" t="s">
        <v>92</v>
      </c>
      <c r="AP246" s="117"/>
      <c r="AQ246" s="117" t="s">
        <v>84</v>
      </c>
      <c r="AR246" s="117" t="s">
        <v>1904</v>
      </c>
      <c r="AS246" s="117" t="s">
        <v>85</v>
      </c>
      <c r="AT246" s="117" t="s">
        <v>1913</v>
      </c>
      <c r="AU246" s="117" t="b">
        <v>1</v>
      </c>
      <c r="AV246" s="117" t="b">
        <v>1</v>
      </c>
      <c r="AW246" s="117">
        <v>2613050705</v>
      </c>
      <c r="AX246" s="117" t="s">
        <v>87</v>
      </c>
      <c r="AY246" s="117" t="s">
        <v>2008</v>
      </c>
      <c r="AZ246" s="117" t="s">
        <v>2009</v>
      </c>
      <c r="BA246" s="117" t="b">
        <v>1</v>
      </c>
      <c r="BB246" s="117" t="b">
        <v>1</v>
      </c>
      <c r="BC246" s="117"/>
      <c r="BD246" s="117"/>
      <c r="BE246" s="117">
        <v>0</v>
      </c>
    </row>
    <row r="247" spans="1:57" ht="16">
      <c r="A247" s="117" t="s">
        <v>2751</v>
      </c>
      <c r="B247" s="117" t="s">
        <v>82</v>
      </c>
      <c r="C247" s="117" t="s">
        <v>83</v>
      </c>
      <c r="D247" s="117" t="s">
        <v>84</v>
      </c>
      <c r="E247" s="117" t="s">
        <v>85</v>
      </c>
      <c r="F247" s="117">
        <v>2613051097</v>
      </c>
      <c r="G247" s="117" t="s">
        <v>235</v>
      </c>
      <c r="H247" s="118" t="s">
        <v>2581</v>
      </c>
      <c r="I247" s="119" t="s">
        <v>2604</v>
      </c>
      <c r="J247" s="120" t="s">
        <v>2508</v>
      </c>
      <c r="K247" s="120" t="s">
        <v>2508</v>
      </c>
      <c r="L247" s="118"/>
      <c r="M247" s="119"/>
      <c r="N247" s="118"/>
      <c r="O247" s="119"/>
      <c r="P247" s="117" t="s">
        <v>88</v>
      </c>
      <c r="Q247" s="117" t="s">
        <v>45</v>
      </c>
      <c r="R247" s="117" t="b">
        <v>1</v>
      </c>
      <c r="S247" s="117" t="b">
        <v>1</v>
      </c>
      <c r="T247" s="117" t="b">
        <v>1</v>
      </c>
      <c r="U247" s="117" t="b">
        <v>0</v>
      </c>
      <c r="V247" s="117" t="b">
        <v>0</v>
      </c>
      <c r="W247" s="117" t="b">
        <v>1</v>
      </c>
      <c r="X247" s="117" t="b">
        <v>1</v>
      </c>
      <c r="Y247" s="117" t="b">
        <v>0</v>
      </c>
      <c r="Z247" s="117" t="b">
        <v>0</v>
      </c>
      <c r="AA247" s="117"/>
      <c r="AB247" s="117" t="s">
        <v>236</v>
      </c>
      <c r="AC247" s="117"/>
      <c r="AD247" s="117" t="s">
        <v>236</v>
      </c>
      <c r="AE247" s="117" t="s">
        <v>237</v>
      </c>
      <c r="AF247" s="117"/>
      <c r="AG247" s="117" t="s">
        <v>238</v>
      </c>
      <c r="AH247" s="117" t="s">
        <v>238</v>
      </c>
      <c r="AI247" s="117" t="s">
        <v>68</v>
      </c>
      <c r="AJ247" s="117" t="s">
        <v>32</v>
      </c>
      <c r="AK247" s="117"/>
      <c r="AL247" s="117">
        <v>6285777258258</v>
      </c>
      <c r="AM247" s="117"/>
      <c r="AN247" s="117"/>
      <c r="AO247" s="117" t="s">
        <v>239</v>
      </c>
      <c r="AP247" s="117" t="s">
        <v>240</v>
      </c>
      <c r="AQ247" s="117" t="s">
        <v>84</v>
      </c>
      <c r="AR247" s="117" t="s">
        <v>1904</v>
      </c>
      <c r="AS247" s="117" t="s">
        <v>85</v>
      </c>
      <c r="AT247" s="117" t="s">
        <v>1913</v>
      </c>
      <c r="AU247" s="117" t="b">
        <v>1</v>
      </c>
      <c r="AV247" s="117" t="b">
        <v>1</v>
      </c>
      <c r="AW247" s="117">
        <v>2613051097</v>
      </c>
      <c r="AX247" s="117" t="s">
        <v>235</v>
      </c>
      <c r="AY247" s="117" t="s">
        <v>2052</v>
      </c>
      <c r="AZ247" s="117" t="s">
        <v>2053</v>
      </c>
      <c r="BA247" s="117" t="b">
        <v>1</v>
      </c>
      <c r="BB247" s="117" t="b">
        <v>1</v>
      </c>
      <c r="BC247" s="117"/>
      <c r="BD247" s="117"/>
      <c r="BE247" s="117">
        <v>0</v>
      </c>
    </row>
    <row r="248" spans="1:57" ht="16">
      <c r="A248" s="117" t="s">
        <v>2751</v>
      </c>
      <c r="B248" s="117" t="s">
        <v>82</v>
      </c>
      <c r="C248" s="117" t="s">
        <v>83</v>
      </c>
      <c r="D248" s="117" t="s">
        <v>84</v>
      </c>
      <c r="E248" s="117" t="s">
        <v>85</v>
      </c>
      <c r="F248" s="117">
        <v>2613051098</v>
      </c>
      <c r="G248" s="117" t="s">
        <v>241</v>
      </c>
      <c r="H248" s="118">
        <v>2613051098</v>
      </c>
      <c r="I248" s="119" t="s">
        <v>241</v>
      </c>
      <c r="J248" s="120" t="s">
        <v>2508</v>
      </c>
      <c r="K248" s="120" t="s">
        <v>2508</v>
      </c>
      <c r="L248" s="118"/>
      <c r="M248" s="119"/>
      <c r="N248" s="118"/>
      <c r="O248" s="119"/>
      <c r="P248" s="117" t="s">
        <v>88</v>
      </c>
      <c r="Q248" s="117" t="s">
        <v>45</v>
      </c>
      <c r="R248" s="117" t="b">
        <v>1</v>
      </c>
      <c r="S248" s="117" t="b">
        <v>1</v>
      </c>
      <c r="T248" s="117" t="b">
        <v>1</v>
      </c>
      <c r="U248" s="117" t="b">
        <v>0</v>
      </c>
      <c r="V248" s="117" t="b">
        <v>0</v>
      </c>
      <c r="W248" s="117" t="b">
        <v>1</v>
      </c>
      <c r="X248" s="117" t="b">
        <v>1</v>
      </c>
      <c r="Y248" s="117" t="b">
        <v>0</v>
      </c>
      <c r="Z248" s="117" t="b">
        <v>0</v>
      </c>
      <c r="AA248" s="117"/>
      <c r="AB248" s="117" t="s">
        <v>242</v>
      </c>
      <c r="AC248" s="117"/>
      <c r="AD248" s="117" t="s">
        <v>242</v>
      </c>
      <c r="AE248" s="117" t="s">
        <v>242</v>
      </c>
      <c r="AF248" s="117"/>
      <c r="AG248" s="117" t="s">
        <v>243</v>
      </c>
      <c r="AH248" s="117">
        <v>3215151509920000</v>
      </c>
      <c r="AI248" s="117" t="s">
        <v>68</v>
      </c>
      <c r="AJ248" s="117"/>
      <c r="AK248" s="117"/>
      <c r="AL248" s="117">
        <v>6285778143350</v>
      </c>
      <c r="AM248" s="117"/>
      <c r="AN248" s="117"/>
      <c r="AO248" s="117" t="s">
        <v>245</v>
      </c>
      <c r="AP248" s="117"/>
      <c r="AQ248" s="117" t="s">
        <v>84</v>
      </c>
      <c r="AR248" s="117" t="s">
        <v>1904</v>
      </c>
      <c r="AS248" s="117" t="s">
        <v>85</v>
      </c>
      <c r="AT248" s="117" t="s">
        <v>1913</v>
      </c>
      <c r="AU248" s="117" t="b">
        <v>1</v>
      </c>
      <c r="AV248" s="117" t="b">
        <v>1</v>
      </c>
      <c r="AW248" s="117">
        <v>2613051098</v>
      </c>
      <c r="AX248" s="117" t="s">
        <v>241</v>
      </c>
      <c r="AY248" s="117" t="s">
        <v>2054</v>
      </c>
      <c r="AZ248" s="117" t="s">
        <v>2055</v>
      </c>
      <c r="BA248" s="117" t="b">
        <v>1</v>
      </c>
      <c r="BB248" s="117" t="b">
        <v>1</v>
      </c>
      <c r="BC248" s="117"/>
      <c r="BD248" s="117"/>
      <c r="BE248" s="117">
        <v>0</v>
      </c>
    </row>
    <row r="249" spans="1:57" ht="16">
      <c r="A249" s="117" t="s">
        <v>2751</v>
      </c>
      <c r="B249" s="117" t="s">
        <v>82</v>
      </c>
      <c r="C249" s="117" t="s">
        <v>83</v>
      </c>
      <c r="D249" s="117" t="s">
        <v>84</v>
      </c>
      <c r="E249" s="117" t="s">
        <v>85</v>
      </c>
      <c r="F249" s="117" t="s">
        <v>1180</v>
      </c>
      <c r="G249" s="117" t="s">
        <v>1181</v>
      </c>
      <c r="H249" s="118" t="s">
        <v>1180</v>
      </c>
      <c r="I249" s="119" t="s">
        <v>1181</v>
      </c>
      <c r="J249" s="120" t="s">
        <v>2508</v>
      </c>
      <c r="K249" s="120" t="s">
        <v>2508</v>
      </c>
      <c r="L249" s="118"/>
      <c r="M249" s="119"/>
      <c r="N249" s="118"/>
      <c r="O249" s="119"/>
      <c r="P249" s="117" t="s">
        <v>88</v>
      </c>
      <c r="Q249" s="117" t="s">
        <v>45</v>
      </c>
      <c r="R249" s="117" t="b">
        <v>1</v>
      </c>
      <c r="S249" s="117" t="b">
        <v>1</v>
      </c>
      <c r="T249" s="117" t="b">
        <v>1</v>
      </c>
      <c r="U249" s="117" t="b">
        <v>0</v>
      </c>
      <c r="V249" s="117" t="b">
        <v>0</v>
      </c>
      <c r="W249" s="117" t="b">
        <v>1</v>
      </c>
      <c r="X249" s="117" t="b">
        <v>1</v>
      </c>
      <c r="Y249" s="117" t="b">
        <v>0</v>
      </c>
      <c r="Z249" s="117" t="b">
        <v>0</v>
      </c>
      <c r="AA249" s="117"/>
      <c r="AB249" s="117" t="s">
        <v>1182</v>
      </c>
      <c r="AC249" s="117"/>
      <c r="AD249" s="117" t="s">
        <v>1182</v>
      </c>
      <c r="AE249" s="117" t="s">
        <v>1182</v>
      </c>
      <c r="AF249" s="117"/>
      <c r="AG249" s="117" t="s">
        <v>1183</v>
      </c>
      <c r="AH249" s="117">
        <v>3202022706930000</v>
      </c>
      <c r="AI249" s="117" t="s">
        <v>68</v>
      </c>
      <c r="AJ249" s="117" t="s">
        <v>32</v>
      </c>
      <c r="AK249" s="117"/>
      <c r="AL249" s="117">
        <v>6281700000066</v>
      </c>
      <c r="AM249" s="117"/>
      <c r="AN249" s="117"/>
      <c r="AO249" s="117" t="s">
        <v>1185</v>
      </c>
      <c r="AP249" s="117" t="s">
        <v>609</v>
      </c>
      <c r="AQ249" s="117" t="s">
        <v>84</v>
      </c>
      <c r="AR249" s="117" t="s">
        <v>1904</v>
      </c>
      <c r="AS249" s="117" t="s">
        <v>85</v>
      </c>
      <c r="AT249" s="117" t="s">
        <v>1913</v>
      </c>
      <c r="AU249" s="117" t="b">
        <v>1</v>
      </c>
      <c r="AV249" s="117" t="b">
        <v>1</v>
      </c>
      <c r="AW249" s="117" t="s">
        <v>1180</v>
      </c>
      <c r="AX249" s="117" t="s">
        <v>1181</v>
      </c>
      <c r="AY249" s="117" t="s">
        <v>2306</v>
      </c>
      <c r="AZ249" s="117" t="s">
        <v>2307</v>
      </c>
      <c r="BA249" s="117" t="b">
        <v>1</v>
      </c>
      <c r="BB249" s="117" t="b">
        <v>1</v>
      </c>
      <c r="BC249" s="117"/>
      <c r="BD249" s="117"/>
      <c r="BE249" s="117">
        <v>0</v>
      </c>
    </row>
    <row r="250" spans="1:57" ht="16">
      <c r="A250" s="117" t="s">
        <v>2751</v>
      </c>
      <c r="B250" s="117" t="s">
        <v>82</v>
      </c>
      <c r="C250" s="117" t="s">
        <v>83</v>
      </c>
      <c r="D250" s="117" t="s">
        <v>84</v>
      </c>
      <c r="E250" s="117" t="s">
        <v>85</v>
      </c>
      <c r="F250" s="117" t="s">
        <v>1186</v>
      </c>
      <c r="G250" s="117" t="s">
        <v>1187</v>
      </c>
      <c r="H250" s="118" t="s">
        <v>1186</v>
      </c>
      <c r="I250" s="119" t="s">
        <v>1187</v>
      </c>
      <c r="J250" s="120" t="s">
        <v>2508</v>
      </c>
      <c r="K250" s="120" t="s">
        <v>2508</v>
      </c>
      <c r="L250" s="118"/>
      <c r="M250" s="119"/>
      <c r="N250" s="118"/>
      <c r="O250" s="119"/>
      <c r="P250" s="117" t="s">
        <v>88</v>
      </c>
      <c r="Q250" s="117" t="s">
        <v>45</v>
      </c>
      <c r="R250" s="117" t="b">
        <v>1</v>
      </c>
      <c r="S250" s="117" t="b">
        <v>1</v>
      </c>
      <c r="T250" s="117" t="b">
        <v>1</v>
      </c>
      <c r="U250" s="117" t="b">
        <v>0</v>
      </c>
      <c r="V250" s="117" t="b">
        <v>0</v>
      </c>
      <c r="W250" s="117" t="b">
        <v>1</v>
      </c>
      <c r="X250" s="117" t="b">
        <v>1</v>
      </c>
      <c r="Y250" s="117" t="b">
        <v>0</v>
      </c>
      <c r="Z250" s="117" t="b">
        <v>0</v>
      </c>
      <c r="AA250" s="117"/>
      <c r="AB250" s="117" t="s">
        <v>1188</v>
      </c>
      <c r="AC250" s="117"/>
      <c r="AD250" s="117" t="s">
        <v>1188</v>
      </c>
      <c r="AE250" s="117" t="s">
        <v>1188</v>
      </c>
      <c r="AF250" s="117"/>
      <c r="AG250" s="117" t="s">
        <v>1189</v>
      </c>
      <c r="AH250" s="117">
        <v>3215131903920000</v>
      </c>
      <c r="AI250" s="117" t="s">
        <v>68</v>
      </c>
      <c r="AJ250" s="117" t="s">
        <v>32</v>
      </c>
      <c r="AK250" s="117"/>
      <c r="AL250" s="117">
        <v>6281700000067</v>
      </c>
      <c r="AM250" s="117"/>
      <c r="AN250" s="117"/>
      <c r="AO250" s="117" t="s">
        <v>1191</v>
      </c>
      <c r="AP250" s="117" t="s">
        <v>609</v>
      </c>
      <c r="AQ250" s="117" t="s">
        <v>84</v>
      </c>
      <c r="AR250" s="117" t="s">
        <v>1904</v>
      </c>
      <c r="AS250" s="117" t="s">
        <v>85</v>
      </c>
      <c r="AT250" s="117" t="s">
        <v>1913</v>
      </c>
      <c r="AU250" s="117" t="b">
        <v>1</v>
      </c>
      <c r="AV250" s="117" t="b">
        <v>1</v>
      </c>
      <c r="AW250" s="117" t="s">
        <v>1186</v>
      </c>
      <c r="AX250" s="117" t="s">
        <v>1187</v>
      </c>
      <c r="AY250" s="117" t="s">
        <v>2308</v>
      </c>
      <c r="AZ250" s="117" t="s">
        <v>2309</v>
      </c>
      <c r="BA250" s="117" t="b">
        <v>1</v>
      </c>
      <c r="BB250" s="117" t="b">
        <v>1</v>
      </c>
      <c r="BC250" s="117"/>
      <c r="BD250" s="117"/>
      <c r="BE250" s="117">
        <v>0</v>
      </c>
    </row>
    <row r="251" spans="1:57" ht="16">
      <c r="A251" s="117" t="s">
        <v>2751</v>
      </c>
      <c r="B251" s="117" t="s">
        <v>82</v>
      </c>
      <c r="C251" s="117" t="s">
        <v>83</v>
      </c>
      <c r="D251" s="117" t="s">
        <v>84</v>
      </c>
      <c r="E251" s="117" t="s">
        <v>85</v>
      </c>
      <c r="F251" s="117" t="s">
        <v>1192</v>
      </c>
      <c r="G251" s="117" t="s">
        <v>1193</v>
      </c>
      <c r="H251" s="118" t="s">
        <v>1192</v>
      </c>
      <c r="I251" s="119" t="s">
        <v>1193</v>
      </c>
      <c r="J251" s="120" t="s">
        <v>2508</v>
      </c>
      <c r="K251" s="120" t="s">
        <v>2508</v>
      </c>
      <c r="L251" s="118"/>
      <c r="M251" s="119"/>
      <c r="N251" s="118"/>
      <c r="O251" s="119"/>
      <c r="P251" s="117" t="s">
        <v>88</v>
      </c>
      <c r="Q251" s="117" t="s">
        <v>45</v>
      </c>
      <c r="R251" s="117" t="b">
        <v>1</v>
      </c>
      <c r="S251" s="117" t="b">
        <v>1</v>
      </c>
      <c r="T251" s="117" t="b">
        <v>1</v>
      </c>
      <c r="U251" s="117" t="b">
        <v>0</v>
      </c>
      <c r="V251" s="117" t="b">
        <v>0</v>
      </c>
      <c r="W251" s="117" t="b">
        <v>1</v>
      </c>
      <c r="X251" s="117" t="b">
        <v>1</v>
      </c>
      <c r="Y251" s="117" t="b">
        <v>0</v>
      </c>
      <c r="Z251" s="117" t="b">
        <v>0</v>
      </c>
      <c r="AA251" s="117"/>
      <c r="AB251" s="117" t="s">
        <v>1194</v>
      </c>
      <c r="AC251" s="117"/>
      <c r="AD251" s="117" t="s">
        <v>1194</v>
      </c>
      <c r="AE251" s="117" t="s">
        <v>1194</v>
      </c>
      <c r="AF251" s="117"/>
      <c r="AG251" s="117" t="s">
        <v>1195</v>
      </c>
      <c r="AH251" s="117">
        <v>3215211112970000</v>
      </c>
      <c r="AI251" s="117" t="s">
        <v>68</v>
      </c>
      <c r="AJ251" s="117" t="s">
        <v>32</v>
      </c>
      <c r="AK251" s="117"/>
      <c r="AL251" s="117">
        <v>6281700000068</v>
      </c>
      <c r="AM251" s="117"/>
      <c r="AN251" s="117"/>
      <c r="AO251" s="117" t="s">
        <v>1197</v>
      </c>
      <c r="AP251" s="117" t="s">
        <v>609</v>
      </c>
      <c r="AQ251" s="117" t="s">
        <v>84</v>
      </c>
      <c r="AR251" s="117" t="s">
        <v>1904</v>
      </c>
      <c r="AS251" s="117" t="s">
        <v>85</v>
      </c>
      <c r="AT251" s="117" t="s">
        <v>1913</v>
      </c>
      <c r="AU251" s="117" t="b">
        <v>1</v>
      </c>
      <c r="AV251" s="117" t="b">
        <v>1</v>
      </c>
      <c r="AW251" s="117" t="s">
        <v>1192</v>
      </c>
      <c r="AX251" s="117" t="s">
        <v>1193</v>
      </c>
      <c r="AY251" s="117" t="s">
        <v>2310</v>
      </c>
      <c r="AZ251" s="117" t="s">
        <v>2311</v>
      </c>
      <c r="BA251" s="117" t="b">
        <v>1</v>
      </c>
      <c r="BB251" s="117" t="b">
        <v>1</v>
      </c>
      <c r="BC251" s="117"/>
      <c r="BD251" s="117"/>
      <c r="BE251" s="117">
        <v>0</v>
      </c>
    </row>
    <row r="252" spans="1:57" ht="16">
      <c r="A252" s="117" t="s">
        <v>2751</v>
      </c>
      <c r="B252" s="117" t="s">
        <v>82</v>
      </c>
      <c r="C252" s="117" t="s">
        <v>83</v>
      </c>
      <c r="D252" s="117" t="s">
        <v>84</v>
      </c>
      <c r="E252" s="117" t="s">
        <v>85</v>
      </c>
      <c r="F252" s="117" t="s">
        <v>1198</v>
      </c>
      <c r="G252" s="117" t="s">
        <v>1199</v>
      </c>
      <c r="H252" s="118" t="s">
        <v>1198</v>
      </c>
      <c r="I252" s="119" t="s">
        <v>1199</v>
      </c>
      <c r="J252" s="120" t="s">
        <v>2508</v>
      </c>
      <c r="K252" s="120" t="s">
        <v>2508</v>
      </c>
      <c r="L252" s="118"/>
      <c r="M252" s="119"/>
      <c r="N252" s="118"/>
      <c r="O252" s="119"/>
      <c r="P252" s="117" t="s">
        <v>88</v>
      </c>
      <c r="Q252" s="117" t="s">
        <v>45</v>
      </c>
      <c r="R252" s="117" t="b">
        <v>1</v>
      </c>
      <c r="S252" s="117" t="b">
        <v>1</v>
      </c>
      <c r="T252" s="117" t="b">
        <v>1</v>
      </c>
      <c r="U252" s="117" t="b">
        <v>0</v>
      </c>
      <c r="V252" s="117" t="b">
        <v>0</v>
      </c>
      <c r="W252" s="117" t="b">
        <v>1</v>
      </c>
      <c r="X252" s="117" t="b">
        <v>1</v>
      </c>
      <c r="Y252" s="117" t="b">
        <v>0</v>
      </c>
      <c r="Z252" s="117" t="b">
        <v>0</v>
      </c>
      <c r="AA252" s="117"/>
      <c r="AB252" s="117" t="s">
        <v>1200</v>
      </c>
      <c r="AC252" s="117"/>
      <c r="AD252" s="117" t="s">
        <v>1200</v>
      </c>
      <c r="AE252" s="117" t="s">
        <v>1200</v>
      </c>
      <c r="AF252" s="117"/>
      <c r="AG252" s="117" t="s">
        <v>1201</v>
      </c>
      <c r="AH252" s="117">
        <v>3215011602970000</v>
      </c>
      <c r="AI252" s="117" t="s">
        <v>68</v>
      </c>
      <c r="AJ252" s="117" t="s">
        <v>32</v>
      </c>
      <c r="AK252" s="117"/>
      <c r="AL252" s="117">
        <v>6281700000070</v>
      </c>
      <c r="AM252" s="117"/>
      <c r="AN252" s="117"/>
      <c r="AO252" s="117" t="s">
        <v>1203</v>
      </c>
      <c r="AP252" s="117" t="s">
        <v>609</v>
      </c>
      <c r="AQ252" s="117" t="s">
        <v>84</v>
      </c>
      <c r="AR252" s="117" t="s">
        <v>1904</v>
      </c>
      <c r="AS252" s="117" t="s">
        <v>85</v>
      </c>
      <c r="AT252" s="117" t="s">
        <v>1913</v>
      </c>
      <c r="AU252" s="117" t="b">
        <v>1</v>
      </c>
      <c r="AV252" s="117" t="b">
        <v>1</v>
      </c>
      <c r="AW252" s="117" t="s">
        <v>1198</v>
      </c>
      <c r="AX252" s="117" t="s">
        <v>1199</v>
      </c>
      <c r="AY252" s="117" t="s">
        <v>2312</v>
      </c>
      <c r="AZ252" s="117" t="s">
        <v>2313</v>
      </c>
      <c r="BA252" s="117" t="b">
        <v>1</v>
      </c>
      <c r="BB252" s="117" t="b">
        <v>1</v>
      </c>
      <c r="BC252" s="117"/>
      <c r="BD252" s="117"/>
      <c r="BE252" s="117">
        <v>0</v>
      </c>
    </row>
    <row r="253" spans="1:57" ht="16">
      <c r="A253" s="117" t="s">
        <v>2751</v>
      </c>
      <c r="B253" s="117" t="s">
        <v>82</v>
      </c>
      <c r="C253" s="117" t="s">
        <v>83</v>
      </c>
      <c r="D253" s="117" t="s">
        <v>84</v>
      </c>
      <c r="E253" s="117" t="s">
        <v>85</v>
      </c>
      <c r="F253" s="117" t="s">
        <v>1204</v>
      </c>
      <c r="G253" s="117" t="s">
        <v>1205</v>
      </c>
      <c r="H253" s="118" t="s">
        <v>1204</v>
      </c>
      <c r="I253" s="119" t="s">
        <v>1205</v>
      </c>
      <c r="J253" s="120" t="s">
        <v>2508</v>
      </c>
      <c r="K253" s="120" t="s">
        <v>2508</v>
      </c>
      <c r="L253" s="118"/>
      <c r="M253" s="119"/>
      <c r="N253" s="118"/>
      <c r="O253" s="119"/>
      <c r="P253" s="117" t="s">
        <v>88</v>
      </c>
      <c r="Q253" s="117" t="s">
        <v>45</v>
      </c>
      <c r="R253" s="117" t="b">
        <v>1</v>
      </c>
      <c r="S253" s="117" t="b">
        <v>1</v>
      </c>
      <c r="T253" s="117" t="b">
        <v>1</v>
      </c>
      <c r="U253" s="117" t="b">
        <v>0</v>
      </c>
      <c r="V253" s="117" t="b">
        <v>0</v>
      </c>
      <c r="W253" s="117" t="b">
        <v>1</v>
      </c>
      <c r="X253" s="117" t="b">
        <v>1</v>
      </c>
      <c r="Y253" s="117" t="b">
        <v>0</v>
      </c>
      <c r="Z253" s="117" t="b">
        <v>0</v>
      </c>
      <c r="AA253" s="117"/>
      <c r="AB253" s="117" t="s">
        <v>1206</v>
      </c>
      <c r="AC253" s="117"/>
      <c r="AD253" s="117" t="s">
        <v>1206</v>
      </c>
      <c r="AE253" s="117" t="s">
        <v>1206</v>
      </c>
      <c r="AF253" s="117"/>
      <c r="AG253" s="117" t="s">
        <v>1207</v>
      </c>
      <c r="AH253" s="117">
        <v>3215050210960000</v>
      </c>
      <c r="AI253" s="117" t="s">
        <v>68</v>
      </c>
      <c r="AJ253" s="117" t="s">
        <v>32</v>
      </c>
      <c r="AK253" s="117"/>
      <c r="AL253" s="117">
        <v>6281700000072</v>
      </c>
      <c r="AM253" s="117"/>
      <c r="AN253" s="117"/>
      <c r="AO253" s="117" t="s">
        <v>1209</v>
      </c>
      <c r="AP253" s="117" t="s">
        <v>609</v>
      </c>
      <c r="AQ253" s="117" t="s">
        <v>84</v>
      </c>
      <c r="AR253" s="117" t="s">
        <v>1904</v>
      </c>
      <c r="AS253" s="117" t="s">
        <v>85</v>
      </c>
      <c r="AT253" s="117" t="s">
        <v>1913</v>
      </c>
      <c r="AU253" s="117" t="b">
        <v>1</v>
      </c>
      <c r="AV253" s="117" t="b">
        <v>1</v>
      </c>
      <c r="AW253" s="117" t="s">
        <v>1204</v>
      </c>
      <c r="AX253" s="117" t="s">
        <v>1205</v>
      </c>
      <c r="AY253" s="117" t="s">
        <v>2314</v>
      </c>
      <c r="AZ253" s="117" t="s">
        <v>2315</v>
      </c>
      <c r="BA253" s="117" t="b">
        <v>1</v>
      </c>
      <c r="BB253" s="117" t="b">
        <v>1</v>
      </c>
      <c r="BC253" s="117"/>
      <c r="BD253" s="117"/>
      <c r="BE253" s="117">
        <v>0</v>
      </c>
    </row>
    <row r="254" spans="1:57" ht="16">
      <c r="A254" s="117" t="s">
        <v>2751</v>
      </c>
      <c r="B254" s="117" t="s">
        <v>292</v>
      </c>
      <c r="C254" s="117" t="s">
        <v>293</v>
      </c>
      <c r="D254" s="117" t="s">
        <v>294</v>
      </c>
      <c r="E254" s="117" t="s">
        <v>295</v>
      </c>
      <c r="F254" s="117">
        <v>2613052277</v>
      </c>
      <c r="G254" s="117" t="s">
        <v>296</v>
      </c>
      <c r="H254" s="118">
        <v>2613052277</v>
      </c>
      <c r="I254" s="119" t="s">
        <v>296</v>
      </c>
      <c r="J254" s="120" t="s">
        <v>2508</v>
      </c>
      <c r="K254" s="120" t="s">
        <v>2508</v>
      </c>
      <c r="L254" s="118"/>
      <c r="M254" s="119"/>
      <c r="N254" s="118"/>
      <c r="O254" s="119"/>
      <c r="P254" s="117" t="s">
        <v>88</v>
      </c>
      <c r="Q254" s="117" t="s">
        <v>45</v>
      </c>
      <c r="R254" s="117" t="b">
        <v>1</v>
      </c>
      <c r="S254" s="117" t="b">
        <v>1</v>
      </c>
      <c r="T254" s="117" t="b">
        <v>1</v>
      </c>
      <c r="U254" s="117" t="b">
        <v>0</v>
      </c>
      <c r="V254" s="117" t="b">
        <v>0</v>
      </c>
      <c r="W254" s="117" t="b">
        <v>1</v>
      </c>
      <c r="X254" s="117" t="b">
        <v>1</v>
      </c>
      <c r="Y254" s="117" t="b">
        <v>0</v>
      </c>
      <c r="Z254" s="117" t="b">
        <v>0</v>
      </c>
      <c r="AA254" s="117"/>
      <c r="AB254" s="117" t="s">
        <v>297</v>
      </c>
      <c r="AC254" s="117"/>
      <c r="AD254" s="117" t="s">
        <v>297</v>
      </c>
      <c r="AE254" s="117" t="s">
        <v>298</v>
      </c>
      <c r="AF254" s="117"/>
      <c r="AG254" s="117" t="s">
        <v>299</v>
      </c>
      <c r="AH254" s="117">
        <v>3215262403820000</v>
      </c>
      <c r="AI254" s="117" t="s">
        <v>68</v>
      </c>
      <c r="AJ254" s="117" t="s">
        <v>32</v>
      </c>
      <c r="AK254" s="117"/>
      <c r="AL254" s="117">
        <v>6285888885509</v>
      </c>
      <c r="AM254" s="117"/>
      <c r="AN254" s="117"/>
      <c r="AO254" s="117" t="s">
        <v>301</v>
      </c>
      <c r="AP254" s="117" t="s">
        <v>240</v>
      </c>
      <c r="AQ254" s="117" t="s">
        <v>294</v>
      </c>
      <c r="AR254" s="117" t="s">
        <v>1904</v>
      </c>
      <c r="AS254" s="117" t="s">
        <v>295</v>
      </c>
      <c r="AT254" s="117" t="s">
        <v>1922</v>
      </c>
      <c r="AU254" s="117" t="b">
        <v>1</v>
      </c>
      <c r="AV254" s="117" t="b">
        <v>1</v>
      </c>
      <c r="AW254" s="117">
        <v>2613052277</v>
      </c>
      <c r="AX254" s="117" t="s">
        <v>296</v>
      </c>
      <c r="AY254" s="117" t="s">
        <v>2070</v>
      </c>
      <c r="AZ254" s="117" t="s">
        <v>2071</v>
      </c>
      <c r="BA254" s="117" t="b">
        <v>1</v>
      </c>
      <c r="BB254" s="117" t="b">
        <v>1</v>
      </c>
      <c r="BC254" s="117"/>
      <c r="BD254" s="117"/>
      <c r="BE254" s="117">
        <v>0</v>
      </c>
    </row>
    <row r="255" spans="1:57" ht="16">
      <c r="A255" s="117" t="s">
        <v>2751</v>
      </c>
      <c r="B255" s="117" t="s">
        <v>292</v>
      </c>
      <c r="C255" s="117" t="s">
        <v>293</v>
      </c>
      <c r="D255" s="117" t="s">
        <v>294</v>
      </c>
      <c r="E255" s="117" t="s">
        <v>295</v>
      </c>
      <c r="F255" s="117" t="s">
        <v>1292</v>
      </c>
      <c r="G255" s="117" t="s">
        <v>1293</v>
      </c>
      <c r="H255" s="118" t="s">
        <v>1292</v>
      </c>
      <c r="I255" s="119" t="s">
        <v>1293</v>
      </c>
      <c r="J255" s="120" t="s">
        <v>2508</v>
      </c>
      <c r="K255" s="120" t="s">
        <v>2508</v>
      </c>
      <c r="L255" s="118"/>
      <c r="M255" s="119"/>
      <c r="N255" s="118"/>
      <c r="O255" s="119"/>
      <c r="P255" s="117" t="s">
        <v>88</v>
      </c>
      <c r="Q255" s="117" t="s">
        <v>45</v>
      </c>
      <c r="R255" s="117" t="b">
        <v>1</v>
      </c>
      <c r="S255" s="117" t="b">
        <v>1</v>
      </c>
      <c r="T255" s="117" t="b">
        <v>1</v>
      </c>
      <c r="U255" s="117" t="b">
        <v>0</v>
      </c>
      <c r="V255" s="117" t="b">
        <v>0</v>
      </c>
      <c r="W255" s="117" t="b">
        <v>1</v>
      </c>
      <c r="X255" s="117" t="b">
        <v>1</v>
      </c>
      <c r="Y255" s="117" t="b">
        <v>0</v>
      </c>
      <c r="Z255" s="117" t="b">
        <v>0</v>
      </c>
      <c r="AA255" s="117"/>
      <c r="AB255" s="117" t="s">
        <v>1294</v>
      </c>
      <c r="AC255" s="117"/>
      <c r="AD255" s="117" t="s">
        <v>1294</v>
      </c>
      <c r="AE255" s="117" t="s">
        <v>1294</v>
      </c>
      <c r="AF255" s="117"/>
      <c r="AG255" s="117" t="s">
        <v>1295</v>
      </c>
      <c r="AH255" s="117">
        <v>3215262802930000</v>
      </c>
      <c r="AI255" s="117" t="s">
        <v>68</v>
      </c>
      <c r="AJ255" s="117" t="s">
        <v>32</v>
      </c>
      <c r="AK255" s="117"/>
      <c r="AL255" s="117">
        <v>6285719109625</v>
      </c>
      <c r="AM255" s="117"/>
      <c r="AN255" s="117"/>
      <c r="AO255" s="117" t="s">
        <v>1297</v>
      </c>
      <c r="AP255" s="117" t="s">
        <v>609</v>
      </c>
      <c r="AQ255" s="117" t="s">
        <v>294</v>
      </c>
      <c r="AR255" s="117" t="s">
        <v>1904</v>
      </c>
      <c r="AS255" s="117" t="s">
        <v>295</v>
      </c>
      <c r="AT255" s="117" t="s">
        <v>1922</v>
      </c>
      <c r="AU255" s="117" t="b">
        <v>1</v>
      </c>
      <c r="AV255" s="117" t="b">
        <v>1</v>
      </c>
      <c r="AW255" s="117" t="s">
        <v>1292</v>
      </c>
      <c r="AX255" s="117" t="s">
        <v>1293</v>
      </c>
      <c r="AY255" s="117" t="s">
        <v>2342</v>
      </c>
      <c r="AZ255" s="117" t="s">
        <v>2343</v>
      </c>
      <c r="BA255" s="117" t="b">
        <v>1</v>
      </c>
      <c r="BB255" s="117" t="b">
        <v>1</v>
      </c>
      <c r="BC255" s="117"/>
      <c r="BD255" s="117"/>
      <c r="BE255" s="117">
        <v>0</v>
      </c>
    </row>
    <row r="256" spans="1:57" ht="16">
      <c r="A256" s="117" t="s">
        <v>2751</v>
      </c>
      <c r="B256" s="117" t="s">
        <v>292</v>
      </c>
      <c r="C256" s="117" t="s">
        <v>293</v>
      </c>
      <c r="D256" s="117" t="s">
        <v>294</v>
      </c>
      <c r="E256" s="117" t="s">
        <v>295</v>
      </c>
      <c r="F256" s="117" t="s">
        <v>1298</v>
      </c>
      <c r="G256" s="117" t="s">
        <v>1299</v>
      </c>
      <c r="H256" s="118" t="s">
        <v>1298</v>
      </c>
      <c r="I256" s="119" t="s">
        <v>1299</v>
      </c>
      <c r="J256" s="120" t="s">
        <v>2508</v>
      </c>
      <c r="K256" s="120" t="s">
        <v>2508</v>
      </c>
      <c r="L256" s="118"/>
      <c r="M256" s="119"/>
      <c r="N256" s="118"/>
      <c r="O256" s="119"/>
      <c r="P256" s="117" t="s">
        <v>88</v>
      </c>
      <c r="Q256" s="117" t="s">
        <v>45</v>
      </c>
      <c r="R256" s="117" t="b">
        <v>1</v>
      </c>
      <c r="S256" s="117" t="b">
        <v>1</v>
      </c>
      <c r="T256" s="117" t="b">
        <v>1</v>
      </c>
      <c r="U256" s="117" t="b">
        <v>0</v>
      </c>
      <c r="V256" s="117" t="b">
        <v>0</v>
      </c>
      <c r="W256" s="117" t="b">
        <v>1</v>
      </c>
      <c r="X256" s="117" t="b">
        <v>1</v>
      </c>
      <c r="Y256" s="117" t="b">
        <v>0</v>
      </c>
      <c r="Z256" s="117" t="b">
        <v>0</v>
      </c>
      <c r="AA256" s="117"/>
      <c r="AB256" s="117" t="s">
        <v>1300</v>
      </c>
      <c r="AC256" s="117"/>
      <c r="AD256" s="117" t="s">
        <v>1300</v>
      </c>
      <c r="AE256" s="117" t="s">
        <v>1300</v>
      </c>
      <c r="AF256" s="117"/>
      <c r="AG256" s="117" t="s">
        <v>1301</v>
      </c>
      <c r="AH256" s="117">
        <v>3215030412760000</v>
      </c>
      <c r="AI256" s="117" t="s">
        <v>68</v>
      </c>
      <c r="AJ256" s="117" t="s">
        <v>32</v>
      </c>
      <c r="AK256" s="117"/>
      <c r="AL256" s="117">
        <v>6285719109623</v>
      </c>
      <c r="AM256" s="117"/>
      <c r="AN256" s="117"/>
      <c r="AO256" s="117" t="s">
        <v>1303</v>
      </c>
      <c r="AP256" s="117" t="s">
        <v>609</v>
      </c>
      <c r="AQ256" s="117" t="s">
        <v>294</v>
      </c>
      <c r="AR256" s="117" t="s">
        <v>1904</v>
      </c>
      <c r="AS256" s="117" t="s">
        <v>295</v>
      </c>
      <c r="AT256" s="117" t="s">
        <v>1922</v>
      </c>
      <c r="AU256" s="117" t="b">
        <v>1</v>
      </c>
      <c r="AV256" s="117" t="b">
        <v>1</v>
      </c>
      <c r="AW256" s="117" t="s">
        <v>1298</v>
      </c>
      <c r="AX256" s="117" t="s">
        <v>1299</v>
      </c>
      <c r="AY256" s="117" t="s">
        <v>2344</v>
      </c>
      <c r="AZ256" s="117" t="s">
        <v>2345</v>
      </c>
      <c r="BA256" s="117" t="b">
        <v>1</v>
      </c>
      <c r="BB256" s="117" t="b">
        <v>1</v>
      </c>
      <c r="BC256" s="117"/>
      <c r="BD256" s="117"/>
      <c r="BE256" s="117">
        <v>0</v>
      </c>
    </row>
    <row r="257" spans="1:57" ht="16">
      <c r="A257" s="117" t="s">
        <v>2751</v>
      </c>
      <c r="B257" s="117" t="s">
        <v>292</v>
      </c>
      <c r="C257" s="117" t="s">
        <v>293</v>
      </c>
      <c r="D257" s="117" t="s">
        <v>294</v>
      </c>
      <c r="E257" s="117" t="s">
        <v>295</v>
      </c>
      <c r="F257" s="117" t="s">
        <v>1304</v>
      </c>
      <c r="G257" s="117" t="s">
        <v>1305</v>
      </c>
      <c r="H257" s="118" t="s">
        <v>1304</v>
      </c>
      <c r="I257" s="119" t="s">
        <v>1305</v>
      </c>
      <c r="J257" s="120" t="s">
        <v>2508</v>
      </c>
      <c r="K257" s="120" t="s">
        <v>2508</v>
      </c>
      <c r="L257" s="118"/>
      <c r="M257" s="119"/>
      <c r="N257" s="118"/>
      <c r="O257" s="119"/>
      <c r="P257" s="117" t="s">
        <v>88</v>
      </c>
      <c r="Q257" s="117" t="s">
        <v>45</v>
      </c>
      <c r="R257" s="117" t="b">
        <v>1</v>
      </c>
      <c r="S257" s="117" t="b">
        <v>1</v>
      </c>
      <c r="T257" s="117" t="b">
        <v>1</v>
      </c>
      <c r="U257" s="117" t="b">
        <v>0</v>
      </c>
      <c r="V257" s="117" t="b">
        <v>0</v>
      </c>
      <c r="W257" s="117" t="b">
        <v>1</v>
      </c>
      <c r="X257" s="117" t="b">
        <v>1</v>
      </c>
      <c r="Y257" s="117" t="b">
        <v>0</v>
      </c>
      <c r="Z257" s="117" t="b">
        <v>0</v>
      </c>
      <c r="AA257" s="117"/>
      <c r="AB257" s="117" t="s">
        <v>1306</v>
      </c>
      <c r="AC257" s="117"/>
      <c r="AD257" s="117" t="s">
        <v>1306</v>
      </c>
      <c r="AE257" s="117" t="s">
        <v>1306</v>
      </c>
      <c r="AF257" s="117"/>
      <c r="AG257" s="117" t="s">
        <v>1307</v>
      </c>
      <c r="AH257" s="117">
        <v>3215262206870000</v>
      </c>
      <c r="AI257" s="117" t="s">
        <v>68</v>
      </c>
      <c r="AJ257" s="117" t="s">
        <v>32</v>
      </c>
      <c r="AK257" s="117"/>
      <c r="AL257" s="117">
        <v>6285719109622</v>
      </c>
      <c r="AM257" s="117"/>
      <c r="AN257" s="117"/>
      <c r="AO257" s="117" t="s">
        <v>1309</v>
      </c>
      <c r="AP257" s="117" t="s">
        <v>609</v>
      </c>
      <c r="AQ257" s="117" t="s">
        <v>294</v>
      </c>
      <c r="AR257" s="117" t="s">
        <v>1904</v>
      </c>
      <c r="AS257" s="117" t="s">
        <v>295</v>
      </c>
      <c r="AT257" s="117" t="s">
        <v>1922</v>
      </c>
      <c r="AU257" s="117" t="b">
        <v>1</v>
      </c>
      <c r="AV257" s="117" t="b">
        <v>1</v>
      </c>
      <c r="AW257" s="117" t="s">
        <v>1304</v>
      </c>
      <c r="AX257" s="117" t="s">
        <v>1305</v>
      </c>
      <c r="AY257" s="117" t="s">
        <v>2346</v>
      </c>
      <c r="AZ257" s="117" t="s">
        <v>2347</v>
      </c>
      <c r="BA257" s="117" t="b">
        <v>1</v>
      </c>
      <c r="BB257" s="117" t="b">
        <v>1</v>
      </c>
      <c r="BC257" s="117"/>
      <c r="BD257" s="117"/>
      <c r="BE257" s="117">
        <v>0</v>
      </c>
    </row>
    <row r="258" spans="1:57" ht="16">
      <c r="A258" s="117" t="s">
        <v>2751</v>
      </c>
      <c r="B258" s="117" t="s">
        <v>292</v>
      </c>
      <c r="C258" s="117" t="s">
        <v>293</v>
      </c>
      <c r="D258" s="117" t="s">
        <v>294</v>
      </c>
      <c r="E258" s="117" t="s">
        <v>295</v>
      </c>
      <c r="F258" s="117" t="s">
        <v>1310</v>
      </c>
      <c r="G258" s="117" t="s">
        <v>1311</v>
      </c>
      <c r="H258" s="118" t="s">
        <v>1310</v>
      </c>
      <c r="I258" s="119" t="s">
        <v>1311</v>
      </c>
      <c r="J258" s="120" t="s">
        <v>2508</v>
      </c>
      <c r="K258" s="120" t="s">
        <v>2508</v>
      </c>
      <c r="L258" s="118"/>
      <c r="M258" s="119"/>
      <c r="N258" s="118"/>
      <c r="O258" s="119"/>
      <c r="P258" s="117" t="s">
        <v>88</v>
      </c>
      <c r="Q258" s="117" t="s">
        <v>45</v>
      </c>
      <c r="R258" s="117" t="b">
        <v>1</v>
      </c>
      <c r="S258" s="117" t="b">
        <v>1</v>
      </c>
      <c r="T258" s="117" t="b">
        <v>1</v>
      </c>
      <c r="U258" s="117" t="b">
        <v>0</v>
      </c>
      <c r="V258" s="117" t="b">
        <v>0</v>
      </c>
      <c r="W258" s="117" t="b">
        <v>1</v>
      </c>
      <c r="X258" s="117" t="b">
        <v>1</v>
      </c>
      <c r="Y258" s="117" t="b">
        <v>0</v>
      </c>
      <c r="Z258" s="117" t="b">
        <v>0</v>
      </c>
      <c r="AA258" s="117"/>
      <c r="AB258" s="117" t="s">
        <v>1312</v>
      </c>
      <c r="AC258" s="117"/>
      <c r="AD258" s="117" t="s">
        <v>1312</v>
      </c>
      <c r="AE258" s="117" t="s">
        <v>1312</v>
      </c>
      <c r="AF258" s="117"/>
      <c r="AG258" s="117" t="s">
        <v>1313</v>
      </c>
      <c r="AH258" s="117">
        <v>3275053112890020</v>
      </c>
      <c r="AI258" s="117" t="s">
        <v>68</v>
      </c>
      <c r="AJ258" s="117" t="s">
        <v>32</v>
      </c>
      <c r="AK258" s="117"/>
      <c r="AL258" s="117">
        <v>6285719109621</v>
      </c>
      <c r="AM258" s="117"/>
      <c r="AN258" s="117"/>
      <c r="AO258" s="117" t="s">
        <v>1315</v>
      </c>
      <c r="AP258" s="117" t="s">
        <v>609</v>
      </c>
      <c r="AQ258" s="117" t="s">
        <v>294</v>
      </c>
      <c r="AR258" s="117" t="s">
        <v>1904</v>
      </c>
      <c r="AS258" s="117" t="s">
        <v>295</v>
      </c>
      <c r="AT258" s="117" t="s">
        <v>1922</v>
      </c>
      <c r="AU258" s="117" t="b">
        <v>1</v>
      </c>
      <c r="AV258" s="117" t="b">
        <v>1</v>
      </c>
      <c r="AW258" s="117" t="s">
        <v>1310</v>
      </c>
      <c r="AX258" s="117" t="s">
        <v>1311</v>
      </c>
      <c r="AY258" s="117" t="s">
        <v>2348</v>
      </c>
      <c r="AZ258" s="117" t="s">
        <v>2349</v>
      </c>
      <c r="BA258" s="117" t="b">
        <v>1</v>
      </c>
      <c r="BB258" s="117" t="b">
        <v>1</v>
      </c>
      <c r="BC258" s="117"/>
      <c r="BD258" s="117"/>
      <c r="BE258" s="117">
        <v>0</v>
      </c>
    </row>
    <row r="259" spans="1:57" ht="16">
      <c r="A259" s="117" t="s">
        <v>2751</v>
      </c>
      <c r="B259" s="117" t="s">
        <v>292</v>
      </c>
      <c r="C259" s="117" t="s">
        <v>789</v>
      </c>
      <c r="D259" s="117" t="s">
        <v>790</v>
      </c>
      <c r="E259" s="117" t="s">
        <v>791</v>
      </c>
      <c r="F259" s="117" t="s">
        <v>793</v>
      </c>
      <c r="G259" s="117" t="s">
        <v>794</v>
      </c>
      <c r="H259" s="118" t="s">
        <v>793</v>
      </c>
      <c r="I259" s="119" t="s">
        <v>794</v>
      </c>
      <c r="J259" s="120" t="s">
        <v>2508</v>
      </c>
      <c r="K259" s="120" t="s">
        <v>2508</v>
      </c>
      <c r="L259" s="118"/>
      <c r="M259" s="119"/>
      <c r="N259" s="118"/>
      <c r="O259" s="119"/>
      <c r="P259" s="117" t="s">
        <v>88</v>
      </c>
      <c r="Q259" s="117" t="s">
        <v>45</v>
      </c>
      <c r="R259" s="117" t="b">
        <v>1</v>
      </c>
      <c r="S259" s="117" t="b">
        <v>1</v>
      </c>
      <c r="T259" s="117" t="b">
        <v>0</v>
      </c>
      <c r="U259" s="117" t="b">
        <v>0</v>
      </c>
      <c r="V259" s="117" t="b">
        <v>0</v>
      </c>
      <c r="W259" s="117" t="b">
        <v>1</v>
      </c>
      <c r="X259" s="117" t="b">
        <v>0</v>
      </c>
      <c r="Y259" s="117" t="b">
        <v>0</v>
      </c>
      <c r="Z259" s="117" t="b">
        <v>0</v>
      </c>
      <c r="AA259" s="117"/>
      <c r="AB259" s="117" t="s">
        <v>795</v>
      </c>
      <c r="AC259" s="117"/>
      <c r="AD259" s="117" t="s">
        <v>795</v>
      </c>
      <c r="AE259" s="117" t="s">
        <v>796</v>
      </c>
      <c r="AF259" s="117"/>
      <c r="AG259" s="117" t="s">
        <v>797</v>
      </c>
      <c r="AH259" s="117">
        <v>3215286007060000</v>
      </c>
      <c r="AI259" s="117" t="s">
        <v>119</v>
      </c>
      <c r="AJ259" s="117" t="s">
        <v>32</v>
      </c>
      <c r="AK259" s="117"/>
      <c r="AL259" s="117">
        <v>62857710477771</v>
      </c>
      <c r="AM259" s="117"/>
      <c r="AN259" s="117"/>
      <c r="AO259" s="117" t="s">
        <v>799</v>
      </c>
      <c r="AP259" s="117" t="s">
        <v>373</v>
      </c>
      <c r="AQ259" s="117" t="s">
        <v>790</v>
      </c>
      <c r="AR259" s="117" t="s">
        <v>792</v>
      </c>
      <c r="AS259" s="117" t="s">
        <v>791</v>
      </c>
      <c r="AT259" s="117" t="s">
        <v>1930</v>
      </c>
      <c r="AU259" s="117" t="b">
        <v>1</v>
      </c>
      <c r="AV259" s="117" t="b">
        <v>1</v>
      </c>
      <c r="AW259" s="117" t="s">
        <v>793</v>
      </c>
      <c r="AX259" s="117" t="s">
        <v>794</v>
      </c>
      <c r="AY259" s="117" t="s">
        <v>2196</v>
      </c>
      <c r="AZ259" s="117" t="s">
        <v>2197</v>
      </c>
      <c r="BA259" s="117" t="b">
        <v>1</v>
      </c>
      <c r="BB259" s="117" t="b">
        <v>1</v>
      </c>
      <c r="BC259" s="117"/>
      <c r="BD259" s="117"/>
      <c r="BE259" s="117">
        <v>0</v>
      </c>
    </row>
    <row r="260" spans="1:57" ht="16">
      <c r="A260" s="117" t="s">
        <v>2751</v>
      </c>
      <c r="B260" s="117" t="s">
        <v>292</v>
      </c>
      <c r="C260" s="117" t="s">
        <v>789</v>
      </c>
      <c r="D260" s="117" t="s">
        <v>790</v>
      </c>
      <c r="E260" s="117" t="s">
        <v>791</v>
      </c>
      <c r="F260" s="117" t="s">
        <v>800</v>
      </c>
      <c r="G260" s="117" t="s">
        <v>801</v>
      </c>
      <c r="H260" s="118" t="s">
        <v>800</v>
      </c>
      <c r="I260" s="119" t="s">
        <v>801</v>
      </c>
      <c r="J260" s="120" t="s">
        <v>2508</v>
      </c>
      <c r="K260" s="120" t="s">
        <v>2508</v>
      </c>
      <c r="L260" s="118"/>
      <c r="M260" s="119"/>
      <c r="N260" s="118"/>
      <c r="O260" s="119"/>
      <c r="P260" s="117" t="s">
        <v>88</v>
      </c>
      <c r="Q260" s="117" t="s">
        <v>45</v>
      </c>
      <c r="R260" s="117" t="b">
        <v>1</v>
      </c>
      <c r="S260" s="117" t="b">
        <v>1</v>
      </c>
      <c r="T260" s="117" t="b">
        <v>0</v>
      </c>
      <c r="U260" s="117" t="b">
        <v>0</v>
      </c>
      <c r="V260" s="117" t="b">
        <v>0</v>
      </c>
      <c r="W260" s="117" t="b">
        <v>1</v>
      </c>
      <c r="X260" s="117" t="b">
        <v>0</v>
      </c>
      <c r="Y260" s="117" t="b">
        <v>0</v>
      </c>
      <c r="Z260" s="117" t="b">
        <v>0</v>
      </c>
      <c r="AA260" s="117"/>
      <c r="AB260" s="117" t="s">
        <v>802</v>
      </c>
      <c r="AC260" s="117"/>
      <c r="AD260" s="117" t="s">
        <v>802</v>
      </c>
      <c r="AE260" s="117" t="s">
        <v>803</v>
      </c>
      <c r="AF260" s="117"/>
      <c r="AG260" s="117" t="s">
        <v>238</v>
      </c>
      <c r="AH260" s="117" t="s">
        <v>238</v>
      </c>
      <c r="AI260" s="117" t="s">
        <v>119</v>
      </c>
      <c r="AJ260" s="117" t="s">
        <v>32</v>
      </c>
      <c r="AK260" s="117"/>
      <c r="AL260" s="117">
        <v>6285771710764</v>
      </c>
      <c r="AM260" s="117"/>
      <c r="AN260" s="117"/>
      <c r="AO260" s="117" t="s">
        <v>804</v>
      </c>
      <c r="AP260" s="117" t="s">
        <v>373</v>
      </c>
      <c r="AQ260" s="117" t="s">
        <v>790</v>
      </c>
      <c r="AR260" s="117" t="s">
        <v>792</v>
      </c>
      <c r="AS260" s="117" t="s">
        <v>791</v>
      </c>
      <c r="AT260" s="117" t="s">
        <v>1930</v>
      </c>
      <c r="AU260" s="117" t="b">
        <v>1</v>
      </c>
      <c r="AV260" s="117" t="b">
        <v>1</v>
      </c>
      <c r="AW260" s="117" t="s">
        <v>800</v>
      </c>
      <c r="AX260" s="117" t="s">
        <v>801</v>
      </c>
      <c r="AY260" s="117" t="s">
        <v>2198</v>
      </c>
      <c r="AZ260" s="117" t="s">
        <v>2199</v>
      </c>
      <c r="BA260" s="117" t="b">
        <v>1</v>
      </c>
      <c r="BB260" s="117" t="b">
        <v>1</v>
      </c>
      <c r="BC260" s="117"/>
      <c r="BD260" s="117"/>
      <c r="BE260" s="117">
        <v>0</v>
      </c>
    </row>
    <row r="261" spans="1:57" ht="16">
      <c r="A261" s="117" t="s">
        <v>22</v>
      </c>
      <c r="B261" s="117" t="s">
        <v>443</v>
      </c>
      <c r="C261" s="117" t="s">
        <v>24</v>
      </c>
      <c r="D261" s="117" t="s">
        <v>444</v>
      </c>
      <c r="E261" s="117" t="s">
        <v>445</v>
      </c>
      <c r="F261" s="117" t="s">
        <v>446</v>
      </c>
      <c r="G261" s="117" t="s">
        <v>447</v>
      </c>
      <c r="H261" s="118" t="s">
        <v>2582</v>
      </c>
      <c r="I261" s="119" t="s">
        <v>2605</v>
      </c>
      <c r="J261" s="120" t="s">
        <v>2508</v>
      </c>
      <c r="K261" s="120" t="s">
        <v>2508</v>
      </c>
      <c r="L261" s="118"/>
      <c r="M261" s="119"/>
      <c r="N261" s="118"/>
      <c r="O261" s="119"/>
      <c r="P261" s="117" t="s">
        <v>28</v>
      </c>
      <c r="Q261" s="117" t="s">
        <v>45</v>
      </c>
      <c r="R261" s="117" t="b">
        <v>1</v>
      </c>
      <c r="S261" s="117" t="b">
        <v>1</v>
      </c>
      <c r="T261" s="117" t="b">
        <v>0</v>
      </c>
      <c r="U261" s="117" t="b">
        <v>0</v>
      </c>
      <c r="V261" s="117" t="b">
        <v>0</v>
      </c>
      <c r="W261" s="117" t="b">
        <v>1</v>
      </c>
      <c r="X261" s="117" t="b">
        <v>0</v>
      </c>
      <c r="Y261" s="117" t="b">
        <v>0</v>
      </c>
      <c r="Z261" s="117" t="b">
        <v>0</v>
      </c>
      <c r="AA261" s="117"/>
      <c r="AB261" s="117" t="s">
        <v>448</v>
      </c>
      <c r="AC261" s="117"/>
      <c r="AD261" s="117"/>
      <c r="AE261" s="117"/>
      <c r="AF261" s="117"/>
      <c r="AG261" s="117" t="s">
        <v>449</v>
      </c>
      <c r="AH261" s="117">
        <v>3276045812910000</v>
      </c>
      <c r="AI261" s="117" t="s">
        <v>119</v>
      </c>
      <c r="AJ261" s="117" t="s">
        <v>32</v>
      </c>
      <c r="AK261" s="117"/>
      <c r="AL261" s="117">
        <v>6285710444484</v>
      </c>
      <c r="AM261" s="117"/>
      <c r="AN261" s="117"/>
      <c r="AO261" s="117" t="s">
        <v>451</v>
      </c>
      <c r="AP261" s="117"/>
      <c r="AQ261" s="117" t="s">
        <v>444</v>
      </c>
      <c r="AR261" s="117" t="s">
        <v>1903</v>
      </c>
      <c r="AS261" s="117" t="s">
        <v>445</v>
      </c>
      <c r="AT261" s="117" t="s">
        <v>1926</v>
      </c>
      <c r="AU261" s="117" t="b">
        <v>1</v>
      </c>
      <c r="AV261" s="117" t="b">
        <v>1</v>
      </c>
      <c r="AW261" s="117" t="s">
        <v>446</v>
      </c>
      <c r="AX261" s="117" t="s">
        <v>447</v>
      </c>
      <c r="AY261" s="117" t="s">
        <v>2108</v>
      </c>
      <c r="AZ261" s="117" t="s">
        <v>2109</v>
      </c>
      <c r="BA261" s="117" t="b">
        <v>1</v>
      </c>
      <c r="BB261" s="117" t="b">
        <v>1</v>
      </c>
      <c r="BC261" s="117"/>
      <c r="BD261" s="117"/>
      <c r="BE261" s="117">
        <v>0</v>
      </c>
    </row>
    <row r="262" spans="1:57" ht="16">
      <c r="A262" s="117" t="s">
        <v>22</v>
      </c>
      <c r="B262" s="117" t="s">
        <v>443</v>
      </c>
      <c r="C262" s="117" t="s">
        <v>24</v>
      </c>
      <c r="D262" s="117" t="s">
        <v>444</v>
      </c>
      <c r="E262" s="117" t="s">
        <v>445</v>
      </c>
      <c r="F262" s="117" t="s">
        <v>452</v>
      </c>
      <c r="G262" s="117" t="s">
        <v>453</v>
      </c>
      <c r="H262" s="118" t="s">
        <v>2583</v>
      </c>
      <c r="I262" s="119" t="s">
        <v>2606</v>
      </c>
      <c r="J262" s="120" t="s">
        <v>2508</v>
      </c>
      <c r="K262" s="120" t="s">
        <v>2508</v>
      </c>
      <c r="L262" s="118"/>
      <c r="M262" s="119"/>
      <c r="N262" s="118"/>
      <c r="O262" s="119"/>
      <c r="P262" s="117" t="s">
        <v>28</v>
      </c>
      <c r="Q262" s="117" t="s">
        <v>45</v>
      </c>
      <c r="R262" s="117" t="b">
        <v>1</v>
      </c>
      <c r="S262" s="117" t="b">
        <v>1</v>
      </c>
      <c r="T262" s="117" t="b">
        <v>0</v>
      </c>
      <c r="U262" s="117" t="b">
        <v>0</v>
      </c>
      <c r="V262" s="117" t="b">
        <v>0</v>
      </c>
      <c r="W262" s="117" t="b">
        <v>1</v>
      </c>
      <c r="X262" s="117" t="b">
        <v>0</v>
      </c>
      <c r="Y262" s="117" t="b">
        <v>0</v>
      </c>
      <c r="Z262" s="117" t="b">
        <v>0</v>
      </c>
      <c r="AA262" s="117"/>
      <c r="AB262" s="117" t="s">
        <v>454</v>
      </c>
      <c r="AC262" s="117"/>
      <c r="AD262" s="117"/>
      <c r="AE262" s="117"/>
      <c r="AF262" s="117"/>
      <c r="AG262" s="117" t="s">
        <v>455</v>
      </c>
      <c r="AH262" s="117">
        <v>3175070504770010</v>
      </c>
      <c r="AI262" s="117" t="s">
        <v>68</v>
      </c>
      <c r="AJ262" s="117" t="s">
        <v>32</v>
      </c>
      <c r="AK262" s="117"/>
      <c r="AL262" s="117">
        <v>6285695423326</v>
      </c>
      <c r="AM262" s="117"/>
      <c r="AN262" s="117"/>
      <c r="AO262" s="117" t="s">
        <v>457</v>
      </c>
      <c r="AP262" s="117"/>
      <c r="AQ262" s="117" t="s">
        <v>444</v>
      </c>
      <c r="AR262" s="117" t="s">
        <v>1903</v>
      </c>
      <c r="AS262" s="117" t="s">
        <v>445</v>
      </c>
      <c r="AT262" s="117" t="s">
        <v>1926</v>
      </c>
      <c r="AU262" s="117" t="b">
        <v>1</v>
      </c>
      <c r="AV262" s="117" t="b">
        <v>1</v>
      </c>
      <c r="AW262" s="117" t="s">
        <v>452</v>
      </c>
      <c r="AX262" s="117" t="s">
        <v>453</v>
      </c>
      <c r="AY262" s="117" t="s">
        <v>2110</v>
      </c>
      <c r="AZ262" s="117" t="s">
        <v>2111</v>
      </c>
      <c r="BA262" s="117" t="b">
        <v>1</v>
      </c>
      <c r="BB262" s="117" t="b">
        <v>1</v>
      </c>
      <c r="BC262" s="117"/>
      <c r="BD262" s="117"/>
      <c r="BE262" s="117">
        <v>0</v>
      </c>
    </row>
    <row r="263" spans="1:57" ht="16">
      <c r="A263" s="117" t="s">
        <v>22</v>
      </c>
      <c r="B263" s="117" t="s">
        <v>443</v>
      </c>
      <c r="C263" s="117" t="s">
        <v>24</v>
      </c>
      <c r="D263" s="117" t="s">
        <v>444</v>
      </c>
      <c r="E263" s="117" t="s">
        <v>445</v>
      </c>
      <c r="F263" s="117" t="s">
        <v>458</v>
      </c>
      <c r="G263" s="117" t="s">
        <v>459</v>
      </c>
      <c r="H263" s="118" t="s">
        <v>2584</v>
      </c>
      <c r="I263" s="119" t="s">
        <v>2607</v>
      </c>
      <c r="J263" s="120" t="s">
        <v>2508</v>
      </c>
      <c r="K263" s="120" t="s">
        <v>2508</v>
      </c>
      <c r="L263" s="118"/>
      <c r="M263" s="119"/>
      <c r="N263" s="118"/>
      <c r="O263" s="119"/>
      <c r="P263" s="117" t="s">
        <v>28</v>
      </c>
      <c r="Q263" s="117" t="s">
        <v>45</v>
      </c>
      <c r="R263" s="117" t="b">
        <v>1</v>
      </c>
      <c r="S263" s="117" t="b">
        <v>1</v>
      </c>
      <c r="T263" s="117" t="b">
        <v>0</v>
      </c>
      <c r="U263" s="117" t="b">
        <v>0</v>
      </c>
      <c r="V263" s="117" t="b">
        <v>0</v>
      </c>
      <c r="W263" s="117" t="b">
        <v>1</v>
      </c>
      <c r="X263" s="117" t="b">
        <v>0</v>
      </c>
      <c r="Y263" s="117" t="b">
        <v>0</v>
      </c>
      <c r="Z263" s="117" t="b">
        <v>0</v>
      </c>
      <c r="AA263" s="117"/>
      <c r="AB263" s="117" t="s">
        <v>460</v>
      </c>
      <c r="AC263" s="117"/>
      <c r="AD263" s="117"/>
      <c r="AE263" s="117"/>
      <c r="AF263" s="117"/>
      <c r="AG263" s="117" t="s">
        <v>461</v>
      </c>
      <c r="AH263" s="117">
        <v>3173081912930000</v>
      </c>
      <c r="AI263" s="117" t="s">
        <v>68</v>
      </c>
      <c r="AJ263" s="117" t="s">
        <v>32</v>
      </c>
      <c r="AK263" s="117"/>
      <c r="AL263" s="117">
        <v>6285772094247</v>
      </c>
      <c r="AM263" s="117"/>
      <c r="AN263" s="117"/>
      <c r="AO263" s="117" t="s">
        <v>463</v>
      </c>
      <c r="AP263" s="117"/>
      <c r="AQ263" s="117" t="s">
        <v>444</v>
      </c>
      <c r="AR263" s="117" t="s">
        <v>1903</v>
      </c>
      <c r="AS263" s="117" t="s">
        <v>445</v>
      </c>
      <c r="AT263" s="117" t="s">
        <v>1926</v>
      </c>
      <c r="AU263" s="117" t="b">
        <v>1</v>
      </c>
      <c r="AV263" s="117" t="b">
        <v>1</v>
      </c>
      <c r="AW263" s="117" t="s">
        <v>458</v>
      </c>
      <c r="AX263" s="117" t="s">
        <v>459</v>
      </c>
      <c r="AY263" s="117" t="s">
        <v>2112</v>
      </c>
      <c r="AZ263" s="117" t="s">
        <v>2113</v>
      </c>
      <c r="BA263" s="117" t="b">
        <v>1</v>
      </c>
      <c r="BB263" s="117" t="b">
        <v>1</v>
      </c>
      <c r="BC263" s="117"/>
      <c r="BD263" s="117"/>
      <c r="BE263" s="117">
        <v>0</v>
      </c>
    </row>
    <row r="264" spans="1:57" ht="16">
      <c r="A264" s="117" t="s">
        <v>22</v>
      </c>
      <c r="B264" s="117" t="s">
        <v>443</v>
      </c>
      <c r="C264" s="117" t="s">
        <v>24</v>
      </c>
      <c r="D264" s="117" t="s">
        <v>444</v>
      </c>
      <c r="E264" s="117" t="s">
        <v>445</v>
      </c>
      <c r="F264" s="117" t="s">
        <v>464</v>
      </c>
      <c r="G264" s="117" t="s">
        <v>465</v>
      </c>
      <c r="H264" s="118" t="s">
        <v>2585</v>
      </c>
      <c r="I264" s="119" t="s">
        <v>2608</v>
      </c>
      <c r="J264" s="120" t="s">
        <v>2508</v>
      </c>
      <c r="K264" s="120" t="s">
        <v>2508</v>
      </c>
      <c r="L264" s="118"/>
      <c r="M264" s="119"/>
      <c r="N264" s="118"/>
      <c r="O264" s="119"/>
      <c r="P264" s="117" t="s">
        <v>28</v>
      </c>
      <c r="Q264" s="117" t="s">
        <v>45</v>
      </c>
      <c r="R264" s="117" t="b">
        <v>1</v>
      </c>
      <c r="S264" s="117" t="b">
        <v>1</v>
      </c>
      <c r="T264" s="117" t="b">
        <v>0</v>
      </c>
      <c r="U264" s="117" t="b">
        <v>0</v>
      </c>
      <c r="V264" s="117" t="b">
        <v>0</v>
      </c>
      <c r="W264" s="117" t="b">
        <v>1</v>
      </c>
      <c r="X264" s="117" t="b">
        <v>0</v>
      </c>
      <c r="Y264" s="117" t="b">
        <v>0</v>
      </c>
      <c r="Z264" s="117" t="b">
        <v>0</v>
      </c>
      <c r="AA264" s="117"/>
      <c r="AB264" s="117" t="s">
        <v>466</v>
      </c>
      <c r="AC264" s="117"/>
      <c r="AD264" s="117"/>
      <c r="AE264" s="117"/>
      <c r="AF264" s="117"/>
      <c r="AG264" s="117" t="s">
        <v>467</v>
      </c>
      <c r="AH264" s="117">
        <v>3276020411870000</v>
      </c>
      <c r="AI264" s="117" t="s">
        <v>68</v>
      </c>
      <c r="AJ264" s="117" t="s">
        <v>32</v>
      </c>
      <c r="AK264" s="117"/>
      <c r="AL264" s="117">
        <v>6281412127890</v>
      </c>
      <c r="AM264" s="117"/>
      <c r="AN264" s="117"/>
      <c r="AO264" s="117" t="s">
        <v>469</v>
      </c>
      <c r="AP264" s="117"/>
      <c r="AQ264" s="117" t="s">
        <v>444</v>
      </c>
      <c r="AR264" s="117" t="s">
        <v>1903</v>
      </c>
      <c r="AS264" s="117" t="s">
        <v>445</v>
      </c>
      <c r="AT264" s="117" t="s">
        <v>1926</v>
      </c>
      <c r="AU264" s="117" t="b">
        <v>1</v>
      </c>
      <c r="AV264" s="117" t="b">
        <v>1</v>
      </c>
      <c r="AW264" s="117" t="s">
        <v>464</v>
      </c>
      <c r="AX264" s="117" t="s">
        <v>465</v>
      </c>
      <c r="AY264" s="117" t="s">
        <v>2114</v>
      </c>
      <c r="AZ264" s="117" t="s">
        <v>2115</v>
      </c>
      <c r="BA264" s="117" t="b">
        <v>1</v>
      </c>
      <c r="BB264" s="117" t="b">
        <v>1</v>
      </c>
      <c r="BC264" s="117"/>
      <c r="BD264" s="117"/>
      <c r="BE264" s="117">
        <v>0</v>
      </c>
    </row>
    <row r="265" spans="1:57" ht="16">
      <c r="A265" s="117" t="s">
        <v>22</v>
      </c>
      <c r="B265" s="117" t="s">
        <v>443</v>
      </c>
      <c r="C265" s="117" t="s">
        <v>24</v>
      </c>
      <c r="D265" s="117" t="s">
        <v>444</v>
      </c>
      <c r="E265" s="117" t="s">
        <v>445</v>
      </c>
      <c r="F265" s="117" t="s">
        <v>480</v>
      </c>
      <c r="G265" s="117" t="s">
        <v>481</v>
      </c>
      <c r="H265" s="118" t="s">
        <v>480</v>
      </c>
      <c r="I265" s="119" t="s">
        <v>481</v>
      </c>
      <c r="J265" s="120" t="s">
        <v>2508</v>
      </c>
      <c r="K265" s="120" t="s">
        <v>2508</v>
      </c>
      <c r="L265" s="118"/>
      <c r="M265" s="119"/>
      <c r="N265" s="118"/>
      <c r="O265" s="119"/>
      <c r="P265" s="117" t="s">
        <v>28</v>
      </c>
      <c r="Q265" s="117" t="s">
        <v>45</v>
      </c>
      <c r="R265" s="117" t="b">
        <v>1</v>
      </c>
      <c r="S265" s="117" t="b">
        <v>1</v>
      </c>
      <c r="T265" s="117" t="b">
        <v>1</v>
      </c>
      <c r="U265" s="117" t="b">
        <v>0</v>
      </c>
      <c r="V265" s="117" t="b">
        <v>0</v>
      </c>
      <c r="W265" s="117" t="b">
        <v>1</v>
      </c>
      <c r="X265" s="117" t="b">
        <v>1</v>
      </c>
      <c r="Y265" s="117" t="b">
        <v>0</v>
      </c>
      <c r="Z265" s="117" t="b">
        <v>0</v>
      </c>
      <c r="AA265" s="117"/>
      <c r="AB265" s="117" t="s">
        <v>482</v>
      </c>
      <c r="AC265" s="117"/>
      <c r="AD265" s="117"/>
      <c r="AE265" s="117"/>
      <c r="AF265" s="117"/>
      <c r="AG265" s="117" t="s">
        <v>483</v>
      </c>
      <c r="AH265" s="117">
        <v>3172051104850000</v>
      </c>
      <c r="AI265" s="117" t="s">
        <v>68</v>
      </c>
      <c r="AJ265" s="117" t="s">
        <v>32</v>
      </c>
      <c r="AK265" s="117"/>
      <c r="AL265" s="117">
        <v>6281511661167</v>
      </c>
      <c r="AM265" s="117"/>
      <c r="AN265" s="117"/>
      <c r="AO265" s="117" t="s">
        <v>485</v>
      </c>
      <c r="AP265" s="117"/>
      <c r="AQ265" s="117" t="s">
        <v>444</v>
      </c>
      <c r="AR265" s="117" t="s">
        <v>1903</v>
      </c>
      <c r="AS265" s="117" t="s">
        <v>445</v>
      </c>
      <c r="AT265" s="117" t="s">
        <v>1926</v>
      </c>
      <c r="AU265" s="117" t="b">
        <v>1</v>
      </c>
      <c r="AV265" s="117" t="b">
        <v>1</v>
      </c>
      <c r="AW265" s="117" t="s">
        <v>480</v>
      </c>
      <c r="AX265" s="117" t="s">
        <v>481</v>
      </c>
      <c r="AY265" s="117" t="s">
        <v>2118</v>
      </c>
      <c r="AZ265" s="117" t="s">
        <v>2119</v>
      </c>
      <c r="BA265" s="117" t="b">
        <v>1</v>
      </c>
      <c r="BB265" s="117" t="b">
        <v>1</v>
      </c>
      <c r="BC265" s="117"/>
      <c r="BD265" s="117"/>
      <c r="BE265" s="117">
        <v>0</v>
      </c>
    </row>
    <row r="266" spans="1:57" ht="16">
      <c r="A266" s="117" t="s">
        <v>22</v>
      </c>
      <c r="B266" s="117" t="s">
        <v>443</v>
      </c>
      <c r="C266" s="117" t="s">
        <v>24</v>
      </c>
      <c r="D266" s="117" t="s">
        <v>444</v>
      </c>
      <c r="E266" s="117" t="s">
        <v>445</v>
      </c>
      <c r="F266" s="117" t="s">
        <v>492</v>
      </c>
      <c r="G266" s="117" t="s">
        <v>493</v>
      </c>
      <c r="H266" s="118" t="s">
        <v>492</v>
      </c>
      <c r="I266" s="119" t="s">
        <v>493</v>
      </c>
      <c r="J266" s="120" t="s">
        <v>2508</v>
      </c>
      <c r="K266" s="120" t="s">
        <v>2508</v>
      </c>
      <c r="L266" s="118"/>
      <c r="M266" s="119"/>
      <c r="N266" s="118"/>
      <c r="O266" s="119"/>
      <c r="P266" s="117" t="s">
        <v>28</v>
      </c>
      <c r="Q266" s="117" t="s">
        <v>45</v>
      </c>
      <c r="R266" s="117" t="b">
        <v>1</v>
      </c>
      <c r="S266" s="117" t="b">
        <v>1</v>
      </c>
      <c r="T266" s="117" t="b">
        <v>1</v>
      </c>
      <c r="U266" s="117" t="b">
        <v>0</v>
      </c>
      <c r="V266" s="117" t="b">
        <v>0</v>
      </c>
      <c r="W266" s="117" t="b">
        <v>1</v>
      </c>
      <c r="X266" s="117" t="b">
        <v>1</v>
      </c>
      <c r="Y266" s="117" t="b">
        <v>0</v>
      </c>
      <c r="Z266" s="117" t="b">
        <v>0</v>
      </c>
      <c r="AA266" s="117"/>
      <c r="AB266" s="117" t="s">
        <v>494</v>
      </c>
      <c r="AC266" s="117"/>
      <c r="AD266" s="117"/>
      <c r="AE266" s="117"/>
      <c r="AF266" s="117"/>
      <c r="AG266" s="117" t="s">
        <v>495</v>
      </c>
      <c r="AH266" s="117">
        <v>3173011112010000</v>
      </c>
      <c r="AI266" s="117" t="s">
        <v>68</v>
      </c>
      <c r="AJ266" s="117" t="s">
        <v>32</v>
      </c>
      <c r="AK266" s="117"/>
      <c r="AL266" s="117">
        <v>6285893902559</v>
      </c>
      <c r="AM266" s="117"/>
      <c r="AN266" s="117"/>
      <c r="AO266" s="117" t="s">
        <v>497</v>
      </c>
      <c r="AP266" s="117"/>
      <c r="AQ266" s="117" t="s">
        <v>444</v>
      </c>
      <c r="AR266" s="117" t="s">
        <v>1903</v>
      </c>
      <c r="AS266" s="117" t="s">
        <v>445</v>
      </c>
      <c r="AT266" s="117" t="s">
        <v>1926</v>
      </c>
      <c r="AU266" s="117" t="b">
        <v>1</v>
      </c>
      <c r="AV266" s="117" t="b">
        <v>1</v>
      </c>
      <c r="AW266" s="117" t="s">
        <v>492</v>
      </c>
      <c r="AX266" s="117" t="s">
        <v>493</v>
      </c>
      <c r="AY266" s="117" t="s">
        <v>2122</v>
      </c>
      <c r="AZ266" s="117" t="s">
        <v>2123</v>
      </c>
      <c r="BA266" s="117" t="b">
        <v>1</v>
      </c>
      <c r="BB266" s="117" t="b">
        <v>1</v>
      </c>
      <c r="BC266" s="117"/>
      <c r="BD266" s="117"/>
      <c r="BE266" s="117">
        <v>0</v>
      </c>
    </row>
    <row r="267" spans="1:57" ht="16">
      <c r="A267" s="117" t="s">
        <v>22</v>
      </c>
      <c r="B267" s="117" t="s">
        <v>443</v>
      </c>
      <c r="C267" s="117" t="s">
        <v>24</v>
      </c>
      <c r="D267" s="117" t="s">
        <v>444</v>
      </c>
      <c r="E267" s="117" t="s">
        <v>445</v>
      </c>
      <c r="F267" s="117" t="s">
        <v>1702</v>
      </c>
      <c r="G267" s="117" t="s">
        <v>1701</v>
      </c>
      <c r="H267" s="118" t="s">
        <v>1702</v>
      </c>
      <c r="I267" s="119" t="s">
        <v>1701</v>
      </c>
      <c r="J267" s="120" t="s">
        <v>2508</v>
      </c>
      <c r="K267" s="120" t="s">
        <v>2508</v>
      </c>
      <c r="L267" s="118"/>
      <c r="M267" s="119"/>
      <c r="N267" s="118"/>
      <c r="O267" s="119"/>
      <c r="P267" s="117" t="s">
        <v>28</v>
      </c>
      <c r="Q267" s="117" t="s">
        <v>45</v>
      </c>
      <c r="R267" s="117" t="b">
        <v>1</v>
      </c>
      <c r="S267" s="117" t="b">
        <v>1</v>
      </c>
      <c r="T267" s="117" t="b">
        <v>1</v>
      </c>
      <c r="U267" s="117" t="b">
        <v>0</v>
      </c>
      <c r="V267" s="117" t="b">
        <v>0</v>
      </c>
      <c r="W267" s="117" t="b">
        <v>1</v>
      </c>
      <c r="X267" s="117" t="b">
        <v>1</v>
      </c>
      <c r="Y267" s="117" t="b">
        <v>0</v>
      </c>
      <c r="Z267" s="117" t="b">
        <v>0</v>
      </c>
      <c r="AA267" s="117"/>
      <c r="AB267" s="117" t="s">
        <v>1703</v>
      </c>
      <c r="AC267" s="117"/>
      <c r="AD267" s="117"/>
      <c r="AE267" s="117"/>
      <c r="AF267" s="117"/>
      <c r="AG267" s="117" t="s">
        <v>2851</v>
      </c>
      <c r="AH267" s="117">
        <v>3671120511190000</v>
      </c>
      <c r="AI267" s="117" t="s">
        <v>68</v>
      </c>
      <c r="AJ267" s="117" t="s">
        <v>32</v>
      </c>
      <c r="AK267" s="117"/>
      <c r="AL267" s="117">
        <v>62895396000770</v>
      </c>
      <c r="AM267" s="117"/>
      <c r="AN267" s="117"/>
      <c r="AO267" s="117" t="s">
        <v>1706</v>
      </c>
      <c r="AP267" s="117"/>
      <c r="AQ267" s="117" t="s">
        <v>444</v>
      </c>
      <c r="AR267" s="117" t="s">
        <v>1903</v>
      </c>
      <c r="AS267" s="117" t="s">
        <v>445</v>
      </c>
      <c r="AT267" s="117" t="s">
        <v>1926</v>
      </c>
      <c r="AU267" s="117" t="b">
        <v>1</v>
      </c>
      <c r="AV267" s="117" t="b">
        <v>1</v>
      </c>
      <c r="AW267" s="117" t="s">
        <v>1702</v>
      </c>
      <c r="AX267" s="117" t="s">
        <v>1701</v>
      </c>
      <c r="AY267" s="117" t="s">
        <v>2444</v>
      </c>
      <c r="AZ267" s="117" t="s">
        <v>2445</v>
      </c>
      <c r="BA267" s="117" t="b">
        <v>1</v>
      </c>
      <c r="BB267" s="117" t="b">
        <v>1</v>
      </c>
      <c r="BC267" s="117"/>
      <c r="BD267" s="117"/>
      <c r="BE267" s="117">
        <v>0</v>
      </c>
    </row>
    <row r="268" spans="1:57" ht="16">
      <c r="A268" s="117" t="s">
        <v>22</v>
      </c>
      <c r="B268" s="117" t="s">
        <v>443</v>
      </c>
      <c r="C268" s="117" t="s">
        <v>24</v>
      </c>
      <c r="D268" s="117" t="s">
        <v>444</v>
      </c>
      <c r="E268" s="117" t="s">
        <v>445</v>
      </c>
      <c r="F268" s="117" t="s">
        <v>1714</v>
      </c>
      <c r="G268" s="117" t="s">
        <v>1713</v>
      </c>
      <c r="H268" s="118" t="s">
        <v>1714</v>
      </c>
      <c r="I268" s="119" t="s">
        <v>1713</v>
      </c>
      <c r="J268" s="120" t="s">
        <v>2508</v>
      </c>
      <c r="K268" s="120" t="s">
        <v>2508</v>
      </c>
      <c r="L268" s="118"/>
      <c r="M268" s="119"/>
      <c r="N268" s="118"/>
      <c r="O268" s="119"/>
      <c r="P268" s="117" t="s">
        <v>28</v>
      </c>
      <c r="Q268" s="117" t="s">
        <v>45</v>
      </c>
      <c r="R268" s="117" t="b">
        <v>1</v>
      </c>
      <c r="S268" s="117" t="b">
        <v>1</v>
      </c>
      <c r="T268" s="117" t="b">
        <v>1</v>
      </c>
      <c r="U268" s="117" t="b">
        <v>0</v>
      </c>
      <c r="V268" s="117" t="b">
        <v>0</v>
      </c>
      <c r="W268" s="117" t="b">
        <v>1</v>
      </c>
      <c r="X268" s="117" t="b">
        <v>1</v>
      </c>
      <c r="Y268" s="117" t="b">
        <v>0</v>
      </c>
      <c r="Z268" s="117" t="b">
        <v>0</v>
      </c>
      <c r="AA268" s="117"/>
      <c r="AB268" s="117" t="s">
        <v>1715</v>
      </c>
      <c r="AC268" s="117"/>
      <c r="AD268" s="117"/>
      <c r="AE268" s="117"/>
      <c r="AF268" s="117"/>
      <c r="AG268" s="117" t="s">
        <v>1716</v>
      </c>
      <c r="AH268" s="117">
        <v>3173011001094210</v>
      </c>
      <c r="AI268" s="117" t="s">
        <v>68</v>
      </c>
      <c r="AJ268" s="117" t="s">
        <v>32</v>
      </c>
      <c r="AK268" s="117"/>
      <c r="AL268" s="117">
        <v>6289602777992</v>
      </c>
      <c r="AM268" s="117"/>
      <c r="AN268" s="117"/>
      <c r="AO268" s="117" t="s">
        <v>1718</v>
      </c>
      <c r="AP268" s="117"/>
      <c r="AQ268" s="117" t="s">
        <v>444</v>
      </c>
      <c r="AR268" s="117" t="s">
        <v>1903</v>
      </c>
      <c r="AS268" s="117" t="s">
        <v>445</v>
      </c>
      <c r="AT268" s="117" t="s">
        <v>1926</v>
      </c>
      <c r="AU268" s="117" t="b">
        <v>1</v>
      </c>
      <c r="AV268" s="117" t="b">
        <v>1</v>
      </c>
      <c r="AW268" s="117" t="s">
        <v>1714</v>
      </c>
      <c r="AX268" s="117" t="s">
        <v>1713</v>
      </c>
      <c r="AY268" s="117" t="s">
        <v>2448</v>
      </c>
      <c r="AZ268" s="117" t="s">
        <v>2449</v>
      </c>
      <c r="BA268" s="117" t="b">
        <v>1</v>
      </c>
      <c r="BB268" s="117" t="b">
        <v>1</v>
      </c>
      <c r="BC268" s="117"/>
      <c r="BD268" s="117"/>
      <c r="BE268" s="117">
        <v>0</v>
      </c>
    </row>
    <row r="269" spans="1:57" ht="16">
      <c r="A269" s="117" t="s">
        <v>22</v>
      </c>
      <c r="B269" s="117" t="s">
        <v>443</v>
      </c>
      <c r="C269" s="117" t="s">
        <v>24</v>
      </c>
      <c r="D269" s="117" t="s">
        <v>444</v>
      </c>
      <c r="E269" s="117" t="s">
        <v>445</v>
      </c>
      <c r="F269" s="117" t="s">
        <v>1780</v>
      </c>
      <c r="G269" s="117" t="s">
        <v>1779</v>
      </c>
      <c r="H269" s="118" t="s">
        <v>1780</v>
      </c>
      <c r="I269" s="119" t="s">
        <v>1779</v>
      </c>
      <c r="J269" s="120" t="s">
        <v>2508</v>
      </c>
      <c r="K269" s="120" t="s">
        <v>2508</v>
      </c>
      <c r="L269" s="118"/>
      <c r="M269" s="119"/>
      <c r="N269" s="118"/>
      <c r="O269" s="119"/>
      <c r="P269" s="117" t="s">
        <v>28</v>
      </c>
      <c r="Q269" s="117" t="s">
        <v>45</v>
      </c>
      <c r="R269" s="117" t="b">
        <v>1</v>
      </c>
      <c r="S269" s="117" t="b">
        <v>1</v>
      </c>
      <c r="T269" s="117" t="b">
        <v>1</v>
      </c>
      <c r="U269" s="117" t="b">
        <v>0</v>
      </c>
      <c r="V269" s="117" t="b">
        <v>0</v>
      </c>
      <c r="W269" s="117" t="b">
        <v>1</v>
      </c>
      <c r="X269" s="117" t="b">
        <v>1</v>
      </c>
      <c r="Y269" s="117" t="b">
        <v>0</v>
      </c>
      <c r="Z269" s="117" t="b">
        <v>0</v>
      </c>
      <c r="AA269" s="117"/>
      <c r="AB269" s="117" t="s">
        <v>1781</v>
      </c>
      <c r="AC269" s="117"/>
      <c r="AD269" s="117"/>
      <c r="AE269" s="117"/>
      <c r="AF269" s="117"/>
      <c r="AG269" s="117" t="s">
        <v>1782</v>
      </c>
      <c r="AH269" s="117">
        <v>3671120710160010</v>
      </c>
      <c r="AI269" s="117" t="s">
        <v>68</v>
      </c>
      <c r="AJ269" s="117" t="s">
        <v>32</v>
      </c>
      <c r="AK269" s="117"/>
      <c r="AL269" s="117">
        <v>6289602777984</v>
      </c>
      <c r="AM269" s="117"/>
      <c r="AN269" s="117"/>
      <c r="AO269" s="117" t="s">
        <v>1784</v>
      </c>
      <c r="AP269" s="117"/>
      <c r="AQ269" s="117" t="s">
        <v>444</v>
      </c>
      <c r="AR269" s="117" t="s">
        <v>1903</v>
      </c>
      <c r="AS269" s="117" t="s">
        <v>445</v>
      </c>
      <c r="AT269" s="117" t="s">
        <v>1926</v>
      </c>
      <c r="AU269" s="117" t="b">
        <v>1</v>
      </c>
      <c r="AV269" s="117" t="b">
        <v>1</v>
      </c>
      <c r="AW269" s="117" t="s">
        <v>1780</v>
      </c>
      <c r="AX269" s="117" t="s">
        <v>1779</v>
      </c>
      <c r="AY269" s="117" t="s">
        <v>2466</v>
      </c>
      <c r="AZ269" s="117" t="s">
        <v>2467</v>
      </c>
      <c r="BA269" s="117" t="b">
        <v>1</v>
      </c>
      <c r="BB269" s="117" t="b">
        <v>1</v>
      </c>
      <c r="BC269" s="117"/>
      <c r="BD269" s="117"/>
      <c r="BE269" s="117">
        <v>0</v>
      </c>
    </row>
    <row r="270" spans="1:57" ht="16">
      <c r="A270" s="117" t="s">
        <v>22</v>
      </c>
      <c r="B270" s="117" t="s">
        <v>443</v>
      </c>
      <c r="C270" s="117" t="s">
        <v>24</v>
      </c>
      <c r="D270" s="117" t="s">
        <v>444</v>
      </c>
      <c r="E270" s="117" t="s">
        <v>445</v>
      </c>
      <c r="F270" s="117" t="s">
        <v>1798</v>
      </c>
      <c r="G270" s="117" t="s">
        <v>1797</v>
      </c>
      <c r="H270" s="118" t="s">
        <v>1798</v>
      </c>
      <c r="I270" s="119" t="s">
        <v>1797</v>
      </c>
      <c r="J270" s="120" t="s">
        <v>2508</v>
      </c>
      <c r="K270" s="120" t="s">
        <v>2508</v>
      </c>
      <c r="L270" s="118"/>
      <c r="M270" s="119"/>
      <c r="N270" s="118"/>
      <c r="O270" s="119"/>
      <c r="P270" s="117" t="s">
        <v>28</v>
      </c>
      <c r="Q270" s="117" t="s">
        <v>44</v>
      </c>
      <c r="R270" s="117" t="b">
        <v>1</v>
      </c>
      <c r="S270" s="117" t="b">
        <v>1</v>
      </c>
      <c r="T270" s="117" t="b">
        <v>1</v>
      </c>
      <c r="U270" s="117" t="b">
        <v>0</v>
      </c>
      <c r="V270" s="117" t="b">
        <v>0</v>
      </c>
      <c r="W270" s="117" t="b">
        <v>1</v>
      </c>
      <c r="X270" s="117" t="b">
        <v>1</v>
      </c>
      <c r="Y270" s="117" t="b">
        <v>0</v>
      </c>
      <c r="Z270" s="117" t="b">
        <v>0</v>
      </c>
      <c r="AA270" s="117"/>
      <c r="AB270" s="117" t="s">
        <v>1799</v>
      </c>
      <c r="AC270" s="117"/>
      <c r="AD270" s="117"/>
      <c r="AE270" s="117"/>
      <c r="AF270" s="117"/>
      <c r="AG270" s="117" t="s">
        <v>1800</v>
      </c>
      <c r="AH270" s="117">
        <v>3173060903111030</v>
      </c>
      <c r="AI270" s="117" t="s">
        <v>68</v>
      </c>
      <c r="AJ270" s="117" t="s">
        <v>32</v>
      </c>
      <c r="AK270" s="121">
        <v>6295400000000</v>
      </c>
      <c r="AL270" s="117">
        <v>628999998911</v>
      </c>
      <c r="AM270" s="117"/>
      <c r="AN270" s="117"/>
      <c r="AO270" s="117" t="s">
        <v>1802</v>
      </c>
      <c r="AP270" s="117"/>
      <c r="AQ270" s="117" t="s">
        <v>444</v>
      </c>
      <c r="AR270" s="117" t="s">
        <v>1903</v>
      </c>
      <c r="AS270" s="117" t="s">
        <v>445</v>
      </c>
      <c r="AT270" s="117" t="s">
        <v>1926</v>
      </c>
      <c r="AU270" s="117" t="b">
        <v>1</v>
      </c>
      <c r="AV270" s="117" t="b">
        <v>1</v>
      </c>
      <c r="AW270" s="117" t="s">
        <v>1798</v>
      </c>
      <c r="AX270" s="117" t="s">
        <v>1797</v>
      </c>
      <c r="AY270" s="117" t="s">
        <v>2472</v>
      </c>
      <c r="AZ270" s="117" t="s">
        <v>2473</v>
      </c>
      <c r="BA270" s="117" t="b">
        <v>1</v>
      </c>
      <c r="BB270" s="117" t="b">
        <v>1</v>
      </c>
      <c r="BC270" s="117"/>
      <c r="BD270" s="117"/>
      <c r="BE270" s="117">
        <v>0</v>
      </c>
    </row>
    <row r="271" spans="1:57" ht="16">
      <c r="A271" s="117" t="s">
        <v>22</v>
      </c>
      <c r="B271" s="117" t="s">
        <v>470</v>
      </c>
      <c r="C271" s="117" t="s">
        <v>471</v>
      </c>
      <c r="D271" s="117" t="s">
        <v>472</v>
      </c>
      <c r="E271" s="117" t="s">
        <v>473</v>
      </c>
      <c r="F271" s="117">
        <v>2613051407</v>
      </c>
      <c r="G271" s="117" t="s">
        <v>520</v>
      </c>
      <c r="H271" s="118">
        <v>2613051407</v>
      </c>
      <c r="I271" s="119" t="s">
        <v>520</v>
      </c>
      <c r="J271" s="120" t="s">
        <v>2508</v>
      </c>
      <c r="K271" s="120" t="s">
        <v>2508</v>
      </c>
      <c r="L271" s="118"/>
      <c r="M271" s="119"/>
      <c r="N271" s="118"/>
      <c r="O271" s="119"/>
      <c r="P271" s="117" t="s">
        <v>28</v>
      </c>
      <c r="Q271" s="117" t="s">
        <v>44</v>
      </c>
      <c r="R271" s="117" t="b">
        <v>1</v>
      </c>
      <c r="S271" s="117" t="b">
        <v>1</v>
      </c>
      <c r="T271" s="117" t="b">
        <v>1</v>
      </c>
      <c r="U271" s="117" t="b">
        <v>0</v>
      </c>
      <c r="V271" s="117" t="b">
        <v>0</v>
      </c>
      <c r="W271" s="117" t="b">
        <v>1</v>
      </c>
      <c r="X271" s="117" t="b">
        <v>1</v>
      </c>
      <c r="Y271" s="117" t="b">
        <v>0</v>
      </c>
      <c r="Z271" s="117" t="b">
        <v>0</v>
      </c>
      <c r="AA271" s="117"/>
      <c r="AB271" s="117" t="s">
        <v>521</v>
      </c>
      <c r="AC271" s="117"/>
      <c r="AD271" s="117"/>
      <c r="AE271" s="117"/>
      <c r="AF271" s="117"/>
      <c r="AG271" s="117" t="s">
        <v>2852</v>
      </c>
      <c r="AH271" s="117">
        <v>3173051512030000</v>
      </c>
      <c r="AI271" s="117" t="s">
        <v>524</v>
      </c>
      <c r="AJ271" s="117" t="s">
        <v>32</v>
      </c>
      <c r="AK271" s="121">
        <v>6285780000000</v>
      </c>
      <c r="AL271" s="117">
        <v>6285776350018</v>
      </c>
      <c r="AM271" s="117"/>
      <c r="AN271" s="117"/>
      <c r="AO271" s="117" t="s">
        <v>525</v>
      </c>
      <c r="AP271" s="117"/>
      <c r="AQ271" s="117" t="s">
        <v>472</v>
      </c>
      <c r="AR271" s="117" t="s">
        <v>1903</v>
      </c>
      <c r="AS271" s="117" t="s">
        <v>473</v>
      </c>
      <c r="AT271" s="117" t="s">
        <v>1927</v>
      </c>
      <c r="AU271" s="117" t="b">
        <v>1</v>
      </c>
      <c r="AV271" s="117" t="b">
        <v>1</v>
      </c>
      <c r="AW271" s="117">
        <v>2613051407</v>
      </c>
      <c r="AX271" s="117" t="s">
        <v>520</v>
      </c>
      <c r="AY271" s="117" t="s">
        <v>2130</v>
      </c>
      <c r="AZ271" s="117" t="s">
        <v>2131</v>
      </c>
      <c r="BA271" s="117" t="b">
        <v>1</v>
      </c>
      <c r="BB271" s="117" t="b">
        <v>1</v>
      </c>
      <c r="BC271" s="117"/>
      <c r="BD271" s="117"/>
      <c r="BE271" s="117">
        <v>0</v>
      </c>
    </row>
    <row r="272" spans="1:57" ht="16">
      <c r="A272" s="117" t="s">
        <v>22</v>
      </c>
      <c r="B272" s="117" t="s">
        <v>470</v>
      </c>
      <c r="C272" s="117" t="s">
        <v>471</v>
      </c>
      <c r="D272" s="117" t="s">
        <v>472</v>
      </c>
      <c r="E272" s="117" t="s">
        <v>473</v>
      </c>
      <c r="F272" s="117" t="s">
        <v>474</v>
      </c>
      <c r="G272" s="117" t="s">
        <v>475</v>
      </c>
      <c r="H272" s="118" t="s">
        <v>2586</v>
      </c>
      <c r="I272" s="119" t="s">
        <v>2609</v>
      </c>
      <c r="J272" s="120" t="s">
        <v>2508</v>
      </c>
      <c r="K272" s="120" t="s">
        <v>2508</v>
      </c>
      <c r="L272" s="118"/>
      <c r="M272" s="119"/>
      <c r="N272" s="118"/>
      <c r="O272" s="119"/>
      <c r="P272" s="117" t="s">
        <v>28</v>
      </c>
      <c r="Q272" s="117" t="s">
        <v>45</v>
      </c>
      <c r="R272" s="117" t="b">
        <v>1</v>
      </c>
      <c r="S272" s="117" t="b">
        <v>1</v>
      </c>
      <c r="T272" s="117" t="b">
        <v>1</v>
      </c>
      <c r="U272" s="117" t="b">
        <v>0</v>
      </c>
      <c r="V272" s="117" t="b">
        <v>0</v>
      </c>
      <c r="W272" s="117" t="b">
        <v>1</v>
      </c>
      <c r="X272" s="117" t="b">
        <v>1</v>
      </c>
      <c r="Y272" s="117" t="b">
        <v>0</v>
      </c>
      <c r="Z272" s="117" t="b">
        <v>0</v>
      </c>
      <c r="AA272" s="117"/>
      <c r="AB272" s="117" t="s">
        <v>476</v>
      </c>
      <c r="AC272" s="117"/>
      <c r="AD272" s="117"/>
      <c r="AE272" s="117"/>
      <c r="AF272" s="117"/>
      <c r="AG272" s="117" t="s">
        <v>477</v>
      </c>
      <c r="AH272" s="117">
        <v>3173081911930000</v>
      </c>
      <c r="AI272" s="117" t="s">
        <v>68</v>
      </c>
      <c r="AJ272" s="117" t="s">
        <v>32</v>
      </c>
      <c r="AK272" s="117"/>
      <c r="AL272" s="117">
        <v>6285819325199</v>
      </c>
      <c r="AM272" s="117"/>
      <c r="AN272" s="117"/>
      <c r="AO272" s="117" t="s">
        <v>479</v>
      </c>
      <c r="AP272" s="117"/>
      <c r="AQ272" s="117" t="s">
        <v>472</v>
      </c>
      <c r="AR272" s="117" t="s">
        <v>1903</v>
      </c>
      <c r="AS272" s="117" t="s">
        <v>473</v>
      </c>
      <c r="AT272" s="117" t="s">
        <v>1927</v>
      </c>
      <c r="AU272" s="117" t="b">
        <v>1</v>
      </c>
      <c r="AV272" s="117" t="b">
        <v>1</v>
      </c>
      <c r="AW272" s="117" t="s">
        <v>474</v>
      </c>
      <c r="AX272" s="117" t="s">
        <v>475</v>
      </c>
      <c r="AY272" s="117" t="s">
        <v>2116</v>
      </c>
      <c r="AZ272" s="117" t="s">
        <v>2117</v>
      </c>
      <c r="BA272" s="117" t="b">
        <v>1</v>
      </c>
      <c r="BB272" s="117" t="b">
        <v>1</v>
      </c>
      <c r="BC272" s="117"/>
      <c r="BD272" s="117"/>
      <c r="BE272" s="117">
        <v>0</v>
      </c>
    </row>
    <row r="273" spans="1:57" ht="16">
      <c r="A273" s="117" t="s">
        <v>22</v>
      </c>
      <c r="B273" s="117" t="s">
        <v>470</v>
      </c>
      <c r="C273" s="117" t="s">
        <v>471</v>
      </c>
      <c r="D273" s="117" t="s">
        <v>472</v>
      </c>
      <c r="E273" s="117" t="s">
        <v>473</v>
      </c>
      <c r="F273" s="117" t="s">
        <v>486</v>
      </c>
      <c r="G273" s="117" t="s">
        <v>487</v>
      </c>
      <c r="H273" s="118" t="s">
        <v>2587</v>
      </c>
      <c r="I273" s="119" t="s">
        <v>2610</v>
      </c>
      <c r="J273" s="120" t="s">
        <v>2508</v>
      </c>
      <c r="K273" s="120" t="s">
        <v>2508</v>
      </c>
      <c r="L273" s="118"/>
      <c r="M273" s="119"/>
      <c r="N273" s="118"/>
      <c r="O273" s="119"/>
      <c r="P273" s="117" t="s">
        <v>28</v>
      </c>
      <c r="Q273" s="117" t="s">
        <v>45</v>
      </c>
      <c r="R273" s="117" t="b">
        <v>1</v>
      </c>
      <c r="S273" s="117" t="b">
        <v>1</v>
      </c>
      <c r="T273" s="117" t="b">
        <v>0</v>
      </c>
      <c r="U273" s="117" t="b">
        <v>0</v>
      </c>
      <c r="V273" s="117" t="b">
        <v>0</v>
      </c>
      <c r="W273" s="117" t="b">
        <v>1</v>
      </c>
      <c r="X273" s="117" t="b">
        <v>0</v>
      </c>
      <c r="Y273" s="117" t="b">
        <v>0</v>
      </c>
      <c r="Z273" s="117" t="b">
        <v>0</v>
      </c>
      <c r="AA273" s="117"/>
      <c r="AB273" s="117" t="s">
        <v>488</v>
      </c>
      <c r="AC273" s="117"/>
      <c r="AD273" s="117"/>
      <c r="AE273" s="117"/>
      <c r="AF273" s="117"/>
      <c r="AG273" s="117" t="s">
        <v>489</v>
      </c>
      <c r="AH273" s="117">
        <v>3171074112920000</v>
      </c>
      <c r="AI273" s="117" t="s">
        <v>119</v>
      </c>
      <c r="AJ273" s="117" t="s">
        <v>32</v>
      </c>
      <c r="AK273" s="117"/>
      <c r="AL273" s="117">
        <v>6281412128935</v>
      </c>
      <c r="AM273" s="117"/>
      <c r="AN273" s="117"/>
      <c r="AO273" s="117" t="s">
        <v>491</v>
      </c>
      <c r="AP273" s="117"/>
      <c r="AQ273" s="117" t="s">
        <v>472</v>
      </c>
      <c r="AR273" s="117" t="s">
        <v>1903</v>
      </c>
      <c r="AS273" s="117" t="s">
        <v>473</v>
      </c>
      <c r="AT273" s="117" t="s">
        <v>1927</v>
      </c>
      <c r="AU273" s="117" t="b">
        <v>1</v>
      </c>
      <c r="AV273" s="117" t="b">
        <v>1</v>
      </c>
      <c r="AW273" s="117" t="s">
        <v>486</v>
      </c>
      <c r="AX273" s="117" t="s">
        <v>487</v>
      </c>
      <c r="AY273" s="117" t="s">
        <v>2120</v>
      </c>
      <c r="AZ273" s="117" t="s">
        <v>2121</v>
      </c>
      <c r="BA273" s="117" t="b">
        <v>1</v>
      </c>
      <c r="BB273" s="117" t="b">
        <v>1</v>
      </c>
      <c r="BC273" s="117"/>
      <c r="BD273" s="117"/>
      <c r="BE273" s="117">
        <v>0</v>
      </c>
    </row>
    <row r="274" spans="1:57" ht="16">
      <c r="A274" s="117" t="s">
        <v>22</v>
      </c>
      <c r="B274" s="117" t="s">
        <v>470</v>
      </c>
      <c r="C274" s="117" t="s">
        <v>471</v>
      </c>
      <c r="D274" s="117" t="s">
        <v>472</v>
      </c>
      <c r="E274" s="117" t="s">
        <v>473</v>
      </c>
      <c r="F274" s="117" t="s">
        <v>514</v>
      </c>
      <c r="G274" s="117" t="s">
        <v>515</v>
      </c>
      <c r="H274" s="118" t="s">
        <v>514</v>
      </c>
      <c r="I274" s="119" t="s">
        <v>515</v>
      </c>
      <c r="J274" s="120" t="s">
        <v>2508</v>
      </c>
      <c r="K274" s="120" t="s">
        <v>2508</v>
      </c>
      <c r="L274" s="118"/>
      <c r="M274" s="119"/>
      <c r="N274" s="118"/>
      <c r="O274" s="119"/>
      <c r="P274" s="117" t="s">
        <v>28</v>
      </c>
      <c r="Q274" s="117" t="s">
        <v>45</v>
      </c>
      <c r="R274" s="117" t="b">
        <v>1</v>
      </c>
      <c r="S274" s="117" t="b">
        <v>1</v>
      </c>
      <c r="T274" s="117" t="b">
        <v>1</v>
      </c>
      <c r="U274" s="117" t="b">
        <v>0</v>
      </c>
      <c r="V274" s="117" t="b">
        <v>0</v>
      </c>
      <c r="W274" s="117" t="b">
        <v>1</v>
      </c>
      <c r="X274" s="117" t="b">
        <v>1</v>
      </c>
      <c r="Y274" s="117" t="b">
        <v>0</v>
      </c>
      <c r="Z274" s="117" t="b">
        <v>0</v>
      </c>
      <c r="AA274" s="117"/>
      <c r="AB274" s="117" t="s">
        <v>516</v>
      </c>
      <c r="AC274" s="117"/>
      <c r="AD274" s="117" t="s">
        <v>516</v>
      </c>
      <c r="AE274" s="117" t="s">
        <v>516</v>
      </c>
      <c r="AF274" s="117" t="b">
        <v>0</v>
      </c>
      <c r="AG274" s="117" t="s">
        <v>517</v>
      </c>
      <c r="AH274" s="121">
        <v>3173010000000000</v>
      </c>
      <c r="AI274" s="117" t="s">
        <v>68</v>
      </c>
      <c r="AJ274" s="117" t="s">
        <v>32</v>
      </c>
      <c r="AK274" s="117"/>
      <c r="AL274" s="117">
        <v>6285773788026</v>
      </c>
      <c r="AM274" s="117"/>
      <c r="AN274" s="117"/>
      <c r="AO274" s="117" t="s">
        <v>518</v>
      </c>
      <c r="AP274" s="117" t="s">
        <v>519</v>
      </c>
      <c r="AQ274" s="117" t="s">
        <v>472</v>
      </c>
      <c r="AR274" s="117" t="s">
        <v>1903</v>
      </c>
      <c r="AS274" s="117" t="s">
        <v>473</v>
      </c>
      <c r="AT274" s="117" t="s">
        <v>1927</v>
      </c>
      <c r="AU274" s="117" t="b">
        <v>1</v>
      </c>
      <c r="AV274" s="117" t="b">
        <v>1</v>
      </c>
      <c r="AW274" s="117" t="s">
        <v>514</v>
      </c>
      <c r="AX274" s="117" t="s">
        <v>515</v>
      </c>
      <c r="AY274" s="117" t="s">
        <v>2128</v>
      </c>
      <c r="AZ274" s="117" t="s">
        <v>2129</v>
      </c>
      <c r="BA274" s="117" t="b">
        <v>1</v>
      </c>
      <c r="BB274" s="117" t="b">
        <v>1</v>
      </c>
      <c r="BC274" s="117"/>
      <c r="BD274" s="117"/>
      <c r="BE274" s="117">
        <v>0</v>
      </c>
    </row>
    <row r="275" spans="1:57" ht="16">
      <c r="A275" s="117" t="s">
        <v>22</v>
      </c>
      <c r="B275" s="117" t="s">
        <v>470</v>
      </c>
      <c r="C275" s="117" t="s">
        <v>471</v>
      </c>
      <c r="D275" s="117" t="s">
        <v>472</v>
      </c>
      <c r="E275" s="117" t="s">
        <v>473</v>
      </c>
      <c r="F275" s="117" t="s">
        <v>1031</v>
      </c>
      <c r="G275" s="117" t="s">
        <v>1032</v>
      </c>
      <c r="H275" s="118" t="s">
        <v>1031</v>
      </c>
      <c r="I275" s="119" t="s">
        <v>1032</v>
      </c>
      <c r="J275" s="120" t="s">
        <v>2508</v>
      </c>
      <c r="K275" s="120" t="s">
        <v>2508</v>
      </c>
      <c r="L275" s="118"/>
      <c r="M275" s="119"/>
      <c r="N275" s="118"/>
      <c r="O275" s="119"/>
      <c r="P275" s="117" t="s">
        <v>28</v>
      </c>
      <c r="Q275" s="117" t="s">
        <v>45</v>
      </c>
      <c r="R275" s="117" t="b">
        <v>1</v>
      </c>
      <c r="S275" s="117" t="b">
        <v>1</v>
      </c>
      <c r="T275" s="117" t="b">
        <v>1</v>
      </c>
      <c r="U275" s="117" t="b">
        <v>0</v>
      </c>
      <c r="V275" s="117" t="b">
        <v>0</v>
      </c>
      <c r="W275" s="117" t="b">
        <v>1</v>
      </c>
      <c r="X275" s="117" t="b">
        <v>1</v>
      </c>
      <c r="Y275" s="117" t="b">
        <v>0</v>
      </c>
      <c r="Z275" s="117" t="b">
        <v>0</v>
      </c>
      <c r="AA275" s="117"/>
      <c r="AB275" s="117" t="s">
        <v>1033</v>
      </c>
      <c r="AC275" s="117"/>
      <c r="AD275" s="117"/>
      <c r="AE275" s="117"/>
      <c r="AF275" s="117"/>
      <c r="AG275" s="117" t="s">
        <v>1034</v>
      </c>
      <c r="AH275" s="117">
        <v>3671110111980000</v>
      </c>
      <c r="AI275" s="117" t="s">
        <v>68</v>
      </c>
      <c r="AJ275" s="117" t="s">
        <v>32</v>
      </c>
      <c r="AK275" s="117"/>
      <c r="AL275" s="117">
        <v>6285691777932</v>
      </c>
      <c r="AM275" s="117"/>
      <c r="AN275" s="117"/>
      <c r="AO275" s="117" t="s">
        <v>1036</v>
      </c>
      <c r="AP275" s="117"/>
      <c r="AQ275" s="117" t="s">
        <v>472</v>
      </c>
      <c r="AR275" s="117" t="s">
        <v>1903</v>
      </c>
      <c r="AS275" s="117" t="s">
        <v>473</v>
      </c>
      <c r="AT275" s="117" t="s">
        <v>1927</v>
      </c>
      <c r="AU275" s="117" t="b">
        <v>1</v>
      </c>
      <c r="AV275" s="117" t="b">
        <v>1</v>
      </c>
      <c r="AW275" s="117" t="s">
        <v>1031</v>
      </c>
      <c r="AX275" s="117" t="s">
        <v>1032</v>
      </c>
      <c r="AY275" s="117" t="s">
        <v>2258</v>
      </c>
      <c r="AZ275" s="117" t="s">
        <v>2259</v>
      </c>
      <c r="BA275" s="117" t="b">
        <v>1</v>
      </c>
      <c r="BB275" s="117" t="b">
        <v>1</v>
      </c>
      <c r="BC275" s="117"/>
      <c r="BD275" s="117"/>
      <c r="BE275" s="117">
        <v>0</v>
      </c>
    </row>
    <row r="276" spans="1:57" ht="16">
      <c r="A276" s="117" t="s">
        <v>22</v>
      </c>
      <c r="B276" s="117" t="s">
        <v>470</v>
      </c>
      <c r="C276" s="117" t="s">
        <v>471</v>
      </c>
      <c r="D276" s="117" t="s">
        <v>472</v>
      </c>
      <c r="E276" s="117" t="s">
        <v>473</v>
      </c>
      <c r="F276" s="117" t="s">
        <v>1132</v>
      </c>
      <c r="G276" s="117" t="s">
        <v>1133</v>
      </c>
      <c r="H276" s="118" t="s">
        <v>1132</v>
      </c>
      <c r="I276" s="119" t="s">
        <v>1133</v>
      </c>
      <c r="J276" s="120" t="s">
        <v>2508</v>
      </c>
      <c r="K276" s="120" t="s">
        <v>2508</v>
      </c>
      <c r="L276" s="118"/>
      <c r="M276" s="119"/>
      <c r="N276" s="118"/>
      <c r="O276" s="119"/>
      <c r="P276" s="117" t="s">
        <v>28</v>
      </c>
      <c r="Q276" s="117" t="s">
        <v>45</v>
      </c>
      <c r="R276" s="117" t="b">
        <v>1</v>
      </c>
      <c r="S276" s="117" t="b">
        <v>1</v>
      </c>
      <c r="T276" s="117" t="b">
        <v>1</v>
      </c>
      <c r="U276" s="117" t="b">
        <v>0</v>
      </c>
      <c r="V276" s="117" t="b">
        <v>0</v>
      </c>
      <c r="W276" s="117" t="b">
        <v>1</v>
      </c>
      <c r="X276" s="117" t="b">
        <v>1</v>
      </c>
      <c r="Y276" s="117" t="b">
        <v>0</v>
      </c>
      <c r="Z276" s="117" t="b">
        <v>0</v>
      </c>
      <c r="AA276" s="117"/>
      <c r="AB276" s="117" t="s">
        <v>1134</v>
      </c>
      <c r="AC276" s="117"/>
      <c r="AD276" s="117"/>
      <c r="AE276" s="117"/>
      <c r="AF276" s="117"/>
      <c r="AG276" s="117" t="s">
        <v>1135</v>
      </c>
      <c r="AH276" s="117">
        <v>3173081610940000</v>
      </c>
      <c r="AI276" s="117" t="s">
        <v>68</v>
      </c>
      <c r="AJ276" s="117" t="s">
        <v>32</v>
      </c>
      <c r="AK276" s="117"/>
      <c r="AL276" s="117">
        <v>6285691777934</v>
      </c>
      <c r="AM276" s="117"/>
      <c r="AN276" s="117"/>
      <c r="AO276" s="117" t="s">
        <v>1137</v>
      </c>
      <c r="AP276" s="117"/>
      <c r="AQ276" s="117" t="s">
        <v>472</v>
      </c>
      <c r="AR276" s="117" t="s">
        <v>1903</v>
      </c>
      <c r="AS276" s="117" t="s">
        <v>473</v>
      </c>
      <c r="AT276" s="117" t="s">
        <v>1927</v>
      </c>
      <c r="AU276" s="117" t="b">
        <v>1</v>
      </c>
      <c r="AV276" s="117" t="b">
        <v>1</v>
      </c>
      <c r="AW276" s="117" t="s">
        <v>1132</v>
      </c>
      <c r="AX276" s="117" t="s">
        <v>1133</v>
      </c>
      <c r="AY276" s="117" t="s">
        <v>2290</v>
      </c>
      <c r="AZ276" s="117" t="s">
        <v>2291</v>
      </c>
      <c r="BA276" s="117" t="b">
        <v>1</v>
      </c>
      <c r="BB276" s="117" t="b">
        <v>1</v>
      </c>
      <c r="BC276" s="117"/>
      <c r="BD276" s="117"/>
      <c r="BE276" s="117">
        <v>0</v>
      </c>
    </row>
    <row r="277" spans="1:57" ht="16">
      <c r="A277" s="117" t="s">
        <v>22</v>
      </c>
      <c r="B277" s="117" t="s">
        <v>470</v>
      </c>
      <c r="C277" s="117" t="s">
        <v>471</v>
      </c>
      <c r="D277" s="117" t="s">
        <v>472</v>
      </c>
      <c r="E277" s="117" t="s">
        <v>473</v>
      </c>
      <c r="F277" s="117" t="s">
        <v>1138</v>
      </c>
      <c r="G277" s="117" t="s">
        <v>1139</v>
      </c>
      <c r="H277" s="118" t="s">
        <v>1138</v>
      </c>
      <c r="I277" s="119" t="s">
        <v>1139</v>
      </c>
      <c r="J277" s="120" t="s">
        <v>2508</v>
      </c>
      <c r="K277" s="120" t="s">
        <v>2508</v>
      </c>
      <c r="L277" s="118"/>
      <c r="M277" s="119"/>
      <c r="N277" s="118"/>
      <c r="O277" s="119"/>
      <c r="P277" s="117" t="s">
        <v>28</v>
      </c>
      <c r="Q277" s="117" t="s">
        <v>45</v>
      </c>
      <c r="R277" s="117" t="b">
        <v>1</v>
      </c>
      <c r="S277" s="117" t="b">
        <v>1</v>
      </c>
      <c r="T277" s="117" t="b">
        <v>1</v>
      </c>
      <c r="U277" s="117" t="b">
        <v>0</v>
      </c>
      <c r="V277" s="117" t="b">
        <v>0</v>
      </c>
      <c r="W277" s="117" t="b">
        <v>1</v>
      </c>
      <c r="X277" s="117" t="b">
        <v>1</v>
      </c>
      <c r="Y277" s="117" t="b">
        <v>0</v>
      </c>
      <c r="Z277" s="117" t="b">
        <v>0</v>
      </c>
      <c r="AA277" s="117"/>
      <c r="AB277" s="117" t="s">
        <v>1140</v>
      </c>
      <c r="AC277" s="117"/>
      <c r="AD277" s="117"/>
      <c r="AE277" s="117"/>
      <c r="AF277" s="117"/>
      <c r="AG277" s="117" t="s">
        <v>1141</v>
      </c>
      <c r="AH277" s="117">
        <v>3171021910990000</v>
      </c>
      <c r="AI277" s="117" t="s">
        <v>68</v>
      </c>
      <c r="AJ277" s="117" t="s">
        <v>32</v>
      </c>
      <c r="AK277" s="117"/>
      <c r="AL277" s="117">
        <v>6285691777964</v>
      </c>
      <c r="AM277" s="117"/>
      <c r="AN277" s="117"/>
      <c r="AO277" s="117" t="s">
        <v>1143</v>
      </c>
      <c r="AP277" s="117"/>
      <c r="AQ277" s="117" t="s">
        <v>472</v>
      </c>
      <c r="AR277" s="117" t="s">
        <v>1903</v>
      </c>
      <c r="AS277" s="117" t="s">
        <v>473</v>
      </c>
      <c r="AT277" s="117" t="s">
        <v>1927</v>
      </c>
      <c r="AU277" s="117" t="b">
        <v>1</v>
      </c>
      <c r="AV277" s="117" t="b">
        <v>1</v>
      </c>
      <c r="AW277" s="117" t="s">
        <v>1138</v>
      </c>
      <c r="AX277" s="117" t="s">
        <v>1139</v>
      </c>
      <c r="AY277" s="117" t="s">
        <v>2292</v>
      </c>
      <c r="AZ277" s="117" t="s">
        <v>2293</v>
      </c>
      <c r="BA277" s="117" t="b">
        <v>1</v>
      </c>
      <c r="BB277" s="117" t="b">
        <v>1</v>
      </c>
      <c r="BC277" s="117"/>
      <c r="BD277" s="117"/>
      <c r="BE277" s="117">
        <v>0</v>
      </c>
    </row>
    <row r="278" spans="1:57" ht="16">
      <c r="A278" s="117" t="s">
        <v>22</v>
      </c>
      <c r="B278" s="117" t="s">
        <v>470</v>
      </c>
      <c r="C278" s="117" t="s">
        <v>471</v>
      </c>
      <c r="D278" s="117" t="s">
        <v>472</v>
      </c>
      <c r="E278" s="117" t="s">
        <v>473</v>
      </c>
      <c r="F278" s="117" t="s">
        <v>1804</v>
      </c>
      <c r="G278" s="117" t="s">
        <v>1803</v>
      </c>
      <c r="H278" s="118" t="s">
        <v>1804</v>
      </c>
      <c r="I278" s="119" t="s">
        <v>1803</v>
      </c>
      <c r="J278" s="120" t="s">
        <v>2508</v>
      </c>
      <c r="K278" s="120" t="s">
        <v>2508</v>
      </c>
      <c r="L278" s="118"/>
      <c r="M278" s="119"/>
      <c r="N278" s="118"/>
      <c r="O278" s="119"/>
      <c r="P278" s="117" t="s">
        <v>28</v>
      </c>
      <c r="Q278" s="117" t="s">
        <v>45</v>
      </c>
      <c r="R278" s="117" t="b">
        <v>1</v>
      </c>
      <c r="S278" s="117" t="b">
        <v>1</v>
      </c>
      <c r="T278" s="117" t="b">
        <v>1</v>
      </c>
      <c r="U278" s="117" t="b">
        <v>0</v>
      </c>
      <c r="V278" s="117" t="b">
        <v>0</v>
      </c>
      <c r="W278" s="117" t="b">
        <v>1</v>
      </c>
      <c r="X278" s="117" t="b">
        <v>1</v>
      </c>
      <c r="Y278" s="117" t="b">
        <v>0</v>
      </c>
      <c r="Z278" s="117" t="b">
        <v>0</v>
      </c>
      <c r="AA278" s="117"/>
      <c r="AB278" s="117" t="s">
        <v>1805</v>
      </c>
      <c r="AC278" s="117"/>
      <c r="AD278" s="117"/>
      <c r="AE278" s="117"/>
      <c r="AF278" s="117"/>
      <c r="AG278" s="117" t="s">
        <v>1806</v>
      </c>
      <c r="AH278" s="117">
        <v>3329053108120010</v>
      </c>
      <c r="AI278" s="117" t="s">
        <v>68</v>
      </c>
      <c r="AJ278" s="117" t="s">
        <v>32</v>
      </c>
      <c r="AK278" s="117"/>
      <c r="AL278" s="117">
        <v>6289602777994</v>
      </c>
      <c r="AM278" s="117"/>
      <c r="AN278" s="117"/>
      <c r="AO278" s="117" t="s">
        <v>1808</v>
      </c>
      <c r="AP278" s="117"/>
      <c r="AQ278" s="117" t="s">
        <v>472</v>
      </c>
      <c r="AR278" s="117" t="s">
        <v>1903</v>
      </c>
      <c r="AS278" s="117" t="s">
        <v>473</v>
      </c>
      <c r="AT278" s="117" t="s">
        <v>1927</v>
      </c>
      <c r="AU278" s="117" t="b">
        <v>1</v>
      </c>
      <c r="AV278" s="117" t="b">
        <v>1</v>
      </c>
      <c r="AW278" s="117" t="s">
        <v>1804</v>
      </c>
      <c r="AX278" s="117" t="s">
        <v>1803</v>
      </c>
      <c r="AY278" s="117" t="s">
        <v>2474</v>
      </c>
      <c r="AZ278" s="117" t="s">
        <v>2475</v>
      </c>
      <c r="BA278" s="117" t="b">
        <v>1</v>
      </c>
      <c r="BB278" s="117" t="b">
        <v>1</v>
      </c>
      <c r="BC278" s="117"/>
      <c r="BD278" s="117"/>
      <c r="BE278" s="117">
        <v>0</v>
      </c>
    </row>
    <row r="279" spans="1:57" ht="16">
      <c r="A279" s="117" t="s">
        <v>22</v>
      </c>
      <c r="B279" s="117" t="s">
        <v>498</v>
      </c>
      <c r="C279" s="117" t="s">
        <v>499</v>
      </c>
      <c r="D279" s="117" t="s">
        <v>500</v>
      </c>
      <c r="E279" s="117" t="s">
        <v>501</v>
      </c>
      <c r="F279" s="117" t="s">
        <v>502</v>
      </c>
      <c r="G279" s="117" t="s">
        <v>503</v>
      </c>
      <c r="H279" s="118" t="s">
        <v>502</v>
      </c>
      <c r="I279" s="119" t="s">
        <v>503</v>
      </c>
      <c r="J279" s="120" t="s">
        <v>2508</v>
      </c>
      <c r="K279" s="120" t="s">
        <v>2508</v>
      </c>
      <c r="L279" s="118"/>
      <c r="M279" s="119"/>
      <c r="N279" s="118"/>
      <c r="O279" s="119"/>
      <c r="P279" s="117" t="s">
        <v>28</v>
      </c>
      <c r="Q279" s="117" t="s">
        <v>45</v>
      </c>
      <c r="R279" s="117" t="b">
        <v>1</v>
      </c>
      <c r="S279" s="117" t="b">
        <v>1</v>
      </c>
      <c r="T279" s="117" t="b">
        <v>1</v>
      </c>
      <c r="U279" s="117" t="b">
        <v>0</v>
      </c>
      <c r="V279" s="117" t="b">
        <v>0</v>
      </c>
      <c r="W279" s="117" t="b">
        <v>1</v>
      </c>
      <c r="X279" s="117" t="b">
        <v>1</v>
      </c>
      <c r="Y279" s="117" t="b">
        <v>0</v>
      </c>
      <c r="Z279" s="117" t="b">
        <v>0</v>
      </c>
      <c r="AA279" s="117"/>
      <c r="AB279" s="117" t="s">
        <v>504</v>
      </c>
      <c r="AC279" s="117"/>
      <c r="AD279" s="117"/>
      <c r="AE279" s="117"/>
      <c r="AF279" s="117"/>
      <c r="AG279" s="117" t="s">
        <v>505</v>
      </c>
      <c r="AH279" s="117">
        <v>3671130902970000</v>
      </c>
      <c r="AI279" s="117" t="s">
        <v>68</v>
      </c>
      <c r="AJ279" s="117" t="s">
        <v>32</v>
      </c>
      <c r="AK279" s="117"/>
      <c r="AL279" s="117">
        <v>6285604234396</v>
      </c>
      <c r="AM279" s="117"/>
      <c r="AN279" s="117"/>
      <c r="AO279" s="117" t="s">
        <v>507</v>
      </c>
      <c r="AP279" s="117"/>
      <c r="AQ279" s="117" t="s">
        <v>500</v>
      </c>
      <c r="AR279" s="117" t="s">
        <v>1903</v>
      </c>
      <c r="AS279" s="117" t="s">
        <v>501</v>
      </c>
      <c r="AT279" s="117" t="s">
        <v>1926</v>
      </c>
      <c r="AU279" s="117" t="b">
        <v>1</v>
      </c>
      <c r="AV279" s="117" t="b">
        <v>1</v>
      </c>
      <c r="AW279" s="117" t="s">
        <v>502</v>
      </c>
      <c r="AX279" s="117" t="s">
        <v>503</v>
      </c>
      <c r="AY279" s="117" t="s">
        <v>2124</v>
      </c>
      <c r="AZ279" s="117" t="s">
        <v>2125</v>
      </c>
      <c r="BA279" s="117" t="b">
        <v>1</v>
      </c>
      <c r="BB279" s="117" t="b">
        <v>1</v>
      </c>
      <c r="BC279" s="117"/>
      <c r="BD279" s="117"/>
      <c r="BE279" s="117">
        <v>0</v>
      </c>
    </row>
    <row r="280" spans="1:57" ht="16">
      <c r="A280" s="117" t="s">
        <v>22</v>
      </c>
      <c r="B280" s="117" t="s">
        <v>498</v>
      </c>
      <c r="C280" s="117" t="s">
        <v>499</v>
      </c>
      <c r="D280" s="117" t="s">
        <v>500</v>
      </c>
      <c r="E280" s="117" t="s">
        <v>501</v>
      </c>
      <c r="F280" s="117" t="s">
        <v>508</v>
      </c>
      <c r="G280" s="117" t="s">
        <v>509</v>
      </c>
      <c r="H280" s="118" t="s">
        <v>508</v>
      </c>
      <c r="I280" s="119" t="s">
        <v>509</v>
      </c>
      <c r="J280" s="120" t="s">
        <v>2508</v>
      </c>
      <c r="K280" s="120" t="s">
        <v>2508</v>
      </c>
      <c r="L280" s="118"/>
      <c r="M280" s="119"/>
      <c r="N280" s="118"/>
      <c r="O280" s="119"/>
      <c r="P280" s="117" t="s">
        <v>28</v>
      </c>
      <c r="Q280" s="117" t="s">
        <v>45</v>
      </c>
      <c r="R280" s="117" t="b">
        <v>1</v>
      </c>
      <c r="S280" s="117" t="b">
        <v>1</v>
      </c>
      <c r="T280" s="117" t="b">
        <v>1</v>
      </c>
      <c r="U280" s="117" t="b">
        <v>0</v>
      </c>
      <c r="V280" s="117" t="b">
        <v>0</v>
      </c>
      <c r="W280" s="117" t="b">
        <v>1</v>
      </c>
      <c r="X280" s="117" t="b">
        <v>1</v>
      </c>
      <c r="Y280" s="117" t="b">
        <v>0</v>
      </c>
      <c r="Z280" s="117" t="b">
        <v>0</v>
      </c>
      <c r="AA280" s="117"/>
      <c r="AB280" s="117" t="s">
        <v>510</v>
      </c>
      <c r="AC280" s="117"/>
      <c r="AD280" s="117"/>
      <c r="AE280" s="117"/>
      <c r="AF280" s="117"/>
      <c r="AG280" s="117" t="s">
        <v>511</v>
      </c>
      <c r="AH280" s="117">
        <v>3174062301880000</v>
      </c>
      <c r="AI280" s="117" t="s">
        <v>68</v>
      </c>
      <c r="AJ280" s="117" t="s">
        <v>32</v>
      </c>
      <c r="AK280" s="117"/>
      <c r="AL280" s="117">
        <v>6285718656667</v>
      </c>
      <c r="AM280" s="117"/>
      <c r="AN280" s="117"/>
      <c r="AO280" s="117" t="s">
        <v>513</v>
      </c>
      <c r="AP280" s="117"/>
      <c r="AQ280" s="117" t="s">
        <v>500</v>
      </c>
      <c r="AR280" s="117" t="s">
        <v>1903</v>
      </c>
      <c r="AS280" s="117" t="s">
        <v>501</v>
      </c>
      <c r="AT280" s="117" t="s">
        <v>1926</v>
      </c>
      <c r="AU280" s="117" t="b">
        <v>1</v>
      </c>
      <c r="AV280" s="117" t="b">
        <v>1</v>
      </c>
      <c r="AW280" s="117" t="s">
        <v>508</v>
      </c>
      <c r="AX280" s="117" t="s">
        <v>509</v>
      </c>
      <c r="AY280" s="117" t="s">
        <v>2126</v>
      </c>
      <c r="AZ280" s="117" t="s">
        <v>2127</v>
      </c>
      <c r="BA280" s="117" t="b">
        <v>1</v>
      </c>
      <c r="BB280" s="117" t="b">
        <v>1</v>
      </c>
      <c r="BC280" s="117"/>
      <c r="BD280" s="117"/>
      <c r="BE280" s="117">
        <v>0</v>
      </c>
    </row>
    <row r="281" spans="1:57" ht="16">
      <c r="A281" s="117" t="s">
        <v>22</v>
      </c>
      <c r="B281" s="117" t="s">
        <v>498</v>
      </c>
      <c r="C281" s="117" t="s">
        <v>499</v>
      </c>
      <c r="D281" s="117" t="s">
        <v>500</v>
      </c>
      <c r="E281" s="117" t="s">
        <v>501</v>
      </c>
      <c r="F281" s="117" t="s">
        <v>1144</v>
      </c>
      <c r="G281" s="117" t="s">
        <v>1145</v>
      </c>
      <c r="H281" s="118" t="s">
        <v>1144</v>
      </c>
      <c r="I281" s="119" t="s">
        <v>1145</v>
      </c>
      <c r="J281" s="120" t="s">
        <v>2508</v>
      </c>
      <c r="K281" s="120" t="s">
        <v>2508</v>
      </c>
      <c r="L281" s="118"/>
      <c r="M281" s="119"/>
      <c r="N281" s="118"/>
      <c r="O281" s="119"/>
      <c r="P281" s="117" t="s">
        <v>28</v>
      </c>
      <c r="Q281" s="117" t="s">
        <v>45</v>
      </c>
      <c r="R281" s="117" t="b">
        <v>1</v>
      </c>
      <c r="S281" s="117" t="b">
        <v>1</v>
      </c>
      <c r="T281" s="117" t="b">
        <v>1</v>
      </c>
      <c r="U281" s="117" t="b">
        <v>0</v>
      </c>
      <c r="V281" s="117" t="b">
        <v>0</v>
      </c>
      <c r="W281" s="117" t="b">
        <v>1</v>
      </c>
      <c r="X281" s="117" t="b">
        <v>1</v>
      </c>
      <c r="Y281" s="117" t="b">
        <v>0</v>
      </c>
      <c r="Z281" s="117" t="b">
        <v>0</v>
      </c>
      <c r="AA281" s="117"/>
      <c r="AB281" s="117" t="s">
        <v>1146</v>
      </c>
      <c r="AC281" s="117"/>
      <c r="AD281" s="117"/>
      <c r="AE281" s="117"/>
      <c r="AF281" s="117"/>
      <c r="AG281" s="117" t="s">
        <v>1147</v>
      </c>
      <c r="AH281" s="117">
        <v>3173050102921000</v>
      </c>
      <c r="AI281" s="117" t="s">
        <v>68</v>
      </c>
      <c r="AJ281" s="117" t="s">
        <v>32</v>
      </c>
      <c r="AK281" s="117"/>
      <c r="AL281" s="117">
        <v>6285691778037</v>
      </c>
      <c r="AM281" s="117"/>
      <c r="AN281" s="117"/>
      <c r="AO281" s="117" t="s">
        <v>1149</v>
      </c>
      <c r="AP281" s="117"/>
      <c r="AQ281" s="117" t="s">
        <v>500</v>
      </c>
      <c r="AR281" s="117" t="s">
        <v>1903</v>
      </c>
      <c r="AS281" s="117" t="s">
        <v>501</v>
      </c>
      <c r="AT281" s="117" t="s">
        <v>1926</v>
      </c>
      <c r="AU281" s="117" t="b">
        <v>1</v>
      </c>
      <c r="AV281" s="117" t="b">
        <v>1</v>
      </c>
      <c r="AW281" s="117" t="s">
        <v>1144</v>
      </c>
      <c r="AX281" s="117" t="s">
        <v>1145</v>
      </c>
      <c r="AY281" s="117" t="s">
        <v>2294</v>
      </c>
      <c r="AZ281" s="117" t="s">
        <v>2295</v>
      </c>
      <c r="BA281" s="117" t="b">
        <v>1</v>
      </c>
      <c r="BB281" s="117" t="b">
        <v>1</v>
      </c>
      <c r="BC281" s="117"/>
      <c r="BD281" s="117"/>
      <c r="BE281" s="117">
        <v>0</v>
      </c>
    </row>
    <row r="282" spans="1:57" ht="16">
      <c r="A282" s="117" t="s">
        <v>22</v>
      </c>
      <c r="B282" s="117" t="s">
        <v>498</v>
      </c>
      <c r="C282" s="117" t="s">
        <v>499</v>
      </c>
      <c r="D282" s="117" t="s">
        <v>500</v>
      </c>
      <c r="E282" s="117" t="s">
        <v>501</v>
      </c>
      <c r="F282" s="117" t="s">
        <v>1708</v>
      </c>
      <c r="G282" s="117" t="s">
        <v>1707</v>
      </c>
      <c r="H282" s="118" t="s">
        <v>1708</v>
      </c>
      <c r="I282" s="119" t="s">
        <v>1707</v>
      </c>
      <c r="J282" s="120" t="s">
        <v>2508</v>
      </c>
      <c r="K282" s="120" t="s">
        <v>2508</v>
      </c>
      <c r="L282" s="118"/>
      <c r="M282" s="119"/>
      <c r="N282" s="118"/>
      <c r="O282" s="119"/>
      <c r="P282" s="117" t="s">
        <v>28</v>
      </c>
      <c r="Q282" s="117" t="s">
        <v>44</v>
      </c>
      <c r="R282" s="117" t="b">
        <v>1</v>
      </c>
      <c r="S282" s="117" t="b">
        <v>1</v>
      </c>
      <c r="T282" s="117" t="b">
        <v>1</v>
      </c>
      <c r="U282" s="117" t="b">
        <v>0</v>
      </c>
      <c r="V282" s="117" t="b">
        <v>0</v>
      </c>
      <c r="W282" s="117" t="b">
        <v>1</v>
      </c>
      <c r="X282" s="117" t="b">
        <v>1</v>
      </c>
      <c r="Y282" s="117" t="b">
        <v>0</v>
      </c>
      <c r="Z282" s="117" t="b">
        <v>0</v>
      </c>
      <c r="AA282" s="117"/>
      <c r="AB282" s="117" t="s">
        <v>1709</v>
      </c>
      <c r="AC282" s="117"/>
      <c r="AD282" s="117"/>
      <c r="AE282" s="117"/>
      <c r="AF282" s="117"/>
      <c r="AG282" s="117" t="s">
        <v>1710</v>
      </c>
      <c r="AH282" s="117">
        <v>3671042809220000</v>
      </c>
      <c r="AI282" s="117" t="s">
        <v>31</v>
      </c>
      <c r="AJ282" s="117" t="s">
        <v>32</v>
      </c>
      <c r="AK282" s="121">
        <v>6289600000000</v>
      </c>
      <c r="AL282" s="117">
        <v>6289602777986</v>
      </c>
      <c r="AM282" s="117"/>
      <c r="AN282" s="117"/>
      <c r="AO282" s="117" t="s">
        <v>1712</v>
      </c>
      <c r="AP282" s="117"/>
      <c r="AQ282" s="117" t="s">
        <v>500</v>
      </c>
      <c r="AR282" s="117" t="s">
        <v>1903</v>
      </c>
      <c r="AS282" s="117" t="s">
        <v>501</v>
      </c>
      <c r="AT282" s="117" t="s">
        <v>1926</v>
      </c>
      <c r="AU282" s="117" t="b">
        <v>1</v>
      </c>
      <c r="AV282" s="117" t="b">
        <v>1</v>
      </c>
      <c r="AW282" s="117" t="s">
        <v>1708</v>
      </c>
      <c r="AX282" s="117" t="s">
        <v>1707</v>
      </c>
      <c r="AY282" s="117" t="s">
        <v>2446</v>
      </c>
      <c r="AZ282" s="117" t="s">
        <v>2447</v>
      </c>
      <c r="BA282" s="117" t="b">
        <v>1</v>
      </c>
      <c r="BB282" s="117" t="b">
        <v>1</v>
      </c>
      <c r="BC282" s="117"/>
      <c r="BD282" s="117"/>
      <c r="BE282" s="117">
        <v>0</v>
      </c>
    </row>
    <row r="283" spans="1:57" ht="16">
      <c r="A283" s="117" t="s">
        <v>22</v>
      </c>
      <c r="B283" s="117" t="s">
        <v>498</v>
      </c>
      <c r="C283" s="117" t="s">
        <v>499</v>
      </c>
      <c r="D283" s="117" t="s">
        <v>500</v>
      </c>
      <c r="E283" s="117" t="s">
        <v>501</v>
      </c>
      <c r="F283" s="117" t="s">
        <v>1786</v>
      </c>
      <c r="G283" s="117" t="s">
        <v>1785</v>
      </c>
      <c r="H283" s="118" t="s">
        <v>1786</v>
      </c>
      <c r="I283" s="119" t="s">
        <v>1785</v>
      </c>
      <c r="J283" s="120" t="s">
        <v>2508</v>
      </c>
      <c r="K283" s="120" t="s">
        <v>2508</v>
      </c>
      <c r="L283" s="118"/>
      <c r="M283" s="119"/>
      <c r="N283" s="118"/>
      <c r="O283" s="119"/>
      <c r="P283" s="117" t="s">
        <v>28</v>
      </c>
      <c r="Q283" s="117" t="s">
        <v>45</v>
      </c>
      <c r="R283" s="117" t="b">
        <v>1</v>
      </c>
      <c r="S283" s="117" t="b">
        <v>1</v>
      </c>
      <c r="T283" s="117" t="b">
        <v>1</v>
      </c>
      <c r="U283" s="117" t="b">
        <v>0</v>
      </c>
      <c r="V283" s="117" t="b">
        <v>0</v>
      </c>
      <c r="W283" s="117" t="b">
        <v>1</v>
      </c>
      <c r="X283" s="117" t="b">
        <v>1</v>
      </c>
      <c r="Y283" s="117" t="b">
        <v>0</v>
      </c>
      <c r="Z283" s="117" t="b">
        <v>0</v>
      </c>
      <c r="AA283" s="117"/>
      <c r="AB283" s="117" t="s">
        <v>1787</v>
      </c>
      <c r="AC283" s="117"/>
      <c r="AD283" s="117"/>
      <c r="AE283" s="117"/>
      <c r="AF283" s="117"/>
      <c r="AG283" s="117" t="s">
        <v>1788</v>
      </c>
      <c r="AH283" s="117">
        <v>3671133006200010</v>
      </c>
      <c r="AI283" s="117" t="s">
        <v>68</v>
      </c>
      <c r="AJ283" s="117" t="s">
        <v>32</v>
      </c>
      <c r="AK283" s="117"/>
      <c r="AL283" s="117">
        <v>6289602777985</v>
      </c>
      <c r="AM283" s="117"/>
      <c r="AN283" s="117"/>
      <c r="AO283" s="117" t="s">
        <v>1790</v>
      </c>
      <c r="AP283" s="117"/>
      <c r="AQ283" s="117" t="s">
        <v>500</v>
      </c>
      <c r="AR283" s="117" t="s">
        <v>1903</v>
      </c>
      <c r="AS283" s="117" t="s">
        <v>501</v>
      </c>
      <c r="AT283" s="117" t="s">
        <v>1926</v>
      </c>
      <c r="AU283" s="117" t="b">
        <v>1</v>
      </c>
      <c r="AV283" s="117" t="b">
        <v>1</v>
      </c>
      <c r="AW283" s="117" t="s">
        <v>1786</v>
      </c>
      <c r="AX283" s="117" t="s">
        <v>1785</v>
      </c>
      <c r="AY283" s="117" t="s">
        <v>2468</v>
      </c>
      <c r="AZ283" s="117" t="s">
        <v>2469</v>
      </c>
      <c r="BA283" s="117" t="b">
        <v>1</v>
      </c>
      <c r="BB283" s="117" t="b">
        <v>1</v>
      </c>
      <c r="BC283" s="117"/>
      <c r="BD283" s="117"/>
      <c r="BE283" s="117">
        <v>0</v>
      </c>
    </row>
    <row r="284" spans="1:57" ht="16">
      <c r="A284" s="117" t="s">
        <v>22</v>
      </c>
      <c r="B284" s="117" t="s">
        <v>498</v>
      </c>
      <c r="C284" s="117" t="s">
        <v>499</v>
      </c>
      <c r="D284" s="117" t="s">
        <v>500</v>
      </c>
      <c r="E284" s="117" t="s">
        <v>501</v>
      </c>
      <c r="F284" s="117" t="s">
        <v>1792</v>
      </c>
      <c r="G284" s="117" t="s">
        <v>1791</v>
      </c>
      <c r="H284" s="118" t="s">
        <v>1792</v>
      </c>
      <c r="I284" s="119" t="s">
        <v>1791</v>
      </c>
      <c r="J284" s="120" t="s">
        <v>2508</v>
      </c>
      <c r="K284" s="120" t="s">
        <v>2508</v>
      </c>
      <c r="L284" s="118"/>
      <c r="M284" s="119"/>
      <c r="N284" s="118"/>
      <c r="O284" s="119"/>
      <c r="P284" s="117" t="s">
        <v>28</v>
      </c>
      <c r="Q284" s="117" t="s">
        <v>45</v>
      </c>
      <c r="R284" s="117" t="b">
        <v>1</v>
      </c>
      <c r="S284" s="117" t="b">
        <v>1</v>
      </c>
      <c r="T284" s="117" t="b">
        <v>1</v>
      </c>
      <c r="U284" s="117" t="b">
        <v>0</v>
      </c>
      <c r="V284" s="117" t="b">
        <v>0</v>
      </c>
      <c r="W284" s="117" t="b">
        <v>1</v>
      </c>
      <c r="X284" s="117" t="b">
        <v>1</v>
      </c>
      <c r="Y284" s="117" t="b">
        <v>0</v>
      </c>
      <c r="Z284" s="117" t="b">
        <v>0</v>
      </c>
      <c r="AA284" s="117"/>
      <c r="AB284" s="117" t="s">
        <v>1793</v>
      </c>
      <c r="AC284" s="117"/>
      <c r="AD284" s="117"/>
      <c r="AE284" s="117"/>
      <c r="AF284" s="117"/>
      <c r="AG284" s="117" t="s">
        <v>1794</v>
      </c>
      <c r="AH284" s="117">
        <v>3173051104160010</v>
      </c>
      <c r="AI284" s="117" t="s">
        <v>68</v>
      </c>
      <c r="AJ284" s="117" t="s">
        <v>32</v>
      </c>
      <c r="AK284" s="117"/>
      <c r="AL284" s="117">
        <v>6289602777988</v>
      </c>
      <c r="AM284" s="117"/>
      <c r="AN284" s="117"/>
      <c r="AO284" s="117" t="s">
        <v>1796</v>
      </c>
      <c r="AP284" s="117"/>
      <c r="AQ284" s="117" t="s">
        <v>500</v>
      </c>
      <c r="AR284" s="117" t="s">
        <v>1903</v>
      </c>
      <c r="AS284" s="117" t="s">
        <v>501</v>
      </c>
      <c r="AT284" s="117" t="s">
        <v>1926</v>
      </c>
      <c r="AU284" s="117" t="b">
        <v>1</v>
      </c>
      <c r="AV284" s="117" t="b">
        <v>1</v>
      </c>
      <c r="AW284" s="117" t="s">
        <v>1792</v>
      </c>
      <c r="AX284" s="117" t="s">
        <v>1791</v>
      </c>
      <c r="AY284" s="117" t="s">
        <v>2470</v>
      </c>
      <c r="AZ284" s="117" t="s">
        <v>2471</v>
      </c>
      <c r="BA284" s="117" t="b">
        <v>1</v>
      </c>
      <c r="BB284" s="117" t="b">
        <v>1</v>
      </c>
      <c r="BC284" s="117"/>
      <c r="BD284" s="117"/>
      <c r="BE284" s="117">
        <v>0</v>
      </c>
    </row>
    <row r="285" spans="1:57" ht="16">
      <c r="A285" s="117" t="s">
        <v>22</v>
      </c>
      <c r="B285" s="117" t="s">
        <v>498</v>
      </c>
      <c r="C285" s="117" t="s">
        <v>499</v>
      </c>
      <c r="D285" s="117" t="s">
        <v>500</v>
      </c>
      <c r="E285" s="117" t="s">
        <v>501</v>
      </c>
      <c r="F285" s="117" t="s">
        <v>1810</v>
      </c>
      <c r="G285" s="117" t="s">
        <v>1809</v>
      </c>
      <c r="H285" s="118" t="s">
        <v>1810</v>
      </c>
      <c r="I285" s="119" t="s">
        <v>1809</v>
      </c>
      <c r="J285" s="120" t="s">
        <v>2508</v>
      </c>
      <c r="K285" s="120" t="s">
        <v>2508</v>
      </c>
      <c r="L285" s="118"/>
      <c r="M285" s="119"/>
      <c r="N285" s="118"/>
      <c r="O285" s="119"/>
      <c r="P285" s="117" t="s">
        <v>28</v>
      </c>
      <c r="Q285" s="117" t="s">
        <v>45</v>
      </c>
      <c r="R285" s="117" t="b">
        <v>1</v>
      </c>
      <c r="S285" s="117" t="b">
        <v>1</v>
      </c>
      <c r="T285" s="117" t="b">
        <v>1</v>
      </c>
      <c r="U285" s="117" t="b">
        <v>0</v>
      </c>
      <c r="V285" s="117" t="b">
        <v>0</v>
      </c>
      <c r="W285" s="117" t="b">
        <v>1</v>
      </c>
      <c r="X285" s="117" t="b">
        <v>1</v>
      </c>
      <c r="Y285" s="117" t="b">
        <v>0</v>
      </c>
      <c r="Z285" s="117" t="b">
        <v>0</v>
      </c>
      <c r="AA285" s="117"/>
      <c r="AB285" s="117" t="s">
        <v>1811</v>
      </c>
      <c r="AC285" s="117"/>
      <c r="AD285" s="117"/>
      <c r="AE285" s="117"/>
      <c r="AF285" s="117"/>
      <c r="AG285" s="117" t="s">
        <v>1812</v>
      </c>
      <c r="AH285" s="117">
        <v>3674042607100010</v>
      </c>
      <c r="AI285" s="117" t="s">
        <v>68</v>
      </c>
      <c r="AJ285" s="117" t="s">
        <v>32</v>
      </c>
      <c r="AK285" s="117"/>
      <c r="AL285" s="117">
        <v>6289602777998</v>
      </c>
      <c r="AM285" s="117"/>
      <c r="AN285" s="117"/>
      <c r="AO285" s="117" t="s">
        <v>1814</v>
      </c>
      <c r="AP285" s="117"/>
      <c r="AQ285" s="117" t="s">
        <v>500</v>
      </c>
      <c r="AR285" s="117" t="s">
        <v>1903</v>
      </c>
      <c r="AS285" s="117" t="s">
        <v>501</v>
      </c>
      <c r="AT285" s="117" t="s">
        <v>1926</v>
      </c>
      <c r="AU285" s="117" t="b">
        <v>1</v>
      </c>
      <c r="AV285" s="117" t="b">
        <v>1</v>
      </c>
      <c r="AW285" s="117" t="s">
        <v>1810</v>
      </c>
      <c r="AX285" s="117" t="s">
        <v>1809</v>
      </c>
      <c r="AY285" s="117" t="s">
        <v>2476</v>
      </c>
      <c r="AZ285" s="117" t="s">
        <v>2477</v>
      </c>
      <c r="BA285" s="117" t="b">
        <v>1</v>
      </c>
      <c r="BB285" s="117" t="b">
        <v>1</v>
      </c>
      <c r="BC285" s="117"/>
      <c r="BD285" s="117"/>
      <c r="BE285" s="117">
        <v>0</v>
      </c>
    </row>
  </sheetData>
  <mergeCells count="331">
    <mergeCell ref="BA188:BA191"/>
    <mergeCell ref="BB188:BB191"/>
    <mergeCell ref="BC188:BC191"/>
    <mergeCell ref="BD188:BD191"/>
    <mergeCell ref="BE188:BE191"/>
    <mergeCell ref="AU188:AU191"/>
    <mergeCell ref="AV188:AV191"/>
    <mergeCell ref="AW188:AW191"/>
    <mergeCell ref="AX188:AX191"/>
    <mergeCell ref="AY188:AY191"/>
    <mergeCell ref="AZ188:AZ191"/>
    <mergeCell ref="AO188:AO191"/>
    <mergeCell ref="AP188:AP191"/>
    <mergeCell ref="AQ188:AQ191"/>
    <mergeCell ref="AR188:AR191"/>
    <mergeCell ref="AS188:AS191"/>
    <mergeCell ref="AT188:AT191"/>
    <mergeCell ref="AI188:AI191"/>
    <mergeCell ref="AJ188:AJ191"/>
    <mergeCell ref="AK188:AK191"/>
    <mergeCell ref="AL188:AL191"/>
    <mergeCell ref="AM188:AM191"/>
    <mergeCell ref="AN188:AN191"/>
    <mergeCell ref="AB188:AB191"/>
    <mergeCell ref="AC188:AC191"/>
    <mergeCell ref="AD188:AD191"/>
    <mergeCell ref="AE188:AE191"/>
    <mergeCell ref="AF188:AF191"/>
    <mergeCell ref="AH188:AH191"/>
    <mergeCell ref="V188:V191"/>
    <mergeCell ref="W188:W191"/>
    <mergeCell ref="X188:X191"/>
    <mergeCell ref="Y188:Y191"/>
    <mergeCell ref="Z188:Z191"/>
    <mergeCell ref="AA188:AA191"/>
    <mergeCell ref="P188:P191"/>
    <mergeCell ref="Q188:Q191"/>
    <mergeCell ref="R188:R191"/>
    <mergeCell ref="S188:S191"/>
    <mergeCell ref="T188:T191"/>
    <mergeCell ref="U188:U191"/>
    <mergeCell ref="J188:J191"/>
    <mergeCell ref="K188:K191"/>
    <mergeCell ref="L188:L191"/>
    <mergeCell ref="M188:M191"/>
    <mergeCell ref="N188:N191"/>
    <mergeCell ref="O188:O191"/>
    <mergeCell ref="BE105:BE106"/>
    <mergeCell ref="A188:A191"/>
    <mergeCell ref="B188:B191"/>
    <mergeCell ref="C188:C191"/>
    <mergeCell ref="D188:D191"/>
    <mergeCell ref="E188:E191"/>
    <mergeCell ref="F188:F191"/>
    <mergeCell ref="G188:G191"/>
    <mergeCell ref="H188:H191"/>
    <mergeCell ref="I188:I191"/>
    <mergeCell ref="AY105:AY106"/>
    <mergeCell ref="AZ105:AZ106"/>
    <mergeCell ref="BA105:BA106"/>
    <mergeCell ref="BB105:BB106"/>
    <mergeCell ref="BC105:BC106"/>
    <mergeCell ref="BD105:BD106"/>
    <mergeCell ref="AS105:AS106"/>
    <mergeCell ref="AT105:AT106"/>
    <mergeCell ref="AU105:AU106"/>
    <mergeCell ref="AV105:AV106"/>
    <mergeCell ref="AW105:AW106"/>
    <mergeCell ref="AX105:AX106"/>
    <mergeCell ref="AM105:AM106"/>
    <mergeCell ref="AN105:AN106"/>
    <mergeCell ref="AO105:AO106"/>
    <mergeCell ref="AP105:AP106"/>
    <mergeCell ref="AQ105:AQ106"/>
    <mergeCell ref="AR105:AR106"/>
    <mergeCell ref="AF105:AF106"/>
    <mergeCell ref="AH105:AH106"/>
    <mergeCell ref="AI105:AI106"/>
    <mergeCell ref="AJ105:AJ106"/>
    <mergeCell ref="AK105:AK106"/>
    <mergeCell ref="AL105:AL106"/>
    <mergeCell ref="Z105:Z106"/>
    <mergeCell ref="AA105:AA106"/>
    <mergeCell ref="AB105:AB106"/>
    <mergeCell ref="AC105:AC106"/>
    <mergeCell ref="AD105:AD106"/>
    <mergeCell ref="AE105:AE106"/>
    <mergeCell ref="T105:T106"/>
    <mergeCell ref="U105:U106"/>
    <mergeCell ref="V105:V106"/>
    <mergeCell ref="W105:W106"/>
    <mergeCell ref="X105:X106"/>
    <mergeCell ref="Y105:Y106"/>
    <mergeCell ref="N105:N106"/>
    <mergeCell ref="O105:O106"/>
    <mergeCell ref="P105:P106"/>
    <mergeCell ref="Q105:Q106"/>
    <mergeCell ref="R105:R106"/>
    <mergeCell ref="S105:S106"/>
    <mergeCell ref="H105:H106"/>
    <mergeCell ref="I105:I106"/>
    <mergeCell ref="J105:J106"/>
    <mergeCell ref="K105:K106"/>
    <mergeCell ref="L105:L106"/>
    <mergeCell ref="M105:M106"/>
    <mergeCell ref="BC70:BC71"/>
    <mergeCell ref="BD70:BD71"/>
    <mergeCell ref="BE70:BE71"/>
    <mergeCell ref="A105:A106"/>
    <mergeCell ref="B105:B106"/>
    <mergeCell ref="C105:C106"/>
    <mergeCell ref="D105:D106"/>
    <mergeCell ref="E105:E106"/>
    <mergeCell ref="F105:F106"/>
    <mergeCell ref="G105:G106"/>
    <mergeCell ref="AW70:AW71"/>
    <mergeCell ref="AX70:AX71"/>
    <mergeCell ref="AY70:AY71"/>
    <mergeCell ref="AZ70:AZ71"/>
    <mergeCell ref="BA70:BA71"/>
    <mergeCell ref="BB70:BB71"/>
    <mergeCell ref="AQ70:AQ71"/>
    <mergeCell ref="AR70:AR71"/>
    <mergeCell ref="AS70:AS71"/>
    <mergeCell ref="AT70:AT71"/>
    <mergeCell ref="AU70:AU71"/>
    <mergeCell ref="AV70:AV71"/>
    <mergeCell ref="AK70:AK71"/>
    <mergeCell ref="AL70:AL71"/>
    <mergeCell ref="AM70:AM71"/>
    <mergeCell ref="AN70:AN71"/>
    <mergeCell ref="AO70:AO71"/>
    <mergeCell ref="AP70:AP71"/>
    <mergeCell ref="AD70:AD71"/>
    <mergeCell ref="AE70:AE71"/>
    <mergeCell ref="AF70:AF71"/>
    <mergeCell ref="AH70:AH71"/>
    <mergeCell ref="AI70:AI71"/>
    <mergeCell ref="AJ70:AJ71"/>
    <mergeCell ref="X70:X71"/>
    <mergeCell ref="Y70:Y71"/>
    <mergeCell ref="Z70:Z71"/>
    <mergeCell ref="AA70:AA71"/>
    <mergeCell ref="AB70:AB71"/>
    <mergeCell ref="AC70:AC71"/>
    <mergeCell ref="R70:R71"/>
    <mergeCell ref="S70:S71"/>
    <mergeCell ref="T70:T71"/>
    <mergeCell ref="U70:U71"/>
    <mergeCell ref="V70:V71"/>
    <mergeCell ref="W70:W71"/>
    <mergeCell ref="L70:L71"/>
    <mergeCell ref="M70:M71"/>
    <mergeCell ref="N70:N71"/>
    <mergeCell ref="O70:O71"/>
    <mergeCell ref="P70:P71"/>
    <mergeCell ref="Q70:Q71"/>
    <mergeCell ref="F70:F71"/>
    <mergeCell ref="G70:G71"/>
    <mergeCell ref="H70:H71"/>
    <mergeCell ref="I70:I71"/>
    <mergeCell ref="J70:J71"/>
    <mergeCell ref="K70:K71"/>
    <mergeCell ref="BA34:BA39"/>
    <mergeCell ref="BB34:BB39"/>
    <mergeCell ref="BC34:BC39"/>
    <mergeCell ref="BD34:BD39"/>
    <mergeCell ref="BE34:BE39"/>
    <mergeCell ref="A70:A71"/>
    <mergeCell ref="B70:B71"/>
    <mergeCell ref="C70:C71"/>
    <mergeCell ref="D70:D71"/>
    <mergeCell ref="E70:E71"/>
    <mergeCell ref="AU34:AU39"/>
    <mergeCell ref="AV34:AV39"/>
    <mergeCell ref="AW34:AW39"/>
    <mergeCell ref="AX34:AX39"/>
    <mergeCell ref="AY34:AY39"/>
    <mergeCell ref="AZ34:AZ39"/>
    <mergeCell ref="AO34:AO39"/>
    <mergeCell ref="AP34:AP39"/>
    <mergeCell ref="AQ34:AQ39"/>
    <mergeCell ref="AR34:AR39"/>
    <mergeCell ref="AS34:AS39"/>
    <mergeCell ref="AT34:AT39"/>
    <mergeCell ref="AI34:AI39"/>
    <mergeCell ref="AJ34:AJ39"/>
    <mergeCell ref="AK34:AK39"/>
    <mergeCell ref="AL34:AL39"/>
    <mergeCell ref="AM34:AM39"/>
    <mergeCell ref="AN34:AN39"/>
    <mergeCell ref="AB34:AB39"/>
    <mergeCell ref="AC34:AC39"/>
    <mergeCell ref="AD34:AD39"/>
    <mergeCell ref="AE34:AE39"/>
    <mergeCell ref="AF34:AF39"/>
    <mergeCell ref="AH34:AH39"/>
    <mergeCell ref="V34:V39"/>
    <mergeCell ref="W34:W39"/>
    <mergeCell ref="X34:X39"/>
    <mergeCell ref="Y34:Y39"/>
    <mergeCell ref="Z34:Z39"/>
    <mergeCell ref="AA34:AA39"/>
    <mergeCell ref="P34:P39"/>
    <mergeCell ref="Q34:Q39"/>
    <mergeCell ref="R34:R39"/>
    <mergeCell ref="S34:S39"/>
    <mergeCell ref="T34:T39"/>
    <mergeCell ref="U34:U39"/>
    <mergeCell ref="J34:J39"/>
    <mergeCell ref="K34:K39"/>
    <mergeCell ref="L34:L39"/>
    <mergeCell ref="M34:M39"/>
    <mergeCell ref="N34:N39"/>
    <mergeCell ref="O34:O39"/>
    <mergeCell ref="BE3:BE4"/>
    <mergeCell ref="A34:A39"/>
    <mergeCell ref="B34:B39"/>
    <mergeCell ref="C34:C39"/>
    <mergeCell ref="D34:D39"/>
    <mergeCell ref="E34:E39"/>
    <mergeCell ref="F34:F39"/>
    <mergeCell ref="G34:G39"/>
    <mergeCell ref="H34:H39"/>
    <mergeCell ref="I34:I39"/>
    <mergeCell ref="AY3:AY4"/>
    <mergeCell ref="AZ3:AZ4"/>
    <mergeCell ref="BA3:BA4"/>
    <mergeCell ref="BB3:BB4"/>
    <mergeCell ref="BC3:BC4"/>
    <mergeCell ref="BD3:BD4"/>
    <mergeCell ref="AS3:AS4"/>
    <mergeCell ref="AT3:AT4"/>
    <mergeCell ref="AU3:AU4"/>
    <mergeCell ref="AV3:AV4"/>
    <mergeCell ref="AW3:AW4"/>
    <mergeCell ref="AX3:AX4"/>
    <mergeCell ref="AM3:AM4"/>
    <mergeCell ref="AN3:AN4"/>
    <mergeCell ref="AO3:AO4"/>
    <mergeCell ref="AP3:AP4"/>
    <mergeCell ref="AQ3:AQ4"/>
    <mergeCell ref="AR3:AR4"/>
    <mergeCell ref="AF3:AF4"/>
    <mergeCell ref="AH3:AH4"/>
    <mergeCell ref="AI3:AI4"/>
    <mergeCell ref="AJ3:AJ4"/>
    <mergeCell ref="AK3:AK4"/>
    <mergeCell ref="AL3:AL4"/>
    <mergeCell ref="Z3:Z4"/>
    <mergeCell ref="AA3:AA4"/>
    <mergeCell ref="AB3:AB4"/>
    <mergeCell ref="AC3:AC4"/>
    <mergeCell ref="AD3:AD4"/>
    <mergeCell ref="AE3:AE4"/>
    <mergeCell ref="T3:T4"/>
    <mergeCell ref="U3:U4"/>
    <mergeCell ref="V3:V4"/>
    <mergeCell ref="W3:W4"/>
    <mergeCell ref="X3:X4"/>
    <mergeCell ref="Y3:Y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BC1:BC2"/>
    <mergeCell ref="BD1:BD2"/>
    <mergeCell ref="BE1:BE2"/>
    <mergeCell ref="A3:A4"/>
    <mergeCell ref="B3:B4"/>
    <mergeCell ref="C3:C4"/>
    <mergeCell ref="D3:D4"/>
    <mergeCell ref="E3:E4"/>
    <mergeCell ref="F3:F4"/>
    <mergeCell ref="G3:G4"/>
    <mergeCell ref="AW1:AW2"/>
    <mergeCell ref="AX1:AX2"/>
    <mergeCell ref="AY1:AY2"/>
    <mergeCell ref="AZ1:AZ2"/>
    <mergeCell ref="BA1:BA2"/>
    <mergeCell ref="BB1:BB2"/>
    <mergeCell ref="AQ1:AQ2"/>
    <mergeCell ref="AR1:AR2"/>
    <mergeCell ref="AS1:AS2"/>
    <mergeCell ref="AT1:AT2"/>
    <mergeCell ref="AU1:AU2"/>
    <mergeCell ref="AV1:AV2"/>
    <mergeCell ref="AK1:AK2"/>
    <mergeCell ref="AL1:AL2"/>
    <mergeCell ref="AM1:AM2"/>
    <mergeCell ref="AN1:AN2"/>
    <mergeCell ref="AO1:AO2"/>
    <mergeCell ref="AP1:AP2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K1:K2"/>
    <mergeCell ref="N1:N2"/>
    <mergeCell ref="O1:O2"/>
    <mergeCell ref="P1:P2"/>
    <mergeCell ref="Q1:Q2"/>
    <mergeCell ref="R1:R2"/>
    <mergeCell ref="A1:A2"/>
    <mergeCell ref="B1:B2"/>
    <mergeCell ref="C1:C2"/>
    <mergeCell ref="D1:D2"/>
    <mergeCell ref="E1:E2"/>
    <mergeCell ref="J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2CE9-D45A-4FBD-A68D-8A4624F7BB36}">
  <dimension ref="A1:BP276"/>
  <sheetViews>
    <sheetView showGridLines="0" topLeftCell="BC1" zoomScale="80" zoomScaleNormal="80" workbookViewId="0">
      <pane ySplit="4" topLeftCell="A267" activePane="bottomLeft" state="frozen"/>
      <selection pane="bottomLeft" activeCell="BP269" sqref="BP269"/>
    </sheetView>
  </sheetViews>
  <sheetFormatPr defaultColWidth="9.1640625" defaultRowHeight="16"/>
  <cols>
    <col min="1" max="1" width="16.58203125" style="39" bestFit="1" customWidth="1"/>
    <col min="2" max="2" width="14.5" style="39" bestFit="1" customWidth="1"/>
    <col min="3" max="3" width="23.75" style="39" bestFit="1" customWidth="1"/>
    <col min="4" max="4" width="21.25" style="39" bestFit="1" customWidth="1"/>
    <col min="5" max="5" width="20.4140625" style="39" bestFit="1" customWidth="1"/>
    <col min="6" max="7" width="16.83203125" style="39" bestFit="1" customWidth="1"/>
    <col min="8" max="8" width="30.58203125" style="39" bestFit="1" customWidth="1"/>
    <col min="9" max="9" width="8.33203125" style="39" bestFit="1" customWidth="1"/>
    <col min="10" max="10" width="30.58203125" style="39" bestFit="1" customWidth="1"/>
    <col min="11" max="11" width="8" style="39" bestFit="1" customWidth="1"/>
    <col min="12" max="12" width="17.9140625" style="39" bestFit="1" customWidth="1"/>
    <col min="13" max="13" width="20.5" style="39" bestFit="1" customWidth="1"/>
    <col min="14" max="14" width="21.33203125" style="39" bestFit="1" customWidth="1"/>
    <col min="15" max="15" width="35.33203125" style="39" bestFit="1" customWidth="1"/>
    <col min="16" max="16" width="21.33203125" style="39" bestFit="1" customWidth="1"/>
    <col min="17" max="17" width="25.58203125" style="39" bestFit="1" customWidth="1"/>
    <col min="18" max="18" width="13.9140625" style="39" bestFit="1" customWidth="1"/>
    <col min="19" max="19" width="7.4140625" style="39" bestFit="1" customWidth="1"/>
    <col min="20" max="20" width="13.75" style="39" bestFit="1" customWidth="1"/>
    <col min="21" max="21" width="7.4140625" style="39" bestFit="1" customWidth="1"/>
    <col min="22" max="23" width="13.75" style="39" bestFit="1" customWidth="1"/>
    <col min="24" max="24" width="16.75" style="39" bestFit="1" customWidth="1"/>
    <col min="25" max="25" width="19.5" style="39" bestFit="1" customWidth="1"/>
    <col min="26" max="26" width="16" style="39" bestFit="1" customWidth="1"/>
    <col min="27" max="27" width="21.33203125" style="39" bestFit="1" customWidth="1"/>
    <col min="28" max="28" width="13.33203125" style="44" bestFit="1" customWidth="1"/>
    <col min="29" max="29" width="14.83203125" style="44" bestFit="1" customWidth="1"/>
    <col min="30" max="30" width="22.08203125" style="39" bestFit="1" customWidth="1"/>
    <col min="31" max="31" width="16.4140625" style="39" bestFit="1" customWidth="1"/>
    <col min="32" max="32" width="14.1640625" style="39" bestFit="1" customWidth="1"/>
    <col min="33" max="34" width="7.9140625" style="39" bestFit="1" customWidth="1"/>
    <col min="35" max="35" width="15.08203125" style="39" bestFit="1" customWidth="1"/>
    <col min="36" max="36" width="12.4140625" style="39" bestFit="1" customWidth="1"/>
    <col min="37" max="37" width="33" style="39" bestFit="1" customWidth="1"/>
    <col min="38" max="38" width="16.5" style="39" bestFit="1" customWidth="1"/>
    <col min="39" max="39" width="40.33203125" style="39" bestFit="1" customWidth="1"/>
    <col min="40" max="40" width="33" style="39" bestFit="1" customWidth="1"/>
    <col min="41" max="41" width="12.5" style="39" bestFit="1" customWidth="1"/>
    <col min="42" max="42" width="103.83203125" style="39" bestFit="1" customWidth="1"/>
    <col min="43" max="43" width="17.5" style="39" bestFit="1" customWidth="1"/>
    <col min="44" max="44" width="15.08203125" style="39" bestFit="1" customWidth="1"/>
    <col min="45" max="45" width="16.4140625" style="39" bestFit="1" customWidth="1"/>
    <col min="46" max="47" width="33.08203125" style="39" bestFit="1" customWidth="1"/>
    <col min="48" max="48" width="31.08203125" style="39" bestFit="1" customWidth="1"/>
    <col min="49" max="49" width="9.9140625" style="39" bestFit="1" customWidth="1"/>
    <col min="50" max="50" width="13.33203125" style="39" bestFit="1" customWidth="1"/>
    <col min="51" max="51" width="28.4140625" style="39" bestFit="1" customWidth="1"/>
    <col min="52" max="52" width="40.5" style="39" bestFit="1" customWidth="1"/>
    <col min="53" max="53" width="44.5" style="39" bestFit="1" customWidth="1"/>
    <col min="54" max="54" width="40.08203125" style="39" bestFit="1" customWidth="1"/>
    <col min="55" max="55" width="49.33203125" style="39" bestFit="1" customWidth="1"/>
    <col min="56" max="56" width="15.58203125" style="39" bestFit="1" customWidth="1"/>
    <col min="57" max="57" width="15.08203125" style="39" bestFit="1" customWidth="1"/>
    <col min="58" max="58" width="17.9140625" style="39" bestFit="1" customWidth="1"/>
    <col min="59" max="59" width="20.5" style="39" bestFit="1" customWidth="1"/>
    <col min="60" max="60" width="34.6640625" style="39" bestFit="1" customWidth="1"/>
    <col min="61" max="61" width="37.4140625" style="39" bestFit="1" customWidth="1"/>
    <col min="62" max="62" width="13.6640625" style="39" bestFit="1" customWidth="1"/>
    <col min="63" max="63" width="13.08203125" style="39" bestFit="1" customWidth="1"/>
    <col min="64" max="65" width="2.08203125" style="39" bestFit="1" customWidth="1"/>
    <col min="66" max="66" width="23" style="39" bestFit="1" customWidth="1"/>
    <col min="67" max="67" width="28.33203125" style="39" bestFit="1" customWidth="1"/>
    <col min="68" max="68" width="15.9140625" style="39" bestFit="1" customWidth="1"/>
    <col min="69" max="16384" width="9.1640625" style="39"/>
  </cols>
  <sheetData>
    <row r="1" spans="1:68" ht="19.5">
      <c r="X1" s="111" t="s">
        <v>2733</v>
      </c>
      <c r="Y1" s="111"/>
      <c r="Z1" s="82"/>
      <c r="AA1" s="82"/>
      <c r="AB1" s="104"/>
      <c r="AC1" s="104"/>
      <c r="AD1" s="82"/>
      <c r="AE1" s="112" t="s">
        <v>2733</v>
      </c>
      <c r="AF1" s="112"/>
      <c r="AG1" s="85"/>
      <c r="AH1" s="85"/>
    </row>
    <row r="2" spans="1:68" ht="19.5">
      <c r="X2" s="82">
        <v>20261007</v>
      </c>
      <c r="Y2" s="82">
        <v>20261007</v>
      </c>
      <c r="Z2" s="82"/>
      <c r="AA2" s="82"/>
      <c r="AB2" s="104"/>
      <c r="AC2" s="104"/>
      <c r="AD2" s="82"/>
      <c r="AE2" s="85">
        <v>20261007</v>
      </c>
      <c r="AF2" s="85">
        <v>20261007</v>
      </c>
      <c r="AG2" s="85"/>
      <c r="AH2" s="85"/>
    </row>
    <row r="3" spans="1:68" ht="19.5">
      <c r="X3" s="82"/>
      <c r="Y3" s="82"/>
      <c r="Z3" s="82"/>
      <c r="AA3" s="82"/>
      <c r="AB3" s="104"/>
      <c r="AC3" s="104"/>
      <c r="AD3" s="82"/>
      <c r="AE3" s="85"/>
      <c r="AF3" s="85"/>
      <c r="AG3" s="85"/>
      <c r="AH3" s="85"/>
    </row>
    <row r="4" spans="1:68" s="68" customFormat="1" ht="32">
      <c r="A4" s="55" t="s">
        <v>1</v>
      </c>
      <c r="B4" s="55" t="s">
        <v>2</v>
      </c>
      <c r="C4" s="55" t="s">
        <v>3</v>
      </c>
      <c r="D4" s="55" t="s">
        <v>4</v>
      </c>
      <c r="E4" s="55" t="s">
        <v>5</v>
      </c>
      <c r="F4" s="56" t="s">
        <v>2545</v>
      </c>
      <c r="G4" s="70" t="s">
        <v>2545</v>
      </c>
      <c r="H4" s="55" t="s">
        <v>6</v>
      </c>
      <c r="I4" s="55" t="s">
        <v>48</v>
      </c>
      <c r="J4" s="55" t="s">
        <v>7</v>
      </c>
      <c r="K4" s="55" t="s">
        <v>49</v>
      </c>
      <c r="L4" s="69" t="s">
        <v>2541</v>
      </c>
      <c r="M4" s="72" t="s">
        <v>2542</v>
      </c>
      <c r="N4" s="57" t="s">
        <v>2506</v>
      </c>
      <c r="O4" s="73" t="s">
        <v>2544</v>
      </c>
      <c r="P4" s="71" t="s">
        <v>2507</v>
      </c>
      <c r="Q4" s="57" t="s">
        <v>2526</v>
      </c>
      <c r="R4" s="71" t="s">
        <v>2552</v>
      </c>
      <c r="S4" s="71" t="s">
        <v>2553</v>
      </c>
      <c r="T4" s="57" t="s">
        <v>2556</v>
      </c>
      <c r="U4" s="57" t="s">
        <v>2553</v>
      </c>
      <c r="V4" s="57" t="s">
        <v>2559</v>
      </c>
      <c r="W4" s="71" t="s">
        <v>2560</v>
      </c>
      <c r="X4" s="69" t="s">
        <v>2753</v>
      </c>
      <c r="Y4" s="72" t="s">
        <v>2754</v>
      </c>
      <c r="Z4" s="69" t="s">
        <v>2755</v>
      </c>
      <c r="AA4" s="72" t="s">
        <v>2755</v>
      </c>
      <c r="AB4" s="105" t="s">
        <v>2764</v>
      </c>
      <c r="AC4" s="106" t="s">
        <v>2765</v>
      </c>
      <c r="AD4" s="72" t="s">
        <v>2761</v>
      </c>
      <c r="AE4" s="69" t="s">
        <v>2617</v>
      </c>
      <c r="AF4" s="72" t="s">
        <v>2618</v>
      </c>
      <c r="AG4" s="69" t="s">
        <v>2734</v>
      </c>
      <c r="AH4" s="72" t="s">
        <v>2734</v>
      </c>
      <c r="AI4" s="55" t="s">
        <v>10</v>
      </c>
      <c r="AJ4" s="55" t="s">
        <v>53</v>
      </c>
      <c r="AK4" s="55" t="s">
        <v>11</v>
      </c>
      <c r="AL4" s="55" t="s">
        <v>2563</v>
      </c>
      <c r="AM4" s="58" t="s">
        <v>54</v>
      </c>
      <c r="AN4" s="58" t="s">
        <v>55</v>
      </c>
      <c r="AO4" s="58" t="s">
        <v>56</v>
      </c>
      <c r="AP4" s="59" t="s">
        <v>12</v>
      </c>
      <c r="AQ4" s="60" t="s">
        <v>13</v>
      </c>
      <c r="AR4" s="59" t="s">
        <v>14</v>
      </c>
      <c r="AS4" s="59" t="s">
        <v>15</v>
      </c>
      <c r="AT4" s="61" t="s">
        <v>16</v>
      </c>
      <c r="AU4" s="62" t="s">
        <v>16</v>
      </c>
      <c r="AV4" s="59" t="s">
        <v>17</v>
      </c>
      <c r="AW4" s="63" t="s">
        <v>18</v>
      </c>
      <c r="AX4" s="63" t="s">
        <v>19</v>
      </c>
      <c r="AY4" s="64" t="s">
        <v>57</v>
      </c>
      <c r="AZ4" s="65" t="s">
        <v>1898</v>
      </c>
      <c r="BA4" s="66" t="s">
        <v>1900</v>
      </c>
      <c r="BB4" s="65" t="s">
        <v>1899</v>
      </c>
      <c r="BC4" s="66" t="s">
        <v>1901</v>
      </c>
      <c r="BD4" s="67" t="s">
        <v>1960</v>
      </c>
      <c r="BE4" s="67" t="s">
        <v>1961</v>
      </c>
      <c r="BF4" s="67" t="s">
        <v>1956</v>
      </c>
      <c r="BG4" s="67" t="s">
        <v>1957</v>
      </c>
      <c r="BH4" s="67" t="s">
        <v>1958</v>
      </c>
      <c r="BI4" s="67" t="s">
        <v>1959</v>
      </c>
      <c r="BJ4" s="67" t="s">
        <v>1962</v>
      </c>
      <c r="BK4" s="67" t="s">
        <v>1963</v>
      </c>
      <c r="BL4" s="67" t="s">
        <v>2756</v>
      </c>
      <c r="BM4" s="67" t="s">
        <v>2756</v>
      </c>
      <c r="BN4" s="68" t="s">
        <v>2504</v>
      </c>
      <c r="BO4" s="68" t="s">
        <v>2766</v>
      </c>
      <c r="BP4" s="68" t="s">
        <v>2767</v>
      </c>
    </row>
    <row r="5" spans="1:68">
      <c r="A5" s="39" t="s">
        <v>20</v>
      </c>
      <c r="B5" s="39" t="s">
        <v>21</v>
      </c>
      <c r="C5" s="39" t="s">
        <v>314</v>
      </c>
      <c r="D5" s="39" t="s">
        <v>381</v>
      </c>
      <c r="E5" s="39" t="s">
        <v>382</v>
      </c>
      <c r="F5" s="39" t="s">
        <v>383</v>
      </c>
      <c r="G5" s="39" t="s">
        <v>384</v>
      </c>
      <c r="H5" s="39" t="s">
        <v>165</v>
      </c>
      <c r="I5" s="39" t="b">
        <v>0</v>
      </c>
      <c r="J5" s="39" t="s">
        <v>165</v>
      </c>
      <c r="K5" s="39" t="b">
        <v>0</v>
      </c>
      <c r="L5" s="39" t="s">
        <v>385</v>
      </c>
      <c r="M5" s="39" t="s">
        <v>386</v>
      </c>
      <c r="N5" s="39" t="s">
        <v>2508</v>
      </c>
      <c r="P5" s="39" t="s">
        <v>2508</v>
      </c>
      <c r="R5" s="39" t="s">
        <v>384</v>
      </c>
      <c r="S5" s="39" t="b">
        <f t="shared" ref="S5:S68" si="0">R5=G5</f>
        <v>1</v>
      </c>
      <c r="T5" s="39" t="s">
        <v>383</v>
      </c>
      <c r="U5" s="39" t="b">
        <f t="shared" ref="U5:U68" si="1">T5=F5</f>
        <v>1</v>
      </c>
      <c r="V5" s="39" t="s">
        <v>2564</v>
      </c>
      <c r="W5" s="39" t="s">
        <v>2564</v>
      </c>
      <c r="X5" s="83" t="s">
        <v>385</v>
      </c>
      <c r="Y5" s="84" t="s">
        <v>386</v>
      </c>
      <c r="Z5" s="83" t="s">
        <v>2508</v>
      </c>
      <c r="AA5" s="84" t="s">
        <v>2508</v>
      </c>
      <c r="AB5" s="108"/>
      <c r="AC5" s="107"/>
      <c r="AD5" s="84"/>
      <c r="AE5" s="83"/>
      <c r="AF5" s="84"/>
      <c r="AG5" s="83"/>
      <c r="AH5" s="84"/>
      <c r="AI5" s="39" t="s">
        <v>88</v>
      </c>
      <c r="AJ5" s="39" t="s">
        <v>45</v>
      </c>
      <c r="AK5" s="39" t="s">
        <v>387</v>
      </c>
      <c r="AM5" s="39" t="s">
        <v>387</v>
      </c>
      <c r="AN5" s="39" t="s">
        <v>387</v>
      </c>
      <c r="AP5" s="39" t="s">
        <v>388</v>
      </c>
      <c r="AQ5" s="39" t="s">
        <v>389</v>
      </c>
      <c r="AR5" s="39" t="s">
        <v>68</v>
      </c>
      <c r="AU5" s="44">
        <v>628567620678</v>
      </c>
      <c r="AX5" s="39" t="s">
        <v>390</v>
      </c>
      <c r="AZ5" s="39" t="s">
        <v>383</v>
      </c>
      <c r="BA5" s="39" t="s">
        <v>1906</v>
      </c>
      <c r="BB5" s="39" t="s">
        <v>384</v>
      </c>
      <c r="BC5" s="39" t="s">
        <v>1925</v>
      </c>
      <c r="BD5" s="39" t="b">
        <v>1</v>
      </c>
      <c r="BE5" s="39" t="b">
        <v>1</v>
      </c>
      <c r="BF5" s="39" t="s">
        <v>385</v>
      </c>
      <c r="BG5" s="39" t="s">
        <v>386</v>
      </c>
      <c r="BH5" s="39" t="s">
        <v>2092</v>
      </c>
      <c r="BI5" s="39" t="s">
        <v>2093</v>
      </c>
      <c r="BJ5" s="39" t="b">
        <v>1</v>
      </c>
      <c r="BK5" s="39" t="b">
        <v>1</v>
      </c>
      <c r="BN5" s="39">
        <v>0</v>
      </c>
      <c r="BO5" s="39" t="s">
        <v>2768</v>
      </c>
      <c r="BP5" s="39" t="s">
        <v>2804</v>
      </c>
    </row>
    <row r="6" spans="1:68">
      <c r="A6" s="39" t="s">
        <v>20</v>
      </c>
      <c r="B6" s="39" t="s">
        <v>21</v>
      </c>
      <c r="C6" s="39" t="s">
        <v>314</v>
      </c>
      <c r="D6" s="39" t="s">
        <v>381</v>
      </c>
      <c r="E6" s="39" t="s">
        <v>382</v>
      </c>
      <c r="F6" s="39" t="s">
        <v>383</v>
      </c>
      <c r="G6" s="39" t="s">
        <v>384</v>
      </c>
      <c r="H6" s="39" t="s">
        <v>165</v>
      </c>
      <c r="I6" s="39" t="b">
        <v>0</v>
      </c>
      <c r="J6" s="39" t="s">
        <v>165</v>
      </c>
      <c r="K6" s="39" t="b">
        <v>0</v>
      </c>
      <c r="L6" s="39" t="s">
        <v>391</v>
      </c>
      <c r="M6" s="39" t="s">
        <v>392</v>
      </c>
      <c r="N6" s="39" t="s">
        <v>2508</v>
      </c>
      <c r="P6" s="39" t="s">
        <v>2508</v>
      </c>
      <c r="R6" s="39" t="s">
        <v>384</v>
      </c>
      <c r="S6" s="39" t="b">
        <f t="shared" si="0"/>
        <v>1</v>
      </c>
      <c r="T6" s="39" t="s">
        <v>383</v>
      </c>
      <c r="U6" s="39" t="b">
        <f t="shared" si="1"/>
        <v>1</v>
      </c>
      <c r="V6" s="39" t="s">
        <v>2564</v>
      </c>
      <c r="W6" s="39" t="s">
        <v>2564</v>
      </c>
      <c r="X6" s="83" t="s">
        <v>391</v>
      </c>
      <c r="Y6" s="84" t="s">
        <v>392</v>
      </c>
      <c r="Z6" s="83" t="s">
        <v>2508</v>
      </c>
      <c r="AA6" s="84" t="s">
        <v>2508</v>
      </c>
      <c r="AB6" s="108"/>
      <c r="AC6" s="107"/>
      <c r="AD6" s="84"/>
      <c r="AE6" s="83"/>
      <c r="AF6" s="84"/>
      <c r="AG6" s="83"/>
      <c r="AH6" s="84"/>
      <c r="AI6" s="39" t="s">
        <v>88</v>
      </c>
      <c r="AJ6" s="39" t="s">
        <v>45</v>
      </c>
      <c r="AK6" s="39" t="s">
        <v>393</v>
      </c>
      <c r="AM6" s="39" t="s">
        <v>393</v>
      </c>
      <c r="AN6" s="39" t="s">
        <v>393</v>
      </c>
      <c r="AP6" s="39" t="s">
        <v>394</v>
      </c>
      <c r="AQ6" s="39" t="s">
        <v>395</v>
      </c>
      <c r="AR6" s="39" t="s">
        <v>68</v>
      </c>
      <c r="AU6" s="44">
        <v>6280086422485</v>
      </c>
      <c r="AX6" s="39" t="s">
        <v>396</v>
      </c>
      <c r="AZ6" s="39" t="s">
        <v>383</v>
      </c>
      <c r="BA6" s="39" t="s">
        <v>1906</v>
      </c>
      <c r="BB6" s="39" t="s">
        <v>384</v>
      </c>
      <c r="BC6" s="39" t="s">
        <v>1925</v>
      </c>
      <c r="BD6" s="39" t="b">
        <v>1</v>
      </c>
      <c r="BE6" s="39" t="b">
        <v>1</v>
      </c>
      <c r="BF6" s="39" t="s">
        <v>391</v>
      </c>
      <c r="BG6" s="39" t="s">
        <v>392</v>
      </c>
      <c r="BH6" s="39" t="s">
        <v>2094</v>
      </c>
      <c r="BI6" s="39" t="s">
        <v>2095</v>
      </c>
      <c r="BJ6" s="39" t="b">
        <v>1</v>
      </c>
      <c r="BK6" s="39" t="b">
        <v>1</v>
      </c>
      <c r="BN6" s="39">
        <v>0</v>
      </c>
      <c r="BO6" s="39" t="s">
        <v>2768</v>
      </c>
      <c r="BP6" s="39" t="s">
        <v>2804</v>
      </c>
    </row>
    <row r="7" spans="1:68">
      <c r="A7" s="39" t="s">
        <v>20</v>
      </c>
      <c r="B7" s="39" t="s">
        <v>21</v>
      </c>
      <c r="C7" s="39" t="s">
        <v>314</v>
      </c>
      <c r="D7" s="39" t="s">
        <v>381</v>
      </c>
      <c r="E7" s="39" t="s">
        <v>382</v>
      </c>
      <c r="F7" s="39" t="s">
        <v>383</v>
      </c>
      <c r="G7" s="39" t="s">
        <v>384</v>
      </c>
      <c r="H7" s="39" t="s">
        <v>165</v>
      </c>
      <c r="I7" s="39" t="b">
        <v>0</v>
      </c>
      <c r="J7" s="39" t="s">
        <v>165</v>
      </c>
      <c r="K7" s="39" t="b">
        <v>0</v>
      </c>
      <c r="L7" s="39" t="s">
        <v>408</v>
      </c>
      <c r="M7" s="39" t="s">
        <v>409</v>
      </c>
      <c r="N7" s="39" t="s">
        <v>2508</v>
      </c>
      <c r="P7" s="39" t="s">
        <v>2508</v>
      </c>
      <c r="R7" s="39" t="s">
        <v>384</v>
      </c>
      <c r="S7" s="39" t="b">
        <f t="shared" si="0"/>
        <v>1</v>
      </c>
      <c r="T7" s="39" t="s">
        <v>383</v>
      </c>
      <c r="U7" s="39" t="b">
        <f t="shared" si="1"/>
        <v>1</v>
      </c>
      <c r="V7" s="39" t="s">
        <v>2564</v>
      </c>
      <c r="W7" s="39" t="s">
        <v>2564</v>
      </c>
      <c r="X7" s="83" t="s">
        <v>408</v>
      </c>
      <c r="Y7" s="84" t="s">
        <v>409</v>
      </c>
      <c r="Z7" s="83" t="s">
        <v>2508</v>
      </c>
      <c r="AA7" s="84" t="s">
        <v>2508</v>
      </c>
      <c r="AB7" s="108"/>
      <c r="AC7" s="107"/>
      <c r="AD7" s="84"/>
      <c r="AE7" s="83"/>
      <c r="AF7" s="84"/>
      <c r="AG7" s="83"/>
      <c r="AH7" s="84"/>
      <c r="AI7" s="39" t="s">
        <v>88</v>
      </c>
      <c r="AJ7" s="39" t="s">
        <v>44</v>
      </c>
      <c r="AK7" s="39" t="s">
        <v>410</v>
      </c>
      <c r="AM7" s="39" t="s">
        <v>410</v>
      </c>
      <c r="AN7" s="39" t="s">
        <v>410</v>
      </c>
      <c r="AO7" s="39" t="b">
        <v>0</v>
      </c>
      <c r="AP7" s="39" t="s">
        <v>411</v>
      </c>
      <c r="AQ7" s="39" t="s">
        <v>412</v>
      </c>
      <c r="AR7" s="39" t="s">
        <v>68</v>
      </c>
      <c r="AS7" s="39" t="s">
        <v>32</v>
      </c>
      <c r="AT7" s="39">
        <v>85591021413</v>
      </c>
      <c r="AU7" s="44">
        <v>6280086422482</v>
      </c>
      <c r="AV7" s="39" t="s">
        <v>413</v>
      </c>
      <c r="AX7" s="39" t="s">
        <v>414</v>
      </c>
      <c r="AY7" s="39" t="s">
        <v>373</v>
      </c>
      <c r="AZ7" s="39" t="s">
        <v>383</v>
      </c>
      <c r="BA7" s="39" t="s">
        <v>1906</v>
      </c>
      <c r="BB7" s="39" t="s">
        <v>384</v>
      </c>
      <c r="BC7" s="39" t="s">
        <v>1925</v>
      </c>
      <c r="BD7" s="39" t="b">
        <v>1</v>
      </c>
      <c r="BE7" s="39" t="b">
        <v>1</v>
      </c>
      <c r="BF7" s="39" t="s">
        <v>408</v>
      </c>
      <c r="BG7" s="39" t="s">
        <v>409</v>
      </c>
      <c r="BH7" s="39" t="s">
        <v>2098</v>
      </c>
      <c r="BI7" s="39" t="s">
        <v>2099</v>
      </c>
      <c r="BJ7" s="39" t="b">
        <v>1</v>
      </c>
      <c r="BK7" s="39" t="b">
        <v>1</v>
      </c>
      <c r="BN7" s="39">
        <v>0</v>
      </c>
      <c r="BO7" s="39" t="s">
        <v>2768</v>
      </c>
      <c r="BP7" s="39" t="s">
        <v>2804</v>
      </c>
    </row>
    <row r="8" spans="1:68">
      <c r="A8" s="39" t="s">
        <v>20</v>
      </c>
      <c r="B8" s="39" t="s">
        <v>21</v>
      </c>
      <c r="C8" s="39" t="s">
        <v>314</v>
      </c>
      <c r="D8" s="39" t="s">
        <v>381</v>
      </c>
      <c r="E8" s="39" t="s">
        <v>382</v>
      </c>
      <c r="F8" s="39" t="s">
        <v>383</v>
      </c>
      <c r="G8" s="39" t="s">
        <v>384</v>
      </c>
      <c r="H8" s="39" t="s">
        <v>165</v>
      </c>
      <c r="I8" s="39" t="b">
        <v>0</v>
      </c>
      <c r="J8" s="39" t="s">
        <v>165</v>
      </c>
      <c r="K8" s="39" t="b">
        <v>0</v>
      </c>
      <c r="L8" s="39" t="s">
        <v>1453</v>
      </c>
      <c r="M8" s="39" t="s">
        <v>1452</v>
      </c>
      <c r="N8" s="39" t="s">
        <v>2508</v>
      </c>
      <c r="P8" s="39" t="s">
        <v>2508</v>
      </c>
      <c r="R8" s="39" t="s">
        <v>384</v>
      </c>
      <c r="S8" s="39" t="b">
        <f t="shared" si="0"/>
        <v>1</v>
      </c>
      <c r="T8" s="39" t="s">
        <v>383</v>
      </c>
      <c r="U8" s="39" t="b">
        <f t="shared" si="1"/>
        <v>1</v>
      </c>
      <c r="V8" s="39" t="s">
        <v>2564</v>
      </c>
      <c r="W8" s="39" t="s">
        <v>2564</v>
      </c>
      <c r="X8" s="83" t="s">
        <v>1453</v>
      </c>
      <c r="Y8" s="84" t="s">
        <v>1452</v>
      </c>
      <c r="Z8" s="83" t="s">
        <v>2508</v>
      </c>
      <c r="AA8" s="84" t="s">
        <v>2508</v>
      </c>
      <c r="AB8" s="108"/>
      <c r="AC8" s="107"/>
      <c r="AD8" s="84"/>
      <c r="AE8" s="83"/>
      <c r="AF8" s="84"/>
      <c r="AG8" s="83"/>
      <c r="AH8" s="84"/>
      <c r="AI8" s="39" t="s">
        <v>88</v>
      </c>
      <c r="AJ8" s="39" t="s">
        <v>45</v>
      </c>
      <c r="AK8" s="39" t="s">
        <v>1454</v>
      </c>
      <c r="AM8" s="39" t="s">
        <v>1454</v>
      </c>
      <c r="AN8" s="39" t="s">
        <v>1454</v>
      </c>
      <c r="AP8" s="39">
        <v>0</v>
      </c>
      <c r="AQ8" s="39" t="s">
        <v>1455</v>
      </c>
      <c r="AR8" s="39" t="s">
        <v>68</v>
      </c>
      <c r="AS8" s="39" t="s">
        <v>32</v>
      </c>
      <c r="AU8" s="44">
        <v>6289602778059</v>
      </c>
      <c r="AX8" s="39" t="s">
        <v>1456</v>
      </c>
      <c r="AZ8" s="39" t="s">
        <v>383</v>
      </c>
      <c r="BA8" s="39" t="s">
        <v>1906</v>
      </c>
      <c r="BB8" s="39" t="s">
        <v>384</v>
      </c>
      <c r="BC8" s="39" t="s">
        <v>1925</v>
      </c>
      <c r="BD8" s="39" t="b">
        <v>1</v>
      </c>
      <c r="BE8" s="39" t="b">
        <v>1</v>
      </c>
      <c r="BF8" s="39" t="s">
        <v>1453</v>
      </c>
      <c r="BG8" s="39" t="s">
        <v>1452</v>
      </c>
      <c r="BH8" s="39" t="s">
        <v>2376</v>
      </c>
      <c r="BI8" s="39" t="s">
        <v>2377</v>
      </c>
      <c r="BJ8" s="39" t="b">
        <v>1</v>
      </c>
      <c r="BK8" s="39" t="b">
        <v>1</v>
      </c>
      <c r="BN8" s="39">
        <v>0</v>
      </c>
      <c r="BO8" s="39" t="s">
        <v>2768</v>
      </c>
      <c r="BP8" s="39" t="s">
        <v>2804</v>
      </c>
    </row>
    <row r="9" spans="1:68">
      <c r="A9" s="39" t="s">
        <v>20</v>
      </c>
      <c r="B9" s="39" t="s">
        <v>21</v>
      </c>
      <c r="C9" s="39" t="s">
        <v>314</v>
      </c>
      <c r="D9" s="39" t="s">
        <v>381</v>
      </c>
      <c r="E9" s="39" t="s">
        <v>382</v>
      </c>
      <c r="F9" s="39" t="s">
        <v>383</v>
      </c>
      <c r="G9" s="39" t="s">
        <v>384</v>
      </c>
      <c r="H9" s="39" t="s">
        <v>165</v>
      </c>
      <c r="I9" s="39" t="b">
        <v>0</v>
      </c>
      <c r="J9" s="39" t="s">
        <v>165</v>
      </c>
      <c r="K9" s="39" t="b">
        <v>0</v>
      </c>
      <c r="L9" s="39" t="s">
        <v>1470</v>
      </c>
      <c r="M9" s="39" t="s">
        <v>1469</v>
      </c>
      <c r="N9" s="39" t="s">
        <v>2508</v>
      </c>
      <c r="P9" s="39" t="s">
        <v>2508</v>
      </c>
      <c r="R9" s="39" t="s">
        <v>384</v>
      </c>
      <c r="S9" s="39" t="b">
        <f t="shared" si="0"/>
        <v>1</v>
      </c>
      <c r="T9" s="39" t="s">
        <v>383</v>
      </c>
      <c r="U9" s="39" t="b">
        <f t="shared" si="1"/>
        <v>1</v>
      </c>
      <c r="V9" s="39" t="s">
        <v>2564</v>
      </c>
      <c r="W9" s="39" t="s">
        <v>2564</v>
      </c>
      <c r="X9" s="83" t="s">
        <v>1470</v>
      </c>
      <c r="Y9" s="84" t="s">
        <v>1469</v>
      </c>
      <c r="Z9" s="83" t="s">
        <v>2508</v>
      </c>
      <c r="AA9" s="84" t="s">
        <v>2508</v>
      </c>
      <c r="AB9" s="108"/>
      <c r="AC9" s="107"/>
      <c r="AD9" s="84"/>
      <c r="AE9" s="83"/>
      <c r="AF9" s="84"/>
      <c r="AG9" s="83"/>
      <c r="AH9" s="84"/>
      <c r="AI9" s="39" t="s">
        <v>88</v>
      </c>
      <c r="AJ9" s="39" t="s">
        <v>45</v>
      </c>
      <c r="AK9" s="39" t="s">
        <v>1471</v>
      </c>
      <c r="AM9" s="39" t="s">
        <v>1471</v>
      </c>
      <c r="AN9" s="39" t="s">
        <v>1471</v>
      </c>
      <c r="AP9" s="39" t="s">
        <v>1472</v>
      </c>
      <c r="AQ9" s="39" t="s">
        <v>1473</v>
      </c>
      <c r="AR9" s="39" t="s">
        <v>68</v>
      </c>
      <c r="AU9" s="44">
        <v>6289602778055</v>
      </c>
      <c r="AX9" s="39" t="s">
        <v>1474</v>
      </c>
      <c r="AZ9" s="39" t="s">
        <v>383</v>
      </c>
      <c r="BA9" s="39" t="s">
        <v>1906</v>
      </c>
      <c r="BB9" s="39" t="s">
        <v>384</v>
      </c>
      <c r="BC9" s="39" t="s">
        <v>1925</v>
      </c>
      <c r="BD9" s="39" t="b">
        <v>1</v>
      </c>
      <c r="BE9" s="39" t="b">
        <v>1</v>
      </c>
      <c r="BF9" s="39" t="s">
        <v>1470</v>
      </c>
      <c r="BG9" s="39" t="s">
        <v>1469</v>
      </c>
      <c r="BH9" s="39" t="s">
        <v>2382</v>
      </c>
      <c r="BI9" s="39" t="s">
        <v>2383</v>
      </c>
      <c r="BJ9" s="39" t="b">
        <v>1</v>
      </c>
      <c r="BK9" s="39" t="b">
        <v>1</v>
      </c>
      <c r="BN9" s="39">
        <v>0</v>
      </c>
      <c r="BO9" s="39" t="s">
        <v>2768</v>
      </c>
      <c r="BP9" s="39" t="s">
        <v>2804</v>
      </c>
    </row>
    <row r="10" spans="1:68">
      <c r="A10" s="39" t="s">
        <v>20</v>
      </c>
      <c r="B10" s="39" t="s">
        <v>21</v>
      </c>
      <c r="C10" s="39" t="s">
        <v>314</v>
      </c>
      <c r="D10" s="39" t="s">
        <v>381</v>
      </c>
      <c r="E10" s="39" t="s">
        <v>382</v>
      </c>
      <c r="F10" s="39" t="s">
        <v>383</v>
      </c>
      <c r="G10" s="39" t="s">
        <v>384</v>
      </c>
      <c r="H10" s="39" t="s">
        <v>165</v>
      </c>
      <c r="I10" s="39" t="b">
        <v>0</v>
      </c>
      <c r="J10" s="39" t="s">
        <v>165</v>
      </c>
      <c r="K10" s="39" t="b">
        <v>0</v>
      </c>
      <c r="L10" s="39" t="s">
        <v>1476</v>
      </c>
      <c r="M10" s="39" t="s">
        <v>1475</v>
      </c>
      <c r="N10" s="39" t="s">
        <v>2508</v>
      </c>
      <c r="P10" s="39" t="s">
        <v>2509</v>
      </c>
      <c r="R10" s="39" t="s">
        <v>384</v>
      </c>
      <c r="S10" s="39" t="b">
        <f t="shared" si="0"/>
        <v>1</v>
      </c>
      <c r="T10" s="39" t="s">
        <v>383</v>
      </c>
      <c r="U10" s="39" t="b">
        <f t="shared" si="1"/>
        <v>1</v>
      </c>
      <c r="V10" s="39" t="s">
        <v>2564</v>
      </c>
      <c r="W10" s="39" t="s">
        <v>2564</v>
      </c>
      <c r="X10" s="83" t="s">
        <v>1476</v>
      </c>
      <c r="Y10" s="84" t="s">
        <v>1475</v>
      </c>
      <c r="Z10" s="83" t="s">
        <v>2508</v>
      </c>
      <c r="AA10" s="84" t="s">
        <v>2508</v>
      </c>
      <c r="AB10" s="108"/>
      <c r="AC10" s="107"/>
      <c r="AD10" s="84"/>
      <c r="AE10" s="83"/>
      <c r="AF10" s="84"/>
      <c r="AG10" s="83"/>
      <c r="AH10" s="84"/>
      <c r="AI10" s="39" t="s">
        <v>88</v>
      </c>
      <c r="AJ10" s="39" t="s">
        <v>44</v>
      </c>
      <c r="AK10" s="39" t="s">
        <v>1477</v>
      </c>
      <c r="AM10" s="39" t="s">
        <v>1478</v>
      </c>
      <c r="AN10" s="39" t="s">
        <v>1477</v>
      </c>
      <c r="AO10" s="39" t="b">
        <v>0</v>
      </c>
      <c r="AP10" s="39" t="s">
        <v>1479</v>
      </c>
      <c r="AQ10" s="39" t="s">
        <v>1480</v>
      </c>
      <c r="AR10" s="39" t="s">
        <v>68</v>
      </c>
      <c r="AS10" s="39" t="s">
        <v>32</v>
      </c>
      <c r="AT10" s="39" t="s">
        <v>1481</v>
      </c>
      <c r="AU10" s="44">
        <v>628985561822</v>
      </c>
      <c r="AV10" s="39" t="s">
        <v>1482</v>
      </c>
      <c r="AX10" s="39" t="s">
        <v>1483</v>
      </c>
      <c r="AY10" s="39" t="s">
        <v>373</v>
      </c>
      <c r="AZ10" s="39" t="s">
        <v>383</v>
      </c>
      <c r="BA10" s="39" t="s">
        <v>1906</v>
      </c>
      <c r="BB10" s="39" t="s">
        <v>384</v>
      </c>
      <c r="BC10" s="39" t="s">
        <v>1925</v>
      </c>
      <c r="BD10" s="39" t="b">
        <v>1</v>
      </c>
      <c r="BE10" s="39" t="b">
        <v>1</v>
      </c>
      <c r="BF10" s="39" t="s">
        <v>1476</v>
      </c>
      <c r="BG10" s="39" t="s">
        <v>1475</v>
      </c>
      <c r="BH10" s="39" t="s">
        <v>2384</v>
      </c>
      <c r="BI10" s="39" t="s">
        <v>2385</v>
      </c>
      <c r="BJ10" s="39" t="b">
        <v>1</v>
      </c>
      <c r="BK10" s="39" t="b">
        <v>1</v>
      </c>
      <c r="BN10" s="39">
        <v>0</v>
      </c>
      <c r="BO10" s="39" t="s">
        <v>2768</v>
      </c>
      <c r="BP10" s="39" t="s">
        <v>2804</v>
      </c>
    </row>
    <row r="11" spans="1:68">
      <c r="A11" s="39" t="s">
        <v>20</v>
      </c>
      <c r="B11" s="39" t="s">
        <v>21</v>
      </c>
      <c r="C11" s="39" t="s">
        <v>314</v>
      </c>
      <c r="D11" s="39" t="s">
        <v>381</v>
      </c>
      <c r="E11" s="39" t="s">
        <v>382</v>
      </c>
      <c r="F11" s="39" t="s">
        <v>383</v>
      </c>
      <c r="G11" s="39" t="s">
        <v>384</v>
      </c>
      <c r="H11" s="39" t="s">
        <v>165</v>
      </c>
      <c r="I11" s="39" t="b">
        <v>0</v>
      </c>
      <c r="J11" s="39" t="s">
        <v>165</v>
      </c>
      <c r="K11" s="39" t="b">
        <v>0</v>
      </c>
      <c r="L11" s="39" t="s">
        <v>1556</v>
      </c>
      <c r="M11" s="39" t="s">
        <v>1555</v>
      </c>
      <c r="N11" s="39" t="s">
        <v>2508</v>
      </c>
      <c r="P11" s="39" t="s">
        <v>2508</v>
      </c>
      <c r="R11" s="39" t="s">
        <v>384</v>
      </c>
      <c r="S11" s="39" t="b">
        <f t="shared" si="0"/>
        <v>1</v>
      </c>
      <c r="T11" s="39" t="s">
        <v>383</v>
      </c>
      <c r="U11" s="39" t="b">
        <f t="shared" si="1"/>
        <v>1</v>
      </c>
      <c r="V11" s="39" t="s">
        <v>2564</v>
      </c>
      <c r="W11" s="39" t="s">
        <v>2564</v>
      </c>
      <c r="X11" s="83" t="s">
        <v>1556</v>
      </c>
      <c r="Y11" s="84" t="s">
        <v>1555</v>
      </c>
      <c r="Z11" s="83" t="s">
        <v>2508</v>
      </c>
      <c r="AA11" s="84" t="s">
        <v>2508</v>
      </c>
      <c r="AB11" s="108"/>
      <c r="AC11" s="107"/>
      <c r="AD11" s="84"/>
      <c r="AE11" s="83"/>
      <c r="AF11" s="84"/>
      <c r="AG11" s="83"/>
      <c r="AH11" s="84"/>
      <c r="AI11" s="39" t="s">
        <v>88</v>
      </c>
      <c r="AJ11" s="39" t="s">
        <v>45</v>
      </c>
      <c r="AK11" s="39" t="s">
        <v>1557</v>
      </c>
      <c r="AM11" s="39" t="s">
        <v>1557</v>
      </c>
      <c r="AN11" s="39" t="s">
        <v>1557</v>
      </c>
      <c r="AP11" s="39" t="s">
        <v>1558</v>
      </c>
      <c r="AQ11" s="39" t="s">
        <v>1559</v>
      </c>
      <c r="AR11" s="39" t="s">
        <v>68</v>
      </c>
      <c r="AU11" s="44">
        <v>6289602778072</v>
      </c>
      <c r="AX11" s="39" t="s">
        <v>1560</v>
      </c>
      <c r="AZ11" s="39" t="s">
        <v>383</v>
      </c>
      <c r="BA11" s="39" t="s">
        <v>1906</v>
      </c>
      <c r="BB11" s="39" t="s">
        <v>384</v>
      </c>
      <c r="BC11" s="39" t="s">
        <v>1925</v>
      </c>
      <c r="BD11" s="39" t="b">
        <v>1</v>
      </c>
      <c r="BE11" s="39" t="b">
        <v>1</v>
      </c>
      <c r="BF11" s="39" t="s">
        <v>1556</v>
      </c>
      <c r="BG11" s="39" t="s">
        <v>1555</v>
      </c>
      <c r="BH11" s="39" t="s">
        <v>2404</v>
      </c>
      <c r="BI11" s="39" t="s">
        <v>2405</v>
      </c>
      <c r="BJ11" s="39" t="b">
        <v>1</v>
      </c>
      <c r="BK11" s="39" t="b">
        <v>1</v>
      </c>
      <c r="BN11" s="39">
        <v>0</v>
      </c>
      <c r="BO11" s="39" t="s">
        <v>2768</v>
      </c>
      <c r="BP11" s="39" t="s">
        <v>2804</v>
      </c>
    </row>
    <row r="12" spans="1:68">
      <c r="A12" s="39" t="s">
        <v>20</v>
      </c>
      <c r="B12" s="39" t="s">
        <v>21</v>
      </c>
      <c r="C12" s="39" t="s">
        <v>314</v>
      </c>
      <c r="D12" s="39" t="s">
        <v>381</v>
      </c>
      <c r="E12" s="39" t="s">
        <v>382</v>
      </c>
      <c r="F12" s="39" t="s">
        <v>383</v>
      </c>
      <c r="G12" s="39" t="s">
        <v>384</v>
      </c>
      <c r="H12" s="39" t="s">
        <v>165</v>
      </c>
      <c r="I12" s="39" t="b">
        <v>0</v>
      </c>
      <c r="J12" s="39" t="s">
        <v>165</v>
      </c>
      <c r="K12" s="39" t="b">
        <v>0</v>
      </c>
      <c r="L12" s="39" t="s">
        <v>1562</v>
      </c>
      <c r="M12" s="39" t="s">
        <v>1561</v>
      </c>
      <c r="N12" s="39" t="s">
        <v>2508</v>
      </c>
      <c r="P12" s="39" t="s">
        <v>2543</v>
      </c>
      <c r="Q12" s="39" t="s">
        <v>2530</v>
      </c>
      <c r="R12" s="39" t="s">
        <v>400</v>
      </c>
      <c r="S12" s="39" t="b">
        <f t="shared" si="0"/>
        <v>0</v>
      </c>
      <c r="T12" s="39" t="s">
        <v>383</v>
      </c>
      <c r="U12" s="39" t="b">
        <f t="shared" si="1"/>
        <v>1</v>
      </c>
      <c r="V12" s="39" t="s">
        <v>2564</v>
      </c>
      <c r="W12" s="39" t="s">
        <v>2561</v>
      </c>
      <c r="X12" s="83" t="s">
        <v>1562</v>
      </c>
      <c r="Y12" s="84" t="s">
        <v>1561</v>
      </c>
      <c r="Z12" s="83" t="s">
        <v>2508</v>
      </c>
      <c r="AA12" s="84" t="s">
        <v>2543</v>
      </c>
      <c r="AB12" s="108"/>
      <c r="AC12" s="107"/>
      <c r="AD12" s="84"/>
      <c r="AE12" s="83"/>
      <c r="AF12" s="84"/>
      <c r="AG12" s="83"/>
      <c r="AH12" s="84"/>
      <c r="AI12" s="39" t="s">
        <v>88</v>
      </c>
      <c r="AJ12" s="39" t="s">
        <v>44</v>
      </c>
      <c r="AK12" s="39" t="s">
        <v>1563</v>
      </c>
      <c r="AM12" s="39" t="s">
        <v>1563</v>
      </c>
      <c r="AN12" s="39" t="s">
        <v>1564</v>
      </c>
      <c r="AO12" s="39" t="b">
        <v>0</v>
      </c>
      <c r="AP12" s="39" t="s">
        <v>1565</v>
      </c>
      <c r="AQ12" s="39" t="s">
        <v>1566</v>
      </c>
      <c r="AR12" s="39" t="s">
        <v>68</v>
      </c>
      <c r="AS12" s="39" t="s">
        <v>32</v>
      </c>
      <c r="AT12" s="39" t="s">
        <v>1567</v>
      </c>
      <c r="AU12" s="44">
        <v>628985560095</v>
      </c>
      <c r="AV12" s="39" t="s">
        <v>1568</v>
      </c>
      <c r="AX12" s="39" t="s">
        <v>1569</v>
      </c>
      <c r="AY12" s="39" t="s">
        <v>373</v>
      </c>
      <c r="AZ12" s="39" t="s">
        <v>383</v>
      </c>
      <c r="BA12" s="39" t="s">
        <v>1906</v>
      </c>
      <c r="BB12" s="39" t="s">
        <v>384</v>
      </c>
      <c r="BC12" s="39" t="s">
        <v>1925</v>
      </c>
      <c r="BD12" s="39" t="b">
        <v>1</v>
      </c>
      <c r="BE12" s="39" t="b">
        <v>1</v>
      </c>
      <c r="BF12" s="39" t="s">
        <v>1562</v>
      </c>
      <c r="BG12" s="39" t="s">
        <v>1561</v>
      </c>
      <c r="BH12" s="39" t="s">
        <v>2406</v>
      </c>
      <c r="BI12" s="39" t="s">
        <v>2407</v>
      </c>
      <c r="BJ12" s="39" t="b">
        <v>1</v>
      </c>
      <c r="BK12" s="39" t="b">
        <v>1</v>
      </c>
      <c r="BN12" s="39">
        <v>0</v>
      </c>
      <c r="BO12" s="39" t="s">
        <v>2768</v>
      </c>
      <c r="BP12" s="39" t="s">
        <v>2804</v>
      </c>
    </row>
    <row r="13" spans="1:68">
      <c r="A13" s="39" t="s">
        <v>20</v>
      </c>
      <c r="B13" s="39" t="s">
        <v>21</v>
      </c>
      <c r="C13" s="39" t="s">
        <v>314</v>
      </c>
      <c r="D13" s="39" t="s">
        <v>381</v>
      </c>
      <c r="E13" s="39" t="s">
        <v>382</v>
      </c>
      <c r="F13" s="39" t="s">
        <v>383</v>
      </c>
      <c r="G13" s="39" t="s">
        <v>384</v>
      </c>
      <c r="H13" s="39" t="s">
        <v>165</v>
      </c>
      <c r="I13" s="39" t="b">
        <v>0</v>
      </c>
      <c r="J13" s="39" t="s">
        <v>165</v>
      </c>
      <c r="K13" s="39" t="b">
        <v>0</v>
      </c>
      <c r="L13" s="39" t="s">
        <v>1611</v>
      </c>
      <c r="M13" s="39" t="s">
        <v>1610</v>
      </c>
      <c r="N13" s="39" t="s">
        <v>2543</v>
      </c>
      <c r="O13" s="39" t="s">
        <v>2513</v>
      </c>
      <c r="P13" s="39" t="s">
        <v>2509</v>
      </c>
      <c r="R13" s="39" t="s">
        <v>384</v>
      </c>
      <c r="S13" s="39" t="b">
        <f t="shared" si="0"/>
        <v>1</v>
      </c>
      <c r="T13" s="39" t="s">
        <v>358</v>
      </c>
      <c r="U13" s="39" t="b">
        <f t="shared" si="1"/>
        <v>0</v>
      </c>
      <c r="V13" s="39" t="s">
        <v>2561</v>
      </c>
      <c r="W13" s="39" t="s">
        <v>2564</v>
      </c>
      <c r="X13" s="83" t="s">
        <v>1611</v>
      </c>
      <c r="Y13" s="84" t="s">
        <v>1610</v>
      </c>
      <c r="Z13" s="83" t="s">
        <v>2509</v>
      </c>
      <c r="AA13" s="84" t="s">
        <v>2509</v>
      </c>
      <c r="AB13" s="108">
        <v>628985561832</v>
      </c>
      <c r="AC13" s="107">
        <v>628985561832</v>
      </c>
      <c r="AD13" s="84"/>
      <c r="AE13" s="83"/>
      <c r="AF13" s="84"/>
      <c r="AG13" s="83"/>
      <c r="AH13" s="84"/>
      <c r="AI13" s="39" t="s">
        <v>88</v>
      </c>
      <c r="AJ13" s="39" t="s">
        <v>44</v>
      </c>
      <c r="AK13" s="39" t="s">
        <v>1564</v>
      </c>
      <c r="AM13" s="39" t="s">
        <v>1564</v>
      </c>
      <c r="AN13" s="39" t="s">
        <v>1563</v>
      </c>
      <c r="AO13" s="39" t="b">
        <v>0</v>
      </c>
      <c r="AP13" s="39" t="s">
        <v>1612</v>
      </c>
      <c r="AQ13" s="39" t="s">
        <v>1613</v>
      </c>
      <c r="AR13" s="39" t="s">
        <v>68</v>
      </c>
      <c r="AS13" s="39" t="s">
        <v>32</v>
      </c>
      <c r="AT13" s="39" t="s">
        <v>1614</v>
      </c>
      <c r="AU13" s="44">
        <v>628985561832</v>
      </c>
      <c r="AV13" s="39" t="s">
        <v>1615</v>
      </c>
      <c r="AX13" s="39" t="s">
        <v>1616</v>
      </c>
      <c r="AY13" s="39" t="s">
        <v>373</v>
      </c>
      <c r="AZ13" s="39" t="s">
        <v>383</v>
      </c>
      <c r="BA13" s="39" t="s">
        <v>1906</v>
      </c>
      <c r="BB13" s="39" t="s">
        <v>384</v>
      </c>
      <c r="BC13" s="39" t="s">
        <v>1925</v>
      </c>
      <c r="BD13" s="39" t="b">
        <v>1</v>
      </c>
      <c r="BE13" s="39" t="b">
        <v>1</v>
      </c>
      <c r="BF13" s="39" t="s">
        <v>1611</v>
      </c>
      <c r="BG13" s="39" t="s">
        <v>1610</v>
      </c>
      <c r="BH13" s="39" t="s">
        <v>2416</v>
      </c>
      <c r="BI13" s="39" t="s">
        <v>2417</v>
      </c>
      <c r="BJ13" s="39" t="b">
        <v>1</v>
      </c>
      <c r="BK13" s="39" t="b">
        <v>1</v>
      </c>
      <c r="BN13" s="39">
        <v>0</v>
      </c>
      <c r="BO13" s="39" t="s">
        <v>2768</v>
      </c>
      <c r="BP13" s="39" t="s">
        <v>2804</v>
      </c>
    </row>
    <row r="14" spans="1:68">
      <c r="A14" s="39" t="s">
        <v>20</v>
      </c>
      <c r="B14" s="39" t="s">
        <v>21</v>
      </c>
      <c r="C14" s="39" t="s">
        <v>314</v>
      </c>
      <c r="D14" s="39" t="s">
        <v>381</v>
      </c>
      <c r="E14" s="39" t="s">
        <v>382</v>
      </c>
      <c r="F14" s="39" t="s">
        <v>383</v>
      </c>
      <c r="G14" s="39" t="s">
        <v>384</v>
      </c>
      <c r="H14" s="39" t="s">
        <v>165</v>
      </c>
      <c r="I14" s="39" t="b">
        <v>0</v>
      </c>
      <c r="J14" s="39" t="s">
        <v>165</v>
      </c>
      <c r="K14" s="39" t="b">
        <v>0</v>
      </c>
      <c r="L14" s="39" t="s">
        <v>1677</v>
      </c>
      <c r="M14" s="39" t="s">
        <v>1676</v>
      </c>
      <c r="N14" s="39" t="s">
        <v>2508</v>
      </c>
      <c r="P14" s="39" t="s">
        <v>2508</v>
      </c>
      <c r="R14" s="39" t="s">
        <v>384</v>
      </c>
      <c r="S14" s="39" t="b">
        <f t="shared" si="0"/>
        <v>1</v>
      </c>
      <c r="T14" s="39" t="s">
        <v>383</v>
      </c>
      <c r="U14" s="39" t="b">
        <f t="shared" si="1"/>
        <v>1</v>
      </c>
      <c r="V14" s="39" t="s">
        <v>2564</v>
      </c>
      <c r="W14" s="39" t="s">
        <v>2564</v>
      </c>
      <c r="X14" s="83" t="s">
        <v>1677</v>
      </c>
      <c r="Y14" s="84" t="s">
        <v>1676</v>
      </c>
      <c r="Z14" s="83" t="s">
        <v>2508</v>
      </c>
      <c r="AA14" s="84" t="s">
        <v>2508</v>
      </c>
      <c r="AB14" s="108"/>
      <c r="AC14" s="107"/>
      <c r="AD14" s="84"/>
      <c r="AE14" s="83"/>
      <c r="AF14" s="84"/>
      <c r="AG14" s="83"/>
      <c r="AH14" s="84"/>
      <c r="AI14" s="39" t="s">
        <v>88</v>
      </c>
      <c r="AJ14" s="39" t="s">
        <v>45</v>
      </c>
      <c r="AK14" s="39" t="s">
        <v>1678</v>
      </c>
      <c r="AM14" s="39" t="s">
        <v>1678</v>
      </c>
      <c r="AN14" s="39" t="s">
        <v>1678</v>
      </c>
      <c r="AP14" s="39" t="s">
        <v>1679</v>
      </c>
      <c r="AQ14" s="39" t="s">
        <v>1680</v>
      </c>
      <c r="AR14" s="39" t="s">
        <v>68</v>
      </c>
      <c r="AS14" s="39" t="s">
        <v>32</v>
      </c>
      <c r="AU14" s="44">
        <v>6289607902966</v>
      </c>
      <c r="AX14" s="39" t="s">
        <v>1681</v>
      </c>
      <c r="AZ14" s="39" t="s">
        <v>383</v>
      </c>
      <c r="BA14" s="39" t="s">
        <v>1906</v>
      </c>
      <c r="BB14" s="39" t="s">
        <v>384</v>
      </c>
      <c r="BC14" s="39" t="s">
        <v>1925</v>
      </c>
      <c r="BD14" s="39" t="b">
        <v>1</v>
      </c>
      <c r="BE14" s="39" t="b">
        <v>1</v>
      </c>
      <c r="BF14" s="39" t="s">
        <v>1677</v>
      </c>
      <c r="BG14" s="39" t="s">
        <v>1676</v>
      </c>
      <c r="BH14" s="39" t="s">
        <v>2436</v>
      </c>
      <c r="BI14" s="39" t="s">
        <v>2437</v>
      </c>
      <c r="BJ14" s="39" t="b">
        <v>1</v>
      </c>
      <c r="BK14" s="39" t="b">
        <v>1</v>
      </c>
      <c r="BN14" s="39">
        <v>0</v>
      </c>
      <c r="BO14" s="39" t="s">
        <v>2768</v>
      </c>
      <c r="BP14" s="39" t="s">
        <v>2804</v>
      </c>
    </row>
    <row r="15" spans="1:68">
      <c r="A15" s="39" t="s">
        <v>20</v>
      </c>
      <c r="B15" s="39" t="s">
        <v>21</v>
      </c>
      <c r="C15" s="39" t="s">
        <v>314</v>
      </c>
      <c r="D15" s="39" t="s">
        <v>397</v>
      </c>
      <c r="E15" s="39" t="s">
        <v>398</v>
      </c>
      <c r="F15" s="39" t="s">
        <v>399</v>
      </c>
      <c r="G15" s="39" t="s">
        <v>400</v>
      </c>
      <c r="H15" s="39" t="s">
        <v>165</v>
      </c>
      <c r="I15" s="39" t="b">
        <v>0</v>
      </c>
      <c r="J15" s="39" t="s">
        <v>165</v>
      </c>
      <c r="K15" s="39" t="b">
        <v>0</v>
      </c>
      <c r="L15" s="39" t="s">
        <v>401</v>
      </c>
      <c r="M15" s="39" t="s">
        <v>402</v>
      </c>
      <c r="N15" s="39" t="s">
        <v>2508</v>
      </c>
      <c r="P15" s="39" t="s">
        <v>2508</v>
      </c>
      <c r="R15" s="39" t="s">
        <v>400</v>
      </c>
      <c r="S15" s="39" t="b">
        <f t="shared" si="0"/>
        <v>1</v>
      </c>
      <c r="T15" s="39" t="s">
        <v>399</v>
      </c>
      <c r="U15" s="39" t="b">
        <f t="shared" si="1"/>
        <v>1</v>
      </c>
      <c r="V15" s="39" t="s">
        <v>2564</v>
      </c>
      <c r="W15" s="39" t="s">
        <v>2564</v>
      </c>
      <c r="X15" s="83" t="s">
        <v>401</v>
      </c>
      <c r="Y15" s="84" t="s">
        <v>402</v>
      </c>
      <c r="Z15" s="83" t="s">
        <v>2508</v>
      </c>
      <c r="AA15" s="84" t="s">
        <v>2508</v>
      </c>
      <c r="AB15" s="108"/>
      <c r="AC15" s="107"/>
      <c r="AD15" s="84"/>
      <c r="AE15" s="83"/>
      <c r="AF15" s="84"/>
      <c r="AG15" s="83"/>
      <c r="AH15" s="84"/>
      <c r="AI15" s="39" t="s">
        <v>88</v>
      </c>
      <c r="AJ15" s="39" t="s">
        <v>44</v>
      </c>
      <c r="AK15" s="39" t="s">
        <v>403</v>
      </c>
      <c r="AM15" s="39" t="s">
        <v>403</v>
      </c>
      <c r="AN15" s="39" t="s">
        <v>403</v>
      </c>
      <c r="AO15" s="39" t="b">
        <v>0</v>
      </c>
      <c r="AP15" s="39" t="s">
        <v>404</v>
      </c>
      <c r="AQ15" s="39" t="s">
        <v>405</v>
      </c>
      <c r="AR15" s="39" t="s">
        <v>68</v>
      </c>
      <c r="AS15" s="39" t="s">
        <v>32</v>
      </c>
      <c r="AT15" s="39">
        <v>8568810881</v>
      </c>
      <c r="AU15" s="44">
        <v>6280086422487</v>
      </c>
      <c r="AV15" s="39" t="s">
        <v>406</v>
      </c>
      <c r="AX15" s="39" t="s">
        <v>407</v>
      </c>
      <c r="AY15" s="39" t="s">
        <v>373</v>
      </c>
      <c r="AZ15" s="39" t="s">
        <v>399</v>
      </c>
      <c r="BA15" s="39" t="s">
        <v>1906</v>
      </c>
      <c r="BB15" s="39" t="s">
        <v>400</v>
      </c>
      <c r="BC15" s="39" t="s">
        <v>1925</v>
      </c>
      <c r="BD15" s="39" t="b">
        <v>1</v>
      </c>
      <c r="BE15" s="39" t="b">
        <v>1</v>
      </c>
      <c r="BF15" s="39" t="s">
        <v>401</v>
      </c>
      <c r="BG15" s="39" t="s">
        <v>402</v>
      </c>
      <c r="BH15" s="39" t="s">
        <v>2096</v>
      </c>
      <c r="BI15" s="39" t="s">
        <v>2097</v>
      </c>
      <c r="BJ15" s="39" t="b">
        <v>1</v>
      </c>
      <c r="BK15" s="39" t="b">
        <v>1</v>
      </c>
      <c r="BN15" s="39">
        <v>0</v>
      </c>
      <c r="BO15" s="39" t="s">
        <v>2769</v>
      </c>
      <c r="BP15" s="39" t="s">
        <v>2804</v>
      </c>
    </row>
    <row r="16" spans="1:68">
      <c r="A16" s="39" t="s">
        <v>20</v>
      </c>
      <c r="B16" s="39" t="s">
        <v>21</v>
      </c>
      <c r="C16" s="39" t="s">
        <v>314</v>
      </c>
      <c r="D16" s="39" t="s">
        <v>397</v>
      </c>
      <c r="E16" s="39" t="s">
        <v>398</v>
      </c>
      <c r="F16" s="39" t="s">
        <v>399</v>
      </c>
      <c r="G16" s="39" t="s">
        <v>400</v>
      </c>
      <c r="H16" s="39" t="s">
        <v>165</v>
      </c>
      <c r="I16" s="39" t="b">
        <v>0</v>
      </c>
      <c r="J16" s="39" t="s">
        <v>165</v>
      </c>
      <c r="K16" s="39" t="b">
        <v>0</v>
      </c>
      <c r="L16" s="39" t="s">
        <v>415</v>
      </c>
      <c r="M16" s="39" t="s">
        <v>416</v>
      </c>
      <c r="N16" s="39" t="s">
        <v>2508</v>
      </c>
      <c r="P16" s="39" t="s">
        <v>2508</v>
      </c>
      <c r="R16" s="39" t="s">
        <v>400</v>
      </c>
      <c r="S16" s="39" t="b">
        <f t="shared" si="0"/>
        <v>1</v>
      </c>
      <c r="T16" s="39" t="s">
        <v>399</v>
      </c>
      <c r="U16" s="39" t="b">
        <f t="shared" si="1"/>
        <v>1</v>
      </c>
      <c r="V16" s="39" t="s">
        <v>2564</v>
      </c>
      <c r="W16" s="39" t="s">
        <v>2564</v>
      </c>
      <c r="X16" s="83" t="s">
        <v>415</v>
      </c>
      <c r="Y16" s="84" t="s">
        <v>416</v>
      </c>
      <c r="Z16" s="83" t="s">
        <v>2508</v>
      </c>
      <c r="AA16" s="84" t="s">
        <v>2508</v>
      </c>
      <c r="AB16" s="108"/>
      <c r="AC16" s="107"/>
      <c r="AD16" s="84"/>
      <c r="AE16" s="83"/>
      <c r="AF16" s="84"/>
      <c r="AG16" s="83"/>
      <c r="AH16" s="84"/>
      <c r="AI16" s="39" t="s">
        <v>88</v>
      </c>
      <c r="AJ16" s="39" t="s">
        <v>44</v>
      </c>
      <c r="AK16" s="39" t="s">
        <v>417</v>
      </c>
      <c r="AM16" s="39" t="s">
        <v>417</v>
      </c>
      <c r="AN16" s="39" t="s">
        <v>417</v>
      </c>
      <c r="AO16" s="39" t="b">
        <v>0</v>
      </c>
      <c r="AP16" s="39" t="s">
        <v>418</v>
      </c>
      <c r="AQ16" s="39" t="s">
        <v>419</v>
      </c>
      <c r="AR16" s="39" t="s">
        <v>68</v>
      </c>
      <c r="AS16" s="39" t="s">
        <v>32</v>
      </c>
      <c r="AT16" s="39">
        <v>85717040506</v>
      </c>
      <c r="AU16" s="44">
        <v>6280086422488</v>
      </c>
      <c r="AV16" s="39" t="s">
        <v>420</v>
      </c>
      <c r="AX16" s="39" t="s">
        <v>421</v>
      </c>
      <c r="AY16" s="39" t="s">
        <v>373</v>
      </c>
      <c r="AZ16" s="39" t="s">
        <v>399</v>
      </c>
      <c r="BA16" s="39" t="s">
        <v>1906</v>
      </c>
      <c r="BB16" s="39" t="s">
        <v>400</v>
      </c>
      <c r="BC16" s="39" t="s">
        <v>1925</v>
      </c>
      <c r="BD16" s="39" t="b">
        <v>1</v>
      </c>
      <c r="BE16" s="39" t="b">
        <v>1</v>
      </c>
      <c r="BF16" s="39" t="s">
        <v>415</v>
      </c>
      <c r="BG16" s="39" t="s">
        <v>416</v>
      </c>
      <c r="BH16" s="39" t="s">
        <v>2100</v>
      </c>
      <c r="BI16" s="39" t="s">
        <v>2101</v>
      </c>
      <c r="BJ16" s="39" t="b">
        <v>1</v>
      </c>
      <c r="BK16" s="39" t="b">
        <v>1</v>
      </c>
      <c r="BN16" s="39">
        <v>0</v>
      </c>
      <c r="BO16" s="39" t="s">
        <v>2769</v>
      </c>
      <c r="BP16" s="39" t="s">
        <v>2804</v>
      </c>
    </row>
    <row r="17" spans="1:68">
      <c r="A17" s="39" t="s">
        <v>20</v>
      </c>
      <c r="B17" s="39" t="s">
        <v>21</v>
      </c>
      <c r="C17" s="39" t="s">
        <v>314</v>
      </c>
      <c r="D17" s="39" t="s">
        <v>397</v>
      </c>
      <c r="E17" s="39" t="s">
        <v>398</v>
      </c>
      <c r="F17" s="39" t="s">
        <v>399</v>
      </c>
      <c r="G17" s="39" t="s">
        <v>400</v>
      </c>
      <c r="H17" s="39" t="s">
        <v>165</v>
      </c>
      <c r="I17" s="39" t="b">
        <v>0</v>
      </c>
      <c r="J17" s="39" t="s">
        <v>165</v>
      </c>
      <c r="K17" s="39" t="b">
        <v>0</v>
      </c>
      <c r="L17" s="39" t="s">
        <v>422</v>
      </c>
      <c r="M17" s="39" t="s">
        <v>423</v>
      </c>
      <c r="N17" s="39" t="s">
        <v>2508</v>
      </c>
      <c r="P17" s="39" t="s">
        <v>2508</v>
      </c>
      <c r="R17" s="39" t="s">
        <v>400</v>
      </c>
      <c r="S17" s="39" t="b">
        <f t="shared" si="0"/>
        <v>1</v>
      </c>
      <c r="T17" s="39" t="s">
        <v>399</v>
      </c>
      <c r="U17" s="39" t="b">
        <f t="shared" si="1"/>
        <v>1</v>
      </c>
      <c r="V17" s="39" t="s">
        <v>2564</v>
      </c>
      <c r="W17" s="39" t="s">
        <v>2564</v>
      </c>
      <c r="X17" s="83" t="s">
        <v>422</v>
      </c>
      <c r="Y17" s="84" t="s">
        <v>423</v>
      </c>
      <c r="Z17" s="83" t="s">
        <v>2508</v>
      </c>
      <c r="AA17" s="84" t="s">
        <v>2508</v>
      </c>
      <c r="AB17" s="108"/>
      <c r="AC17" s="107"/>
      <c r="AD17" s="84"/>
      <c r="AE17" s="83"/>
      <c r="AF17" s="84"/>
      <c r="AG17" s="83"/>
      <c r="AH17" s="84"/>
      <c r="AI17" s="39" t="s">
        <v>88</v>
      </c>
      <c r="AJ17" s="39" t="s">
        <v>44</v>
      </c>
      <c r="AK17" s="39" t="s">
        <v>424</v>
      </c>
      <c r="AM17" s="39" t="s">
        <v>424</v>
      </c>
      <c r="AN17" s="39" t="s">
        <v>424</v>
      </c>
      <c r="AO17" s="39" t="b">
        <v>0</v>
      </c>
      <c r="AP17" s="39" t="s">
        <v>425</v>
      </c>
      <c r="AQ17" s="39" t="s">
        <v>426</v>
      </c>
      <c r="AR17" s="39" t="s">
        <v>68</v>
      </c>
      <c r="AS17" s="39" t="s">
        <v>32</v>
      </c>
      <c r="AT17" s="39">
        <v>85717185678</v>
      </c>
      <c r="AU17" s="44">
        <v>6280086422483</v>
      </c>
      <c r="AV17" s="39" t="s">
        <v>427</v>
      </c>
      <c r="AX17" s="39" t="s">
        <v>428</v>
      </c>
      <c r="AY17" s="39" t="s">
        <v>373</v>
      </c>
      <c r="AZ17" s="39" t="s">
        <v>399</v>
      </c>
      <c r="BA17" s="39" t="s">
        <v>1906</v>
      </c>
      <c r="BB17" s="39" t="s">
        <v>400</v>
      </c>
      <c r="BC17" s="39" t="s">
        <v>1925</v>
      </c>
      <c r="BD17" s="39" t="b">
        <v>1</v>
      </c>
      <c r="BE17" s="39" t="b">
        <v>1</v>
      </c>
      <c r="BF17" s="39" t="s">
        <v>422</v>
      </c>
      <c r="BG17" s="39" t="s">
        <v>423</v>
      </c>
      <c r="BH17" s="39" t="s">
        <v>2102</v>
      </c>
      <c r="BI17" s="39" t="s">
        <v>2103</v>
      </c>
      <c r="BJ17" s="39" t="b">
        <v>1</v>
      </c>
      <c r="BK17" s="39" t="b">
        <v>1</v>
      </c>
      <c r="BN17" s="39">
        <v>0</v>
      </c>
      <c r="BO17" s="39" t="s">
        <v>2769</v>
      </c>
      <c r="BP17" s="39" t="s">
        <v>2804</v>
      </c>
    </row>
    <row r="18" spans="1:68">
      <c r="A18" s="39" t="s">
        <v>20</v>
      </c>
      <c r="B18" s="39" t="s">
        <v>21</v>
      </c>
      <c r="C18" s="39" t="s">
        <v>314</v>
      </c>
      <c r="D18" s="39" t="s">
        <v>397</v>
      </c>
      <c r="E18" s="39" t="s">
        <v>398</v>
      </c>
      <c r="F18" s="39" t="s">
        <v>399</v>
      </c>
      <c r="G18" s="39" t="s">
        <v>400</v>
      </c>
      <c r="H18" s="39" t="s">
        <v>165</v>
      </c>
      <c r="I18" s="39" t="b">
        <v>0</v>
      </c>
      <c r="J18" s="39" t="s">
        <v>165</v>
      </c>
      <c r="K18" s="39" t="b">
        <v>0</v>
      </c>
      <c r="L18" s="39" t="s">
        <v>1630</v>
      </c>
      <c r="M18" s="39" t="s">
        <v>1629</v>
      </c>
      <c r="N18" s="39" t="s">
        <v>2508</v>
      </c>
      <c r="P18" s="39" t="s">
        <v>2508</v>
      </c>
      <c r="R18" s="39" t="s">
        <v>400</v>
      </c>
      <c r="S18" s="39" t="b">
        <f t="shared" si="0"/>
        <v>1</v>
      </c>
      <c r="T18" s="39" t="s">
        <v>399</v>
      </c>
      <c r="U18" s="39" t="b">
        <f t="shared" si="1"/>
        <v>1</v>
      </c>
      <c r="V18" s="39" t="s">
        <v>2564</v>
      </c>
      <c r="W18" s="39" t="s">
        <v>2564</v>
      </c>
      <c r="X18" s="83" t="s">
        <v>1630</v>
      </c>
      <c r="Y18" s="84" t="s">
        <v>1629</v>
      </c>
      <c r="Z18" s="83" t="s">
        <v>2508</v>
      </c>
      <c r="AA18" s="84" t="s">
        <v>2508</v>
      </c>
      <c r="AB18" s="108"/>
      <c r="AC18" s="107"/>
      <c r="AD18" s="84"/>
      <c r="AE18" s="83"/>
      <c r="AF18" s="84"/>
      <c r="AG18" s="83"/>
      <c r="AH18" s="84"/>
      <c r="AI18" s="39" t="s">
        <v>88</v>
      </c>
      <c r="AJ18" s="39" t="s">
        <v>45</v>
      </c>
      <c r="AK18" s="39" t="s">
        <v>1631</v>
      </c>
      <c r="AM18" s="39" t="s">
        <v>1631</v>
      </c>
      <c r="AN18" s="39" t="s">
        <v>1631</v>
      </c>
      <c r="AP18" s="39" t="s">
        <v>1632</v>
      </c>
      <c r="AQ18" s="39" t="s">
        <v>1633</v>
      </c>
      <c r="AR18" s="39" t="s">
        <v>68</v>
      </c>
      <c r="AU18" s="44">
        <v>6289602778054</v>
      </c>
      <c r="AX18" s="39" t="s">
        <v>1634</v>
      </c>
      <c r="AZ18" s="39" t="s">
        <v>399</v>
      </c>
      <c r="BA18" s="39" t="s">
        <v>1906</v>
      </c>
      <c r="BB18" s="39" t="s">
        <v>400</v>
      </c>
      <c r="BC18" s="39" t="s">
        <v>1925</v>
      </c>
      <c r="BD18" s="39" t="b">
        <v>1</v>
      </c>
      <c r="BE18" s="39" t="b">
        <v>1</v>
      </c>
      <c r="BF18" s="39" t="s">
        <v>1630</v>
      </c>
      <c r="BG18" s="39" t="s">
        <v>1629</v>
      </c>
      <c r="BH18" s="39" t="s">
        <v>2422</v>
      </c>
      <c r="BI18" s="39" t="s">
        <v>2423</v>
      </c>
      <c r="BJ18" s="39" t="b">
        <v>1</v>
      </c>
      <c r="BK18" s="39" t="b">
        <v>1</v>
      </c>
      <c r="BN18" s="39">
        <v>0</v>
      </c>
      <c r="BO18" s="39" t="s">
        <v>2769</v>
      </c>
      <c r="BP18" s="39" t="s">
        <v>2804</v>
      </c>
    </row>
    <row r="19" spans="1:68">
      <c r="A19" s="39" t="s">
        <v>20</v>
      </c>
      <c r="B19" s="39" t="s">
        <v>21</v>
      </c>
      <c r="C19" s="39" t="s">
        <v>314</v>
      </c>
      <c r="D19" s="39" t="s">
        <v>397</v>
      </c>
      <c r="E19" s="39" t="s">
        <v>398</v>
      </c>
      <c r="F19" s="39" t="s">
        <v>399</v>
      </c>
      <c r="G19" s="39" t="s">
        <v>400</v>
      </c>
      <c r="H19" s="39" t="s">
        <v>165</v>
      </c>
      <c r="I19" s="39" t="b">
        <v>0</v>
      </c>
      <c r="J19" s="39" t="s">
        <v>165</v>
      </c>
      <c r="K19" s="39" t="b">
        <v>0</v>
      </c>
      <c r="L19" s="39" t="s">
        <v>1690</v>
      </c>
      <c r="M19" s="39" t="s">
        <v>1689</v>
      </c>
      <c r="N19" s="39" t="s">
        <v>2508</v>
      </c>
      <c r="P19" s="39" t="s">
        <v>2508</v>
      </c>
      <c r="R19" s="39" t="s">
        <v>400</v>
      </c>
      <c r="S19" s="39" t="b">
        <f t="shared" si="0"/>
        <v>1</v>
      </c>
      <c r="T19" s="39" t="s">
        <v>399</v>
      </c>
      <c r="U19" s="39" t="b">
        <f t="shared" si="1"/>
        <v>1</v>
      </c>
      <c r="V19" s="39" t="s">
        <v>2564</v>
      </c>
      <c r="W19" s="39" t="s">
        <v>2564</v>
      </c>
      <c r="X19" s="83" t="s">
        <v>1690</v>
      </c>
      <c r="Y19" s="84" t="s">
        <v>1689</v>
      </c>
      <c r="Z19" s="83" t="s">
        <v>2508</v>
      </c>
      <c r="AA19" s="84" t="s">
        <v>2508</v>
      </c>
      <c r="AB19" s="108"/>
      <c r="AC19" s="107"/>
      <c r="AD19" s="84"/>
      <c r="AE19" s="83"/>
      <c r="AF19" s="84"/>
      <c r="AG19" s="83"/>
      <c r="AH19" s="84"/>
      <c r="AI19" s="39" t="s">
        <v>88</v>
      </c>
      <c r="AJ19" s="39" t="s">
        <v>45</v>
      </c>
      <c r="AK19" s="39" t="s">
        <v>1691</v>
      </c>
      <c r="AM19" s="39" t="s">
        <v>1691</v>
      </c>
      <c r="AN19" s="39" t="s">
        <v>1691</v>
      </c>
      <c r="AP19" s="39" t="s">
        <v>1692</v>
      </c>
      <c r="AQ19" s="39" t="s">
        <v>1693</v>
      </c>
      <c r="AR19" s="39" t="s">
        <v>68</v>
      </c>
      <c r="AU19" s="44">
        <v>6289602778053</v>
      </c>
      <c r="AX19" s="39" t="s">
        <v>1694</v>
      </c>
      <c r="AZ19" s="39" t="s">
        <v>399</v>
      </c>
      <c r="BA19" s="39" t="s">
        <v>1906</v>
      </c>
      <c r="BB19" s="39" t="s">
        <v>400</v>
      </c>
      <c r="BC19" s="39" t="s">
        <v>1925</v>
      </c>
      <c r="BD19" s="39" t="b">
        <v>1</v>
      </c>
      <c r="BE19" s="39" t="b">
        <v>1</v>
      </c>
      <c r="BF19" s="39" t="s">
        <v>1690</v>
      </c>
      <c r="BG19" s="39" t="s">
        <v>1689</v>
      </c>
      <c r="BH19" s="39" t="s">
        <v>2440</v>
      </c>
      <c r="BI19" s="39" t="s">
        <v>2441</v>
      </c>
      <c r="BJ19" s="39" t="b">
        <v>1</v>
      </c>
      <c r="BK19" s="39" t="b">
        <v>1</v>
      </c>
      <c r="BN19" s="39">
        <v>0</v>
      </c>
      <c r="BO19" s="39" t="s">
        <v>2769</v>
      </c>
      <c r="BP19" s="39" t="s">
        <v>2804</v>
      </c>
    </row>
    <row r="20" spans="1:68">
      <c r="A20" s="39" t="s">
        <v>20</v>
      </c>
      <c r="B20" s="39" t="s">
        <v>21</v>
      </c>
      <c r="C20" s="39" t="s">
        <v>314</v>
      </c>
      <c r="D20" s="39" t="s">
        <v>397</v>
      </c>
      <c r="E20" s="39" t="s">
        <v>398</v>
      </c>
      <c r="F20" s="39" t="s">
        <v>399</v>
      </c>
      <c r="G20" s="39" t="s">
        <v>400</v>
      </c>
      <c r="H20" s="39" t="s">
        <v>165</v>
      </c>
      <c r="I20" s="39" t="b">
        <v>0</v>
      </c>
      <c r="J20" s="39" t="s">
        <v>165</v>
      </c>
      <c r="K20" s="39" t="b">
        <v>0</v>
      </c>
      <c r="L20" s="39" t="s">
        <v>1696</v>
      </c>
      <c r="M20" s="39" t="s">
        <v>1695</v>
      </c>
      <c r="N20" s="39" t="s">
        <v>2510</v>
      </c>
      <c r="P20" s="39" t="s">
        <v>2508</v>
      </c>
      <c r="R20" s="39" t="s">
        <v>400</v>
      </c>
      <c r="S20" s="39" t="b">
        <f t="shared" si="0"/>
        <v>1</v>
      </c>
      <c r="U20" s="39" t="b">
        <f t="shared" si="1"/>
        <v>0</v>
      </c>
      <c r="V20" s="39" t="s">
        <v>2562</v>
      </c>
      <c r="W20" s="39" t="s">
        <v>2564</v>
      </c>
      <c r="X20" s="83" t="s">
        <v>1696</v>
      </c>
      <c r="Y20" s="84" t="s">
        <v>1695</v>
      </c>
      <c r="Z20" s="83" t="s">
        <v>2508</v>
      </c>
      <c r="AA20" s="84" t="s">
        <v>2508</v>
      </c>
      <c r="AB20" s="108"/>
      <c r="AC20" s="107"/>
      <c r="AD20" s="84"/>
      <c r="AE20" s="83"/>
      <c r="AF20" s="84"/>
      <c r="AG20" s="83"/>
      <c r="AH20" s="84"/>
      <c r="AI20" s="39" t="s">
        <v>88</v>
      </c>
      <c r="AJ20" s="39" t="s">
        <v>45</v>
      </c>
      <c r="AK20" s="39" t="s">
        <v>1697</v>
      </c>
      <c r="AP20" s="39" t="s">
        <v>1698</v>
      </c>
      <c r="AQ20" s="39" t="s">
        <v>1699</v>
      </c>
      <c r="AR20" s="39" t="s">
        <v>68</v>
      </c>
      <c r="AS20" s="39" t="s">
        <v>32</v>
      </c>
      <c r="AU20" s="44">
        <v>0</v>
      </c>
      <c r="AX20" s="39" t="s">
        <v>1700</v>
      </c>
      <c r="AZ20" s="39" t="s">
        <v>399</v>
      </c>
      <c r="BA20" s="39" t="s">
        <v>1906</v>
      </c>
      <c r="BB20" s="39" t="s">
        <v>400</v>
      </c>
      <c r="BC20" s="39" t="s">
        <v>1925</v>
      </c>
      <c r="BD20" s="39" t="b">
        <v>1</v>
      </c>
      <c r="BE20" s="39" t="b">
        <v>1</v>
      </c>
      <c r="BF20" s="39" t="s">
        <v>1696</v>
      </c>
      <c r="BG20" s="39" t="s">
        <v>1695</v>
      </c>
      <c r="BH20" s="39" t="s">
        <v>2442</v>
      </c>
      <c r="BI20" s="39" t="s">
        <v>2443</v>
      </c>
      <c r="BJ20" s="39" t="b">
        <v>1</v>
      </c>
      <c r="BK20" s="39" t="b">
        <v>1</v>
      </c>
      <c r="BN20" s="39">
        <v>0</v>
      </c>
      <c r="BO20" s="39" t="s">
        <v>2769</v>
      </c>
      <c r="BP20" s="39" t="s">
        <v>2804</v>
      </c>
    </row>
    <row r="21" spans="1:68">
      <c r="A21" s="39" t="s">
        <v>20</v>
      </c>
      <c r="B21" s="39" t="s">
        <v>21</v>
      </c>
      <c r="C21" s="39" t="s">
        <v>314</v>
      </c>
      <c r="D21" s="39" t="s">
        <v>356</v>
      </c>
      <c r="E21" s="39" t="s">
        <v>357</v>
      </c>
      <c r="F21" s="39" t="s">
        <v>358</v>
      </c>
      <c r="G21" s="39" t="s">
        <v>359</v>
      </c>
      <c r="H21" s="39" t="s">
        <v>319</v>
      </c>
      <c r="I21" s="39" t="b">
        <v>0</v>
      </c>
      <c r="J21" s="39" t="s">
        <v>319</v>
      </c>
      <c r="K21" s="39" t="b">
        <v>0</v>
      </c>
      <c r="L21" s="39" t="s">
        <v>436</v>
      </c>
      <c r="M21" s="39" t="s">
        <v>437</v>
      </c>
      <c r="N21" s="39" t="s">
        <v>2510</v>
      </c>
      <c r="P21" s="39" t="s">
        <v>2509</v>
      </c>
      <c r="R21" s="39" t="s">
        <v>359</v>
      </c>
      <c r="S21" s="39" t="b">
        <f t="shared" si="0"/>
        <v>1</v>
      </c>
      <c r="U21" s="39" t="b">
        <f t="shared" si="1"/>
        <v>0</v>
      </c>
      <c r="V21" s="39" t="s">
        <v>2562</v>
      </c>
      <c r="W21" s="39" t="s">
        <v>2564</v>
      </c>
      <c r="X21" s="83" t="s">
        <v>436</v>
      </c>
      <c r="Y21" s="84" t="s">
        <v>437</v>
      </c>
      <c r="Z21" s="83" t="s">
        <v>2512</v>
      </c>
      <c r="AA21" s="84" t="s">
        <v>2509</v>
      </c>
      <c r="AB21" s="108"/>
      <c r="AC21" s="107">
        <v>62857177749007</v>
      </c>
      <c r="AD21" s="83" t="s">
        <v>2763</v>
      </c>
      <c r="AE21" s="83"/>
      <c r="AF21" s="84"/>
      <c r="AG21" s="83"/>
      <c r="AH21" s="84"/>
      <c r="AI21" s="39" t="s">
        <v>88</v>
      </c>
      <c r="AJ21" s="39" t="s">
        <v>44</v>
      </c>
      <c r="AK21" s="39" t="s">
        <v>438</v>
      </c>
      <c r="AM21" s="39" t="s">
        <v>438</v>
      </c>
      <c r="AN21" s="39" t="s">
        <v>438</v>
      </c>
      <c r="AO21" s="39" t="b">
        <v>0</v>
      </c>
      <c r="AP21" s="39" t="s">
        <v>439</v>
      </c>
      <c r="AQ21" s="39" t="s">
        <v>440</v>
      </c>
      <c r="AR21" s="39" t="s">
        <v>68</v>
      </c>
      <c r="AS21" s="39" t="s">
        <v>32</v>
      </c>
      <c r="AT21" s="39">
        <v>85777510051</v>
      </c>
      <c r="AU21" s="44">
        <v>62857177749007</v>
      </c>
      <c r="AV21" s="39" t="s">
        <v>441</v>
      </c>
      <c r="AX21" s="39" t="s">
        <v>442</v>
      </c>
      <c r="AY21" s="39" t="s">
        <v>373</v>
      </c>
      <c r="AZ21" s="39" t="s">
        <v>358</v>
      </c>
      <c r="BA21" s="39" t="s">
        <v>1907</v>
      </c>
      <c r="BB21" s="39" t="s">
        <v>359</v>
      </c>
      <c r="BC21" s="39" t="s">
        <v>1924</v>
      </c>
      <c r="BD21" s="39" t="b">
        <v>1</v>
      </c>
      <c r="BE21" s="39" t="b">
        <v>1</v>
      </c>
      <c r="BF21" s="39" t="s">
        <v>436</v>
      </c>
      <c r="BG21" s="39" t="s">
        <v>437</v>
      </c>
      <c r="BH21" s="39" t="s">
        <v>2106</v>
      </c>
      <c r="BI21" s="39" t="s">
        <v>2107</v>
      </c>
      <c r="BJ21" s="39" t="b">
        <v>1</v>
      </c>
      <c r="BK21" s="39" t="b">
        <v>1</v>
      </c>
      <c r="BN21" s="39">
        <v>0</v>
      </c>
      <c r="BO21" s="39" t="s">
        <v>2770</v>
      </c>
      <c r="BP21" s="39" t="s">
        <v>2804</v>
      </c>
    </row>
    <row r="22" spans="1:68">
      <c r="A22" s="39" t="s">
        <v>20</v>
      </c>
      <c r="B22" s="39" t="s">
        <v>21</v>
      </c>
      <c r="C22" s="39" t="s">
        <v>314</v>
      </c>
      <c r="D22" s="39" t="s">
        <v>356</v>
      </c>
      <c r="E22" s="39" t="s">
        <v>357</v>
      </c>
      <c r="F22" s="39" t="s">
        <v>358</v>
      </c>
      <c r="G22" s="39" t="s">
        <v>359</v>
      </c>
      <c r="H22" s="39" t="s">
        <v>319</v>
      </c>
      <c r="I22" s="39" t="b">
        <v>0</v>
      </c>
      <c r="J22" s="39" t="s">
        <v>319</v>
      </c>
      <c r="K22" s="39" t="b">
        <v>0</v>
      </c>
      <c r="L22" s="39" t="s">
        <v>360</v>
      </c>
      <c r="M22" s="39" t="s">
        <v>361</v>
      </c>
      <c r="N22" s="39" t="s">
        <v>2508</v>
      </c>
      <c r="P22" s="39" t="s">
        <v>2508</v>
      </c>
      <c r="R22" s="39" t="s">
        <v>359</v>
      </c>
      <c r="S22" s="39" t="b">
        <f t="shared" si="0"/>
        <v>1</v>
      </c>
      <c r="T22" s="39" t="s">
        <v>358</v>
      </c>
      <c r="U22" s="39" t="b">
        <f t="shared" si="1"/>
        <v>1</v>
      </c>
      <c r="V22" s="39" t="s">
        <v>2564</v>
      </c>
      <c r="W22" s="39" t="s">
        <v>2564</v>
      </c>
      <c r="X22" s="83" t="s">
        <v>360</v>
      </c>
      <c r="Y22" s="84" t="s">
        <v>361</v>
      </c>
      <c r="Z22" s="83" t="s">
        <v>2508</v>
      </c>
      <c r="AA22" s="84" t="s">
        <v>2508</v>
      </c>
      <c r="AB22" s="108"/>
      <c r="AC22" s="107"/>
      <c r="AD22" s="84"/>
      <c r="AE22" s="83"/>
      <c r="AF22" s="84"/>
      <c r="AG22" s="83"/>
      <c r="AH22" s="84"/>
      <c r="AI22" s="39" t="s">
        <v>88</v>
      </c>
      <c r="AJ22" s="39" t="s">
        <v>45</v>
      </c>
      <c r="AK22" s="39" t="s">
        <v>362</v>
      </c>
      <c r="AM22" s="39" t="s">
        <v>362</v>
      </c>
      <c r="AN22" s="39" t="s">
        <v>362</v>
      </c>
      <c r="AP22" s="39" t="s">
        <v>363</v>
      </c>
      <c r="AQ22" s="39" t="s">
        <v>364</v>
      </c>
      <c r="AR22" s="39" t="s">
        <v>68</v>
      </c>
      <c r="AU22" s="44">
        <v>6280086422484</v>
      </c>
      <c r="AX22" s="39" t="s">
        <v>365</v>
      </c>
      <c r="AZ22" s="39" t="s">
        <v>358</v>
      </c>
      <c r="BA22" s="39" t="s">
        <v>1907</v>
      </c>
      <c r="BB22" s="39" t="s">
        <v>359</v>
      </c>
      <c r="BC22" s="39" t="s">
        <v>1924</v>
      </c>
      <c r="BD22" s="39" t="b">
        <v>1</v>
      </c>
      <c r="BE22" s="39" t="b">
        <v>1</v>
      </c>
      <c r="BF22" s="39" t="s">
        <v>360</v>
      </c>
      <c r="BG22" s="39" t="s">
        <v>361</v>
      </c>
      <c r="BH22" s="39" t="s">
        <v>2086</v>
      </c>
      <c r="BI22" s="39" t="s">
        <v>2087</v>
      </c>
      <c r="BJ22" s="39" t="b">
        <v>1</v>
      </c>
      <c r="BK22" s="39" t="b">
        <v>1</v>
      </c>
      <c r="BN22" s="39">
        <v>0</v>
      </c>
      <c r="BO22" s="39" t="s">
        <v>2770</v>
      </c>
      <c r="BP22" s="39" t="s">
        <v>2804</v>
      </c>
    </row>
    <row r="23" spans="1:68">
      <c r="A23" s="39" t="s">
        <v>20</v>
      </c>
      <c r="B23" s="39" t="s">
        <v>21</v>
      </c>
      <c r="C23" s="39" t="s">
        <v>314</v>
      </c>
      <c r="D23" s="39" t="s">
        <v>356</v>
      </c>
      <c r="E23" s="39" t="s">
        <v>357</v>
      </c>
      <c r="F23" s="39" t="s">
        <v>358</v>
      </c>
      <c r="G23" s="39" t="s">
        <v>359</v>
      </c>
      <c r="H23" s="39" t="s">
        <v>319</v>
      </c>
      <c r="I23" s="39" t="b">
        <v>0</v>
      </c>
      <c r="J23" s="39" t="s">
        <v>319</v>
      </c>
      <c r="K23" s="39" t="b">
        <v>0</v>
      </c>
      <c r="L23" s="39" t="s">
        <v>366</v>
      </c>
      <c r="M23" s="39" t="s">
        <v>367</v>
      </c>
      <c r="N23" s="39" t="s">
        <v>2508</v>
      </c>
      <c r="P23" s="39" t="s">
        <v>2508</v>
      </c>
      <c r="R23" s="39" t="s">
        <v>359</v>
      </c>
      <c r="S23" s="39" t="b">
        <f t="shared" si="0"/>
        <v>1</v>
      </c>
      <c r="T23" s="39" t="s">
        <v>358</v>
      </c>
      <c r="U23" s="39" t="b">
        <f t="shared" si="1"/>
        <v>1</v>
      </c>
      <c r="V23" s="39" t="s">
        <v>2564</v>
      </c>
      <c r="W23" s="39" t="s">
        <v>2564</v>
      </c>
      <c r="X23" s="83" t="s">
        <v>366</v>
      </c>
      <c r="Y23" s="84" t="s">
        <v>367</v>
      </c>
      <c r="Z23" s="83" t="s">
        <v>2508</v>
      </c>
      <c r="AA23" s="84" t="s">
        <v>2508</v>
      </c>
      <c r="AB23" s="108"/>
      <c r="AC23" s="107"/>
      <c r="AD23" s="84"/>
      <c r="AE23" s="83"/>
      <c r="AF23" s="84"/>
      <c r="AG23" s="83"/>
      <c r="AH23" s="84"/>
      <c r="AI23" s="39" t="s">
        <v>88</v>
      </c>
      <c r="AJ23" s="39" t="s">
        <v>44</v>
      </c>
      <c r="AK23" s="39" t="s">
        <v>368</v>
      </c>
      <c r="AM23" s="39" t="s">
        <v>368</v>
      </c>
      <c r="AN23" s="39" t="s">
        <v>368</v>
      </c>
      <c r="AO23" s="39" t="b">
        <v>0</v>
      </c>
      <c r="AP23" s="39" t="s">
        <v>369</v>
      </c>
      <c r="AQ23" s="39" t="s">
        <v>370</v>
      </c>
      <c r="AR23" s="39" t="s">
        <v>68</v>
      </c>
      <c r="AS23" s="39" t="s">
        <v>32</v>
      </c>
      <c r="AT23" s="39">
        <v>85711177778</v>
      </c>
      <c r="AU23" s="44">
        <v>62857111777787</v>
      </c>
      <c r="AV23" s="39" t="s">
        <v>371</v>
      </c>
      <c r="AX23" s="39" t="s">
        <v>372</v>
      </c>
      <c r="AY23" s="39" t="s">
        <v>373</v>
      </c>
      <c r="AZ23" s="39" t="s">
        <v>358</v>
      </c>
      <c r="BA23" s="39" t="s">
        <v>1907</v>
      </c>
      <c r="BB23" s="39" t="s">
        <v>359</v>
      </c>
      <c r="BC23" s="39" t="s">
        <v>1924</v>
      </c>
      <c r="BD23" s="39" t="b">
        <v>1</v>
      </c>
      <c r="BE23" s="39" t="b">
        <v>1</v>
      </c>
      <c r="BF23" s="39" t="s">
        <v>366</v>
      </c>
      <c r="BG23" s="39" t="s">
        <v>367</v>
      </c>
      <c r="BH23" s="39" t="s">
        <v>2088</v>
      </c>
      <c r="BI23" s="39" t="s">
        <v>2089</v>
      </c>
      <c r="BJ23" s="39" t="b">
        <v>1</v>
      </c>
      <c r="BK23" s="39" t="b">
        <v>1</v>
      </c>
      <c r="BN23" s="39">
        <v>0</v>
      </c>
      <c r="BO23" s="39" t="s">
        <v>2770</v>
      </c>
      <c r="BP23" s="39" t="s">
        <v>2804</v>
      </c>
    </row>
    <row r="24" spans="1:68">
      <c r="A24" s="39" t="s">
        <v>20</v>
      </c>
      <c r="B24" s="39" t="s">
        <v>21</v>
      </c>
      <c r="C24" s="39" t="s">
        <v>314</v>
      </c>
      <c r="D24" s="39" t="s">
        <v>356</v>
      </c>
      <c r="E24" s="39" t="s">
        <v>357</v>
      </c>
      <c r="F24" s="39" t="s">
        <v>358</v>
      </c>
      <c r="G24" s="39" t="s">
        <v>359</v>
      </c>
      <c r="H24" s="39" t="s">
        <v>319</v>
      </c>
      <c r="I24" s="39" t="b">
        <v>0</v>
      </c>
      <c r="J24" s="39" t="s">
        <v>319</v>
      </c>
      <c r="K24" s="39" t="b">
        <v>0</v>
      </c>
      <c r="L24" s="39" t="s">
        <v>374</v>
      </c>
      <c r="M24" s="39" t="s">
        <v>375</v>
      </c>
      <c r="N24" s="39" t="s">
        <v>2508</v>
      </c>
      <c r="P24" s="39" t="s">
        <v>2508</v>
      </c>
      <c r="R24" s="39" t="s">
        <v>359</v>
      </c>
      <c r="S24" s="39" t="b">
        <f t="shared" si="0"/>
        <v>1</v>
      </c>
      <c r="T24" s="39" t="s">
        <v>358</v>
      </c>
      <c r="U24" s="39" t="b">
        <f t="shared" si="1"/>
        <v>1</v>
      </c>
      <c r="V24" s="39" t="s">
        <v>2564</v>
      </c>
      <c r="W24" s="39" t="s">
        <v>2564</v>
      </c>
      <c r="X24" s="83" t="s">
        <v>374</v>
      </c>
      <c r="Y24" s="84" t="s">
        <v>375</v>
      </c>
      <c r="Z24" s="83" t="s">
        <v>2508</v>
      </c>
      <c r="AA24" s="84" t="s">
        <v>2508</v>
      </c>
      <c r="AB24" s="108"/>
      <c r="AC24" s="107"/>
      <c r="AD24" s="84"/>
      <c r="AE24" s="83"/>
      <c r="AF24" s="84"/>
      <c r="AG24" s="83"/>
      <c r="AH24" s="84"/>
      <c r="AI24" s="39" t="s">
        <v>88</v>
      </c>
      <c r="AJ24" s="39" t="s">
        <v>44</v>
      </c>
      <c r="AK24" s="39" t="s">
        <v>376</v>
      </c>
      <c r="AM24" s="39" t="s">
        <v>376</v>
      </c>
      <c r="AN24" s="39" t="s">
        <v>376</v>
      </c>
      <c r="AO24" s="39" t="b">
        <v>0</v>
      </c>
      <c r="AP24" s="39" t="s">
        <v>377</v>
      </c>
      <c r="AQ24" s="39" t="s">
        <v>378</v>
      </c>
      <c r="AR24" s="39" t="s">
        <v>68</v>
      </c>
      <c r="AS24" s="39" t="s">
        <v>32</v>
      </c>
      <c r="AT24" s="39">
        <v>85711116669</v>
      </c>
      <c r="AU24" s="44">
        <v>62857111166697</v>
      </c>
      <c r="AV24" s="39" t="s">
        <v>379</v>
      </c>
      <c r="AX24" s="39" t="s">
        <v>380</v>
      </c>
      <c r="AY24" s="39" t="s">
        <v>373</v>
      </c>
      <c r="AZ24" s="39" t="s">
        <v>358</v>
      </c>
      <c r="BA24" s="39" t="s">
        <v>1907</v>
      </c>
      <c r="BB24" s="39" t="s">
        <v>359</v>
      </c>
      <c r="BC24" s="39" t="s">
        <v>1924</v>
      </c>
      <c r="BD24" s="39" t="b">
        <v>1</v>
      </c>
      <c r="BE24" s="39" t="b">
        <v>1</v>
      </c>
      <c r="BF24" s="39" t="s">
        <v>374</v>
      </c>
      <c r="BG24" s="39" t="s">
        <v>375</v>
      </c>
      <c r="BH24" s="39" t="s">
        <v>2090</v>
      </c>
      <c r="BI24" s="39" t="s">
        <v>2091</v>
      </c>
      <c r="BJ24" s="39" t="b">
        <v>1</v>
      </c>
      <c r="BK24" s="39" t="b">
        <v>1</v>
      </c>
      <c r="BN24" s="39">
        <v>0</v>
      </c>
      <c r="BO24" s="39" t="s">
        <v>2770</v>
      </c>
      <c r="BP24" s="39" t="s">
        <v>2804</v>
      </c>
    </row>
    <row r="25" spans="1:68">
      <c r="A25" s="39" t="s">
        <v>20</v>
      </c>
      <c r="B25" s="39" t="s">
        <v>21</v>
      </c>
      <c r="C25" s="39" t="s">
        <v>314</v>
      </c>
      <c r="D25" s="39" t="s">
        <v>356</v>
      </c>
      <c r="E25" s="39" t="s">
        <v>357</v>
      </c>
      <c r="F25" s="39" t="s">
        <v>358</v>
      </c>
      <c r="G25" s="39" t="s">
        <v>359</v>
      </c>
      <c r="H25" s="39" t="s">
        <v>319</v>
      </c>
      <c r="I25" s="39" t="b">
        <v>0</v>
      </c>
      <c r="J25" s="39" t="s">
        <v>319</v>
      </c>
      <c r="K25" s="39" t="b">
        <v>0</v>
      </c>
      <c r="L25" s="39" t="s">
        <v>429</v>
      </c>
      <c r="M25" s="39" t="s">
        <v>430</v>
      </c>
      <c r="N25" s="39" t="s">
        <v>2508</v>
      </c>
      <c r="P25" s="39" t="s">
        <v>2508</v>
      </c>
      <c r="R25" s="39" t="s">
        <v>359</v>
      </c>
      <c r="S25" s="39" t="b">
        <f t="shared" si="0"/>
        <v>1</v>
      </c>
      <c r="T25" s="39" t="s">
        <v>358</v>
      </c>
      <c r="U25" s="39" t="b">
        <f t="shared" si="1"/>
        <v>1</v>
      </c>
      <c r="V25" s="39" t="s">
        <v>2564</v>
      </c>
      <c r="W25" s="39" t="s">
        <v>2564</v>
      </c>
      <c r="X25" s="83" t="s">
        <v>429</v>
      </c>
      <c r="Y25" s="84" t="s">
        <v>430</v>
      </c>
      <c r="Z25" s="83" t="s">
        <v>2508</v>
      </c>
      <c r="AA25" s="84" t="s">
        <v>2508</v>
      </c>
      <c r="AB25" s="108"/>
      <c r="AC25" s="107"/>
      <c r="AD25" s="84"/>
      <c r="AE25" s="83"/>
      <c r="AF25" s="84"/>
      <c r="AG25" s="83"/>
      <c r="AH25" s="84"/>
      <c r="AI25" s="39" t="s">
        <v>88</v>
      </c>
      <c r="AJ25" s="39" t="s">
        <v>44</v>
      </c>
      <c r="AK25" s="39" t="s">
        <v>431</v>
      </c>
      <c r="AM25" s="39" t="s">
        <v>431</v>
      </c>
      <c r="AN25" s="39" t="s">
        <v>431</v>
      </c>
      <c r="AO25" s="39" t="b">
        <v>0</v>
      </c>
      <c r="AP25" s="39" t="s">
        <v>432</v>
      </c>
      <c r="AQ25" s="39" t="s">
        <v>433</v>
      </c>
      <c r="AR25" s="39" t="s">
        <v>68</v>
      </c>
      <c r="AS25" s="39" t="s">
        <v>32</v>
      </c>
      <c r="AT25" s="39">
        <v>85770070006</v>
      </c>
      <c r="AU25" s="44">
        <v>6285770070006</v>
      </c>
      <c r="AV25" s="39" t="s">
        <v>434</v>
      </c>
      <c r="AX25" s="39" t="s">
        <v>435</v>
      </c>
      <c r="AY25" s="39" t="s">
        <v>373</v>
      </c>
      <c r="AZ25" s="39" t="s">
        <v>358</v>
      </c>
      <c r="BA25" s="39" t="s">
        <v>1907</v>
      </c>
      <c r="BB25" s="39" t="s">
        <v>359</v>
      </c>
      <c r="BC25" s="39" t="s">
        <v>1924</v>
      </c>
      <c r="BD25" s="39" t="b">
        <v>1</v>
      </c>
      <c r="BE25" s="39" t="b">
        <v>1</v>
      </c>
      <c r="BF25" s="39" t="s">
        <v>429</v>
      </c>
      <c r="BG25" s="39" t="s">
        <v>430</v>
      </c>
      <c r="BH25" s="39" t="s">
        <v>2104</v>
      </c>
      <c r="BI25" s="39" t="s">
        <v>2105</v>
      </c>
      <c r="BJ25" s="39" t="b">
        <v>1</v>
      </c>
      <c r="BK25" s="39" t="b">
        <v>1</v>
      </c>
      <c r="BN25" s="39">
        <v>0</v>
      </c>
      <c r="BO25" s="39" t="s">
        <v>2770</v>
      </c>
      <c r="BP25" s="39" t="s">
        <v>2804</v>
      </c>
    </row>
    <row r="26" spans="1:68">
      <c r="A26" s="39" t="s">
        <v>20</v>
      </c>
      <c r="B26" s="39" t="s">
        <v>21</v>
      </c>
      <c r="C26" s="39" t="s">
        <v>314</v>
      </c>
      <c r="D26" s="39" t="s">
        <v>356</v>
      </c>
      <c r="E26" s="39" t="s">
        <v>357</v>
      </c>
      <c r="F26" s="39" t="s">
        <v>358</v>
      </c>
      <c r="G26" s="39" t="s">
        <v>359</v>
      </c>
      <c r="H26" s="39" t="s">
        <v>319</v>
      </c>
      <c r="I26" s="39" t="b">
        <v>0</v>
      </c>
      <c r="J26" s="39" t="s">
        <v>319</v>
      </c>
      <c r="K26" s="39" t="b">
        <v>0</v>
      </c>
      <c r="L26" s="39" t="s">
        <v>1447</v>
      </c>
      <c r="M26" s="39" t="s">
        <v>1446</v>
      </c>
      <c r="N26" s="39" t="s">
        <v>2508</v>
      </c>
      <c r="P26" s="39" t="s">
        <v>2543</v>
      </c>
      <c r="Q26" s="39" t="s">
        <v>2534</v>
      </c>
      <c r="R26" s="39" t="s">
        <v>359</v>
      </c>
      <c r="S26" s="39" t="b">
        <f t="shared" si="0"/>
        <v>1</v>
      </c>
      <c r="T26" s="39" t="s">
        <v>358</v>
      </c>
      <c r="U26" s="39" t="b">
        <f t="shared" si="1"/>
        <v>1</v>
      </c>
      <c r="V26" s="39" t="s">
        <v>2564</v>
      </c>
      <c r="W26" s="39" t="s">
        <v>2564</v>
      </c>
      <c r="X26" s="83" t="s">
        <v>1447</v>
      </c>
      <c r="Y26" s="84" t="s">
        <v>1446</v>
      </c>
      <c r="Z26" s="83" t="s">
        <v>2508</v>
      </c>
      <c r="AA26" s="84" t="s">
        <v>2508</v>
      </c>
      <c r="AB26" s="108"/>
      <c r="AC26" s="107"/>
      <c r="AD26" s="84"/>
      <c r="AE26" s="83"/>
      <c r="AF26" s="84"/>
      <c r="AG26" s="83"/>
      <c r="AH26" s="84"/>
      <c r="AI26" s="39" t="s">
        <v>88</v>
      </c>
      <c r="AJ26" s="39" t="s">
        <v>45</v>
      </c>
      <c r="AK26" s="39" t="s">
        <v>1448</v>
      </c>
      <c r="AM26" s="39" t="s">
        <v>1448</v>
      </c>
      <c r="AN26" s="39" t="s">
        <v>1448</v>
      </c>
      <c r="AP26" s="39" t="s">
        <v>1449</v>
      </c>
      <c r="AQ26" s="39" t="s">
        <v>1450</v>
      </c>
      <c r="AR26" s="39" t="s">
        <v>68</v>
      </c>
      <c r="AU26" s="44">
        <v>6289602778073</v>
      </c>
      <c r="AX26" s="39" t="s">
        <v>1451</v>
      </c>
      <c r="AZ26" s="39" t="s">
        <v>358</v>
      </c>
      <c r="BA26" s="39" t="s">
        <v>1907</v>
      </c>
      <c r="BB26" s="39" t="s">
        <v>359</v>
      </c>
      <c r="BC26" s="39" t="s">
        <v>1924</v>
      </c>
      <c r="BD26" s="39" t="b">
        <v>1</v>
      </c>
      <c r="BE26" s="39" t="b">
        <v>1</v>
      </c>
      <c r="BF26" s="39" t="s">
        <v>1447</v>
      </c>
      <c r="BG26" s="39" t="s">
        <v>1446</v>
      </c>
      <c r="BH26" s="39" t="s">
        <v>2374</v>
      </c>
      <c r="BI26" s="39" t="s">
        <v>2375</v>
      </c>
      <c r="BJ26" s="39" t="b">
        <v>1</v>
      </c>
      <c r="BK26" s="39" t="b">
        <v>1</v>
      </c>
      <c r="BN26" s="39">
        <v>0</v>
      </c>
      <c r="BO26" s="39" t="s">
        <v>2770</v>
      </c>
      <c r="BP26" s="39" t="s">
        <v>2804</v>
      </c>
    </row>
    <row r="27" spans="1:68">
      <c r="A27" s="39" t="s">
        <v>20</v>
      </c>
      <c r="B27" s="39" t="s">
        <v>21</v>
      </c>
      <c r="C27" s="39" t="s">
        <v>314</v>
      </c>
      <c r="D27" s="39" t="s">
        <v>356</v>
      </c>
      <c r="E27" s="39" t="s">
        <v>357</v>
      </c>
      <c r="F27" s="39" t="s">
        <v>358</v>
      </c>
      <c r="G27" s="39" t="s">
        <v>359</v>
      </c>
      <c r="H27" s="39" t="s">
        <v>319</v>
      </c>
      <c r="I27" s="39" t="b">
        <v>0</v>
      </c>
      <c r="J27" s="39" t="s">
        <v>319</v>
      </c>
      <c r="K27" s="39" t="b">
        <v>0</v>
      </c>
      <c r="L27" s="39" t="s">
        <v>1548</v>
      </c>
      <c r="M27" s="39" t="s">
        <v>1547</v>
      </c>
      <c r="N27" s="39" t="s">
        <v>2508</v>
      </c>
      <c r="P27" s="39" t="s">
        <v>2543</v>
      </c>
      <c r="Q27" s="39" t="s">
        <v>2534</v>
      </c>
      <c r="R27" s="39" t="s">
        <v>359</v>
      </c>
      <c r="S27" s="39" t="b">
        <f t="shared" si="0"/>
        <v>1</v>
      </c>
      <c r="T27" s="39" t="s">
        <v>358</v>
      </c>
      <c r="U27" s="39" t="b">
        <f t="shared" si="1"/>
        <v>1</v>
      </c>
      <c r="V27" s="39" t="s">
        <v>2564</v>
      </c>
      <c r="W27" s="39" t="s">
        <v>2564</v>
      </c>
      <c r="X27" s="83" t="s">
        <v>1548</v>
      </c>
      <c r="Y27" s="84" t="s">
        <v>1547</v>
      </c>
      <c r="Z27" s="83" t="s">
        <v>2508</v>
      </c>
      <c r="AA27" s="84" t="s">
        <v>2509</v>
      </c>
      <c r="AB27" s="108"/>
      <c r="AC27" s="107">
        <v>628985560042</v>
      </c>
      <c r="AD27" s="84"/>
      <c r="AE27" s="83"/>
      <c r="AF27" s="84"/>
      <c r="AG27" s="83"/>
      <c r="AH27" s="84"/>
      <c r="AI27" s="39" t="s">
        <v>88</v>
      </c>
      <c r="AJ27" s="39" t="s">
        <v>44</v>
      </c>
      <c r="AK27" s="39" t="s">
        <v>1549</v>
      </c>
      <c r="AM27" s="39" t="s">
        <v>1549</v>
      </c>
      <c r="AN27" s="39" t="s">
        <v>1549</v>
      </c>
      <c r="AO27" s="39" t="b">
        <v>0</v>
      </c>
      <c r="AP27" s="39" t="s">
        <v>1550</v>
      </c>
      <c r="AQ27" s="39" t="s">
        <v>1551</v>
      </c>
      <c r="AR27" s="39" t="s">
        <v>68</v>
      </c>
      <c r="AS27" s="39" t="s">
        <v>32</v>
      </c>
      <c r="AT27" s="39" t="s">
        <v>1552</v>
      </c>
      <c r="AU27" s="44">
        <v>628985560042</v>
      </c>
      <c r="AV27" s="39" t="s">
        <v>1553</v>
      </c>
      <c r="AX27" s="39" t="s">
        <v>1554</v>
      </c>
      <c r="AY27" s="39" t="s">
        <v>373</v>
      </c>
      <c r="AZ27" s="39" t="s">
        <v>358</v>
      </c>
      <c r="BA27" s="39" t="s">
        <v>1907</v>
      </c>
      <c r="BB27" s="39" t="s">
        <v>359</v>
      </c>
      <c r="BC27" s="39" t="s">
        <v>1924</v>
      </c>
      <c r="BD27" s="39" t="b">
        <v>1</v>
      </c>
      <c r="BE27" s="39" t="b">
        <v>1</v>
      </c>
      <c r="BF27" s="39" t="s">
        <v>1548</v>
      </c>
      <c r="BG27" s="39" t="s">
        <v>1547</v>
      </c>
      <c r="BH27" s="39" t="s">
        <v>2402</v>
      </c>
      <c r="BI27" s="39" t="s">
        <v>2403</v>
      </c>
      <c r="BJ27" s="39" t="b">
        <v>1</v>
      </c>
      <c r="BK27" s="39" t="b">
        <v>1</v>
      </c>
      <c r="BN27" s="39">
        <v>0</v>
      </c>
      <c r="BO27" s="39" t="s">
        <v>2770</v>
      </c>
      <c r="BP27" s="39" t="s">
        <v>2804</v>
      </c>
    </row>
    <row r="28" spans="1:68">
      <c r="A28" s="39" t="s">
        <v>20</v>
      </c>
      <c r="B28" s="39" t="s">
        <v>21</v>
      </c>
      <c r="C28" s="39" t="s">
        <v>314</v>
      </c>
      <c r="D28" s="39" t="s">
        <v>356</v>
      </c>
      <c r="E28" s="39" t="s">
        <v>357</v>
      </c>
      <c r="F28" s="39" t="s">
        <v>358</v>
      </c>
      <c r="G28" s="39" t="s">
        <v>359</v>
      </c>
      <c r="H28" s="39" t="s">
        <v>319</v>
      </c>
      <c r="I28" s="39" t="b">
        <v>0</v>
      </c>
      <c r="J28" s="39" t="s">
        <v>319</v>
      </c>
      <c r="K28" s="39" t="b">
        <v>0</v>
      </c>
      <c r="L28" s="39" t="s">
        <v>1618</v>
      </c>
      <c r="M28" s="39" t="s">
        <v>1617</v>
      </c>
      <c r="N28" s="39" t="s">
        <v>2508</v>
      </c>
      <c r="P28" s="39" t="s">
        <v>2543</v>
      </c>
      <c r="Q28" s="39" t="s">
        <v>2535</v>
      </c>
      <c r="R28" s="39" t="s">
        <v>359</v>
      </c>
      <c r="S28" s="39" t="b">
        <f t="shared" si="0"/>
        <v>1</v>
      </c>
      <c r="T28" s="39" t="s">
        <v>358</v>
      </c>
      <c r="U28" s="39" t="b">
        <f t="shared" si="1"/>
        <v>1</v>
      </c>
      <c r="V28" s="39" t="s">
        <v>2564</v>
      </c>
      <c r="W28" s="39" t="s">
        <v>2564</v>
      </c>
      <c r="X28" s="83" t="s">
        <v>1618</v>
      </c>
      <c r="Y28" s="84" t="s">
        <v>1617</v>
      </c>
      <c r="Z28" s="83" t="s">
        <v>2508</v>
      </c>
      <c r="AA28" s="84" t="s">
        <v>2508</v>
      </c>
      <c r="AB28" s="108"/>
      <c r="AC28" s="107"/>
      <c r="AD28" s="84"/>
      <c r="AE28" s="83"/>
      <c r="AF28" s="84"/>
      <c r="AG28" s="83"/>
      <c r="AH28" s="84"/>
      <c r="AI28" s="39" t="s">
        <v>88</v>
      </c>
      <c r="AJ28" s="39" t="s">
        <v>45</v>
      </c>
      <c r="AK28" s="39" t="s">
        <v>1619</v>
      </c>
      <c r="AM28" s="39" t="s">
        <v>1619</v>
      </c>
      <c r="AN28" s="39" t="s">
        <v>1619</v>
      </c>
      <c r="AP28" s="39" t="s">
        <v>1620</v>
      </c>
      <c r="AQ28" s="39" t="s">
        <v>1621</v>
      </c>
      <c r="AR28" s="39" t="s">
        <v>68</v>
      </c>
      <c r="AU28" s="44">
        <v>6289602778079</v>
      </c>
      <c r="AX28" s="39" t="s">
        <v>1622</v>
      </c>
      <c r="AZ28" s="39" t="s">
        <v>358</v>
      </c>
      <c r="BA28" s="39" t="s">
        <v>1907</v>
      </c>
      <c r="BB28" s="39" t="s">
        <v>359</v>
      </c>
      <c r="BC28" s="39" t="s">
        <v>1924</v>
      </c>
      <c r="BD28" s="39" t="b">
        <v>1</v>
      </c>
      <c r="BE28" s="39" t="b">
        <v>1</v>
      </c>
      <c r="BF28" s="39" t="s">
        <v>1618</v>
      </c>
      <c r="BG28" s="39" t="s">
        <v>1617</v>
      </c>
      <c r="BH28" s="39" t="s">
        <v>2418</v>
      </c>
      <c r="BI28" s="39" t="s">
        <v>2419</v>
      </c>
      <c r="BJ28" s="39" t="b">
        <v>1</v>
      </c>
      <c r="BK28" s="39" t="b">
        <v>1</v>
      </c>
      <c r="BN28" s="39">
        <v>0</v>
      </c>
      <c r="BO28" s="39" t="s">
        <v>2770</v>
      </c>
      <c r="BP28" s="39" t="s">
        <v>2804</v>
      </c>
    </row>
    <row r="29" spans="1:68">
      <c r="A29" s="39" t="s">
        <v>20</v>
      </c>
      <c r="B29" s="39" t="s">
        <v>21</v>
      </c>
      <c r="C29" s="39" t="s">
        <v>314</v>
      </c>
      <c r="D29" s="39" t="s">
        <v>315</v>
      </c>
      <c r="E29" s="39" t="s">
        <v>316</v>
      </c>
      <c r="F29" s="39" t="s">
        <v>317</v>
      </c>
      <c r="G29" s="39" t="s">
        <v>318</v>
      </c>
      <c r="H29" s="39" t="s">
        <v>319</v>
      </c>
      <c r="I29" s="39" t="b">
        <v>0</v>
      </c>
      <c r="J29" s="39" t="s">
        <v>319</v>
      </c>
      <c r="K29" s="39" t="b">
        <v>0</v>
      </c>
      <c r="L29" s="39" t="s">
        <v>320</v>
      </c>
      <c r="M29" s="39" t="s">
        <v>321</v>
      </c>
      <c r="N29" s="39" t="s">
        <v>2508</v>
      </c>
      <c r="P29" s="39" t="s">
        <v>2508</v>
      </c>
      <c r="R29" s="39" t="s">
        <v>318</v>
      </c>
      <c r="S29" s="39" t="b">
        <f t="shared" si="0"/>
        <v>1</v>
      </c>
      <c r="T29" s="39" t="s">
        <v>317</v>
      </c>
      <c r="U29" s="39" t="b">
        <f t="shared" si="1"/>
        <v>1</v>
      </c>
      <c r="V29" s="39" t="s">
        <v>2564</v>
      </c>
      <c r="W29" s="39" t="s">
        <v>2564</v>
      </c>
      <c r="X29" s="83" t="s">
        <v>320</v>
      </c>
      <c r="Y29" s="84" t="s">
        <v>321</v>
      </c>
      <c r="Z29" s="83" t="s">
        <v>2508</v>
      </c>
      <c r="AA29" s="84" t="s">
        <v>2508</v>
      </c>
      <c r="AB29" s="108"/>
      <c r="AC29" s="107"/>
      <c r="AD29" s="84"/>
      <c r="AE29" s="83"/>
      <c r="AF29" s="84"/>
      <c r="AG29" s="83"/>
      <c r="AH29" s="84"/>
      <c r="AI29" s="39" t="s">
        <v>88</v>
      </c>
      <c r="AJ29" s="39" t="s">
        <v>45</v>
      </c>
      <c r="AK29" s="39" t="s">
        <v>322</v>
      </c>
      <c r="AM29" s="39" t="s">
        <v>322</v>
      </c>
      <c r="AN29" s="39" t="s">
        <v>322</v>
      </c>
      <c r="AP29" s="39" t="s">
        <v>323</v>
      </c>
      <c r="AQ29" s="39" t="s">
        <v>324</v>
      </c>
      <c r="AR29" s="39" t="s">
        <v>68</v>
      </c>
      <c r="AU29" s="44">
        <v>628166333327</v>
      </c>
      <c r="AX29" s="39" t="s">
        <v>325</v>
      </c>
      <c r="AZ29" s="39" t="s">
        <v>317</v>
      </c>
      <c r="BA29" s="39" t="s">
        <v>1907</v>
      </c>
      <c r="BB29" s="39" t="s">
        <v>318</v>
      </c>
      <c r="BC29" s="39" t="s">
        <v>1923</v>
      </c>
      <c r="BD29" s="39" t="b">
        <v>1</v>
      </c>
      <c r="BE29" s="39" t="b">
        <v>1</v>
      </c>
      <c r="BF29" s="39" t="s">
        <v>320</v>
      </c>
      <c r="BG29" s="39" t="s">
        <v>321</v>
      </c>
      <c r="BH29" s="39" t="s">
        <v>2074</v>
      </c>
      <c r="BI29" s="39" t="s">
        <v>2075</v>
      </c>
      <c r="BJ29" s="39" t="b">
        <v>1</v>
      </c>
      <c r="BK29" s="39" t="b">
        <v>1</v>
      </c>
      <c r="BN29" s="39">
        <v>0</v>
      </c>
      <c r="BO29" s="39" t="s">
        <v>2771</v>
      </c>
      <c r="BP29" s="39" t="s">
        <v>2804</v>
      </c>
    </row>
    <row r="30" spans="1:68">
      <c r="A30" s="39" t="s">
        <v>20</v>
      </c>
      <c r="B30" s="39" t="s">
        <v>21</v>
      </c>
      <c r="C30" s="39" t="s">
        <v>314</v>
      </c>
      <c r="D30" s="39" t="s">
        <v>315</v>
      </c>
      <c r="E30" s="39" t="s">
        <v>316</v>
      </c>
      <c r="F30" s="39" t="s">
        <v>317</v>
      </c>
      <c r="G30" s="39" t="s">
        <v>318</v>
      </c>
      <c r="H30" s="39" t="s">
        <v>319</v>
      </c>
      <c r="I30" s="39" t="b">
        <v>0</v>
      </c>
      <c r="J30" s="39" t="s">
        <v>319</v>
      </c>
      <c r="K30" s="39" t="b">
        <v>0</v>
      </c>
      <c r="L30" s="39" t="s">
        <v>326</v>
      </c>
      <c r="M30" s="39" t="s">
        <v>327</v>
      </c>
      <c r="N30" s="39" t="s">
        <v>2508</v>
      </c>
      <c r="P30" s="39" t="s">
        <v>2508</v>
      </c>
      <c r="R30" s="39" t="s">
        <v>318</v>
      </c>
      <c r="S30" s="39" t="b">
        <f t="shared" si="0"/>
        <v>1</v>
      </c>
      <c r="T30" s="39" t="s">
        <v>317</v>
      </c>
      <c r="U30" s="39" t="b">
        <f t="shared" si="1"/>
        <v>1</v>
      </c>
      <c r="V30" s="39" t="s">
        <v>2564</v>
      </c>
      <c r="W30" s="39" t="s">
        <v>2564</v>
      </c>
      <c r="X30" s="83" t="s">
        <v>326</v>
      </c>
      <c r="Y30" s="84" t="s">
        <v>327</v>
      </c>
      <c r="Z30" s="83" t="s">
        <v>2508</v>
      </c>
      <c r="AA30" s="84" t="s">
        <v>2508</v>
      </c>
      <c r="AB30" s="108"/>
      <c r="AC30" s="107"/>
      <c r="AD30" s="84"/>
      <c r="AE30" s="83"/>
      <c r="AF30" s="84"/>
      <c r="AG30" s="83"/>
      <c r="AH30" s="84"/>
      <c r="AI30" s="39" t="s">
        <v>88</v>
      </c>
      <c r="AJ30" s="39" t="s">
        <v>45</v>
      </c>
      <c r="AK30" s="39" t="s">
        <v>328</v>
      </c>
      <c r="AM30" s="39" t="s">
        <v>328</v>
      </c>
      <c r="AN30" s="39" t="s">
        <v>328</v>
      </c>
      <c r="AP30" s="39" t="s">
        <v>329</v>
      </c>
      <c r="AQ30" s="39" t="s">
        <v>330</v>
      </c>
      <c r="AR30" s="39" t="s">
        <v>68</v>
      </c>
      <c r="AU30" s="44">
        <v>628165671777</v>
      </c>
      <c r="AX30" s="39" t="s">
        <v>331</v>
      </c>
      <c r="AZ30" s="39" t="s">
        <v>317</v>
      </c>
      <c r="BA30" s="39" t="s">
        <v>1907</v>
      </c>
      <c r="BB30" s="39" t="s">
        <v>318</v>
      </c>
      <c r="BC30" s="39" t="s">
        <v>1923</v>
      </c>
      <c r="BD30" s="39" t="b">
        <v>1</v>
      </c>
      <c r="BE30" s="39" t="b">
        <v>1</v>
      </c>
      <c r="BF30" s="39" t="s">
        <v>326</v>
      </c>
      <c r="BG30" s="39" t="s">
        <v>327</v>
      </c>
      <c r="BH30" s="39" t="s">
        <v>2076</v>
      </c>
      <c r="BI30" s="39" t="s">
        <v>2077</v>
      </c>
      <c r="BJ30" s="39" t="b">
        <v>1</v>
      </c>
      <c r="BK30" s="39" t="b">
        <v>1</v>
      </c>
      <c r="BN30" s="39">
        <v>0</v>
      </c>
      <c r="BO30" s="39" t="s">
        <v>2771</v>
      </c>
      <c r="BP30" s="39" t="s">
        <v>2804</v>
      </c>
    </row>
    <row r="31" spans="1:68">
      <c r="A31" s="39" t="s">
        <v>20</v>
      </c>
      <c r="B31" s="39" t="s">
        <v>21</v>
      </c>
      <c r="C31" s="39" t="s">
        <v>314</v>
      </c>
      <c r="D31" s="39" t="s">
        <v>315</v>
      </c>
      <c r="E31" s="39" t="s">
        <v>316</v>
      </c>
      <c r="F31" s="39" t="s">
        <v>317</v>
      </c>
      <c r="G31" s="39" t="s">
        <v>318</v>
      </c>
      <c r="H31" s="39" t="s">
        <v>319</v>
      </c>
      <c r="I31" s="39" t="b">
        <v>0</v>
      </c>
      <c r="J31" s="39" t="s">
        <v>319</v>
      </c>
      <c r="K31" s="39" t="b">
        <v>0</v>
      </c>
      <c r="L31" s="39" t="s">
        <v>332</v>
      </c>
      <c r="M31" s="39" t="s">
        <v>333</v>
      </c>
      <c r="N31" s="39" t="s">
        <v>2508</v>
      </c>
      <c r="P31" s="39" t="s">
        <v>2508</v>
      </c>
      <c r="R31" s="39" t="s">
        <v>318</v>
      </c>
      <c r="S31" s="39" t="b">
        <f t="shared" si="0"/>
        <v>1</v>
      </c>
      <c r="T31" s="39" t="s">
        <v>317</v>
      </c>
      <c r="U31" s="39" t="b">
        <f t="shared" si="1"/>
        <v>1</v>
      </c>
      <c r="V31" s="39" t="s">
        <v>2564</v>
      </c>
      <c r="W31" s="39" t="s">
        <v>2564</v>
      </c>
      <c r="X31" s="83" t="s">
        <v>332</v>
      </c>
      <c r="Y31" s="84" t="s">
        <v>333</v>
      </c>
      <c r="Z31" s="83" t="s">
        <v>2508</v>
      </c>
      <c r="AA31" s="84" t="s">
        <v>2508</v>
      </c>
      <c r="AB31" s="108"/>
      <c r="AC31" s="107"/>
      <c r="AD31" s="84"/>
      <c r="AE31" s="83"/>
      <c r="AF31" s="84"/>
      <c r="AG31" s="83"/>
      <c r="AH31" s="84"/>
      <c r="AI31" s="39" t="s">
        <v>88</v>
      </c>
      <c r="AJ31" s="39" t="s">
        <v>45</v>
      </c>
      <c r="AK31" s="39" t="s">
        <v>334</v>
      </c>
      <c r="AM31" s="39" t="s">
        <v>334</v>
      </c>
      <c r="AN31" s="39" t="s">
        <v>334</v>
      </c>
      <c r="AP31" s="39" t="s">
        <v>335</v>
      </c>
      <c r="AQ31" s="39" t="s">
        <v>336</v>
      </c>
      <c r="AR31" s="39" t="s">
        <v>68</v>
      </c>
      <c r="AU31" s="44">
        <v>62858940940827</v>
      </c>
      <c r="AX31" s="39" t="s">
        <v>337</v>
      </c>
      <c r="AZ31" s="39" t="s">
        <v>317</v>
      </c>
      <c r="BA31" s="39" t="s">
        <v>1907</v>
      </c>
      <c r="BB31" s="39" t="s">
        <v>318</v>
      </c>
      <c r="BC31" s="39" t="s">
        <v>1923</v>
      </c>
      <c r="BD31" s="39" t="b">
        <v>1</v>
      </c>
      <c r="BE31" s="39" t="b">
        <v>1</v>
      </c>
      <c r="BF31" s="39" t="s">
        <v>332</v>
      </c>
      <c r="BG31" s="39" t="s">
        <v>333</v>
      </c>
      <c r="BH31" s="39" t="s">
        <v>2078</v>
      </c>
      <c r="BI31" s="39" t="s">
        <v>2079</v>
      </c>
      <c r="BJ31" s="39" t="b">
        <v>1</v>
      </c>
      <c r="BK31" s="39" t="b">
        <v>1</v>
      </c>
      <c r="BN31" s="39">
        <v>0</v>
      </c>
      <c r="BO31" s="39" t="s">
        <v>2771</v>
      </c>
      <c r="BP31" s="39" t="s">
        <v>2804</v>
      </c>
    </row>
    <row r="32" spans="1:68">
      <c r="A32" s="39" t="s">
        <v>20</v>
      </c>
      <c r="B32" s="39" t="s">
        <v>21</v>
      </c>
      <c r="C32" s="39" t="s">
        <v>314</v>
      </c>
      <c r="D32" s="39" t="s">
        <v>315</v>
      </c>
      <c r="E32" s="39" t="s">
        <v>316</v>
      </c>
      <c r="F32" s="39" t="s">
        <v>317</v>
      </c>
      <c r="G32" s="39" t="s">
        <v>318</v>
      </c>
      <c r="H32" s="39" t="s">
        <v>319</v>
      </c>
      <c r="I32" s="39" t="b">
        <v>0</v>
      </c>
      <c r="J32" s="39" t="s">
        <v>319</v>
      </c>
      <c r="K32" s="39" t="b">
        <v>0</v>
      </c>
      <c r="L32" s="39" t="s">
        <v>338</v>
      </c>
      <c r="M32" s="39" t="s">
        <v>339</v>
      </c>
      <c r="N32" s="39" t="s">
        <v>2508</v>
      </c>
      <c r="P32" s="39" t="s">
        <v>2508</v>
      </c>
      <c r="R32" s="39" t="s">
        <v>318</v>
      </c>
      <c r="S32" s="39" t="b">
        <f t="shared" si="0"/>
        <v>1</v>
      </c>
      <c r="T32" s="39" t="s">
        <v>317</v>
      </c>
      <c r="U32" s="39" t="b">
        <f t="shared" si="1"/>
        <v>1</v>
      </c>
      <c r="V32" s="39" t="s">
        <v>2564</v>
      </c>
      <c r="W32" s="39" t="s">
        <v>2564</v>
      </c>
      <c r="X32" s="83" t="s">
        <v>338</v>
      </c>
      <c r="Y32" s="84" t="s">
        <v>339</v>
      </c>
      <c r="Z32" s="83" t="s">
        <v>2508</v>
      </c>
      <c r="AA32" s="84" t="s">
        <v>2508</v>
      </c>
      <c r="AB32" s="108"/>
      <c r="AC32" s="107"/>
      <c r="AD32" s="84"/>
      <c r="AE32" s="83"/>
      <c r="AF32" s="84"/>
      <c r="AG32" s="83"/>
      <c r="AH32" s="84"/>
      <c r="AI32" s="39" t="s">
        <v>88</v>
      </c>
      <c r="AJ32" s="39" t="s">
        <v>45</v>
      </c>
      <c r="AK32" s="39" t="s">
        <v>340</v>
      </c>
      <c r="AM32" s="39" t="s">
        <v>340</v>
      </c>
      <c r="AN32" s="39" t="s">
        <v>340</v>
      </c>
      <c r="AP32" s="39" t="s">
        <v>341</v>
      </c>
      <c r="AQ32" s="39" t="s">
        <v>342</v>
      </c>
      <c r="AR32" s="39" t="s">
        <v>68</v>
      </c>
      <c r="AU32" s="44">
        <v>62857765555347</v>
      </c>
      <c r="AX32" s="39" t="s">
        <v>343</v>
      </c>
      <c r="AZ32" s="39" t="s">
        <v>317</v>
      </c>
      <c r="BA32" s="39" t="s">
        <v>1907</v>
      </c>
      <c r="BB32" s="39" t="s">
        <v>318</v>
      </c>
      <c r="BC32" s="39" t="s">
        <v>1923</v>
      </c>
      <c r="BD32" s="39" t="b">
        <v>1</v>
      </c>
      <c r="BE32" s="39" t="b">
        <v>1</v>
      </c>
      <c r="BF32" s="39" t="s">
        <v>338</v>
      </c>
      <c r="BG32" s="39" t="s">
        <v>339</v>
      </c>
      <c r="BH32" s="39" t="s">
        <v>2080</v>
      </c>
      <c r="BI32" s="39" t="s">
        <v>2081</v>
      </c>
      <c r="BJ32" s="39" t="b">
        <v>1</v>
      </c>
      <c r="BK32" s="39" t="b">
        <v>1</v>
      </c>
      <c r="BN32" s="39">
        <v>0</v>
      </c>
      <c r="BO32" s="39" t="s">
        <v>2771</v>
      </c>
      <c r="BP32" s="39" t="s">
        <v>2804</v>
      </c>
    </row>
    <row r="33" spans="1:68">
      <c r="A33" s="39" t="s">
        <v>20</v>
      </c>
      <c r="B33" s="39" t="s">
        <v>21</v>
      </c>
      <c r="C33" s="39" t="s">
        <v>314</v>
      </c>
      <c r="D33" s="39" t="s">
        <v>315</v>
      </c>
      <c r="E33" s="39" t="s">
        <v>316</v>
      </c>
      <c r="F33" s="39" t="s">
        <v>317</v>
      </c>
      <c r="G33" s="39" t="s">
        <v>318</v>
      </c>
      <c r="H33" s="39" t="s">
        <v>319</v>
      </c>
      <c r="I33" s="39" t="b">
        <v>0</v>
      </c>
      <c r="J33" s="39" t="s">
        <v>319</v>
      </c>
      <c r="K33" s="39" t="b">
        <v>0</v>
      </c>
      <c r="L33" s="39" t="s">
        <v>344</v>
      </c>
      <c r="M33" s="39" t="s">
        <v>345</v>
      </c>
      <c r="N33" s="39" t="s">
        <v>2508</v>
      </c>
      <c r="P33" s="39" t="s">
        <v>2508</v>
      </c>
      <c r="R33" s="39" t="s">
        <v>318</v>
      </c>
      <c r="S33" s="39" t="b">
        <f t="shared" si="0"/>
        <v>1</v>
      </c>
      <c r="T33" s="39" t="s">
        <v>317</v>
      </c>
      <c r="U33" s="39" t="b">
        <f t="shared" si="1"/>
        <v>1</v>
      </c>
      <c r="V33" s="39" t="s">
        <v>2564</v>
      </c>
      <c r="W33" s="39" t="s">
        <v>2564</v>
      </c>
      <c r="X33" s="83" t="s">
        <v>344</v>
      </c>
      <c r="Y33" s="84" t="s">
        <v>345</v>
      </c>
      <c r="Z33" s="83" t="s">
        <v>2508</v>
      </c>
      <c r="AA33" s="84" t="s">
        <v>2508</v>
      </c>
      <c r="AB33" s="108"/>
      <c r="AC33" s="107"/>
      <c r="AD33" s="84"/>
      <c r="AE33" s="83"/>
      <c r="AF33" s="84"/>
      <c r="AG33" s="83"/>
      <c r="AH33" s="84"/>
      <c r="AI33" s="39" t="s">
        <v>88</v>
      </c>
      <c r="AJ33" s="39" t="s">
        <v>45</v>
      </c>
      <c r="AK33" s="39" t="s">
        <v>346</v>
      </c>
      <c r="AM33" s="39" t="s">
        <v>346</v>
      </c>
      <c r="AN33" s="39" t="s">
        <v>346</v>
      </c>
      <c r="AP33" s="39" t="s">
        <v>347</v>
      </c>
      <c r="AQ33" s="39" t="s">
        <v>348</v>
      </c>
      <c r="AR33" s="39" t="s">
        <v>68</v>
      </c>
      <c r="AU33" s="44">
        <v>62856970280217</v>
      </c>
      <c r="AX33" s="39" t="s">
        <v>349</v>
      </c>
      <c r="AZ33" s="39" t="s">
        <v>317</v>
      </c>
      <c r="BA33" s="39" t="s">
        <v>1907</v>
      </c>
      <c r="BB33" s="39" t="s">
        <v>318</v>
      </c>
      <c r="BC33" s="39" t="s">
        <v>1923</v>
      </c>
      <c r="BD33" s="39" t="b">
        <v>1</v>
      </c>
      <c r="BE33" s="39" t="b">
        <v>1</v>
      </c>
      <c r="BF33" s="39" t="s">
        <v>344</v>
      </c>
      <c r="BG33" s="39" t="s">
        <v>345</v>
      </c>
      <c r="BH33" s="39" t="s">
        <v>2082</v>
      </c>
      <c r="BI33" s="39" t="s">
        <v>2083</v>
      </c>
      <c r="BJ33" s="39" t="b">
        <v>1</v>
      </c>
      <c r="BK33" s="39" t="b">
        <v>1</v>
      </c>
      <c r="BN33" s="39">
        <v>0</v>
      </c>
      <c r="BO33" s="39" t="s">
        <v>2771</v>
      </c>
      <c r="BP33" s="39" t="s">
        <v>2804</v>
      </c>
    </row>
    <row r="34" spans="1:68">
      <c r="A34" s="39" t="s">
        <v>20</v>
      </c>
      <c r="B34" s="39" t="s">
        <v>21</v>
      </c>
      <c r="C34" s="39" t="s">
        <v>314</v>
      </c>
      <c r="D34" s="39" t="s">
        <v>315</v>
      </c>
      <c r="E34" s="39" t="s">
        <v>316</v>
      </c>
      <c r="F34" s="39" t="s">
        <v>317</v>
      </c>
      <c r="G34" s="39" t="s">
        <v>318</v>
      </c>
      <c r="H34" s="39" t="s">
        <v>319</v>
      </c>
      <c r="I34" s="39" t="b">
        <v>0</v>
      </c>
      <c r="J34" s="39" t="s">
        <v>319</v>
      </c>
      <c r="K34" s="39" t="b">
        <v>0</v>
      </c>
      <c r="L34" s="39" t="s">
        <v>350</v>
      </c>
      <c r="M34" s="39" t="s">
        <v>351</v>
      </c>
      <c r="N34" s="39" t="s">
        <v>2510</v>
      </c>
      <c r="P34" s="39" t="s">
        <v>2508</v>
      </c>
      <c r="R34" s="39" t="s">
        <v>318</v>
      </c>
      <c r="S34" s="39" t="b">
        <f t="shared" si="0"/>
        <v>1</v>
      </c>
      <c r="U34" s="39" t="b">
        <f t="shared" si="1"/>
        <v>0</v>
      </c>
      <c r="V34" s="39" t="s">
        <v>2562</v>
      </c>
      <c r="W34" s="39" t="s">
        <v>2564</v>
      </c>
      <c r="X34" s="83" t="s">
        <v>350</v>
      </c>
      <c r="Y34" s="84" t="s">
        <v>351</v>
      </c>
      <c r="Z34" s="83" t="s">
        <v>2508</v>
      </c>
      <c r="AA34" s="84" t="s">
        <v>2508</v>
      </c>
      <c r="AB34" s="108"/>
      <c r="AC34" s="107"/>
      <c r="AD34" s="84"/>
      <c r="AE34" s="83"/>
      <c r="AF34" s="84"/>
      <c r="AG34" s="83"/>
      <c r="AH34" s="84"/>
      <c r="AI34" s="39" t="s">
        <v>88</v>
      </c>
      <c r="AJ34" s="39" t="s">
        <v>45</v>
      </c>
      <c r="AK34" s="39" t="s">
        <v>352</v>
      </c>
      <c r="AM34" s="39" t="s">
        <v>352</v>
      </c>
      <c r="AN34" s="39" t="s">
        <v>352</v>
      </c>
      <c r="AP34" s="39" t="s">
        <v>353</v>
      </c>
      <c r="AQ34" s="39" t="s">
        <v>354</v>
      </c>
      <c r="AR34" s="39" t="s">
        <v>68</v>
      </c>
      <c r="AU34" s="44">
        <v>62815746723287</v>
      </c>
      <c r="AX34" s="39" t="s">
        <v>355</v>
      </c>
      <c r="AZ34" s="39" t="s">
        <v>317</v>
      </c>
      <c r="BA34" s="39" t="s">
        <v>1907</v>
      </c>
      <c r="BB34" s="39" t="s">
        <v>318</v>
      </c>
      <c r="BC34" s="39" t="s">
        <v>1923</v>
      </c>
      <c r="BD34" s="39" t="b">
        <v>1</v>
      </c>
      <c r="BE34" s="39" t="b">
        <v>1</v>
      </c>
      <c r="BF34" s="39" t="s">
        <v>350</v>
      </c>
      <c r="BG34" s="39" t="s">
        <v>351</v>
      </c>
      <c r="BH34" s="39" t="s">
        <v>2084</v>
      </c>
      <c r="BI34" s="39" t="s">
        <v>2085</v>
      </c>
      <c r="BJ34" s="39" t="b">
        <v>1</v>
      </c>
      <c r="BK34" s="39" t="b">
        <v>1</v>
      </c>
      <c r="BN34" s="39">
        <v>0</v>
      </c>
      <c r="BO34" s="39" t="s">
        <v>2771</v>
      </c>
      <c r="BP34" s="39" t="s">
        <v>2804</v>
      </c>
    </row>
    <row r="35" spans="1:68">
      <c r="A35" s="39" t="s">
        <v>20</v>
      </c>
      <c r="B35" s="39" t="s">
        <v>21</v>
      </c>
      <c r="C35" s="39" t="s">
        <v>314</v>
      </c>
      <c r="D35" s="39" t="s">
        <v>315</v>
      </c>
      <c r="E35" s="39" t="s">
        <v>316</v>
      </c>
      <c r="F35" s="39" t="s">
        <v>317</v>
      </c>
      <c r="G35" s="39" t="s">
        <v>318</v>
      </c>
      <c r="H35" s="39" t="s">
        <v>319</v>
      </c>
      <c r="I35" s="39" t="b">
        <v>0</v>
      </c>
      <c r="J35" s="39" t="s">
        <v>319</v>
      </c>
      <c r="K35" s="39" t="b">
        <v>0</v>
      </c>
      <c r="L35" s="39" t="s">
        <v>1438</v>
      </c>
      <c r="M35" s="39" t="s">
        <v>1437</v>
      </c>
      <c r="N35" s="39" t="s">
        <v>2508</v>
      </c>
      <c r="P35" s="39" t="s">
        <v>2508</v>
      </c>
      <c r="R35" s="39" t="s">
        <v>318</v>
      </c>
      <c r="S35" s="39" t="b">
        <f t="shared" si="0"/>
        <v>1</v>
      </c>
      <c r="T35" s="39" t="s">
        <v>317</v>
      </c>
      <c r="U35" s="39" t="b">
        <f t="shared" si="1"/>
        <v>1</v>
      </c>
      <c r="V35" s="39" t="s">
        <v>2564</v>
      </c>
      <c r="W35" s="39" t="s">
        <v>2564</v>
      </c>
      <c r="X35" s="83" t="s">
        <v>1438</v>
      </c>
      <c r="Y35" s="84" t="s">
        <v>1437</v>
      </c>
      <c r="Z35" s="83" t="s">
        <v>2508</v>
      </c>
      <c r="AA35" s="84" t="s">
        <v>2508</v>
      </c>
      <c r="AB35" s="108"/>
      <c r="AC35" s="107"/>
      <c r="AD35" s="84"/>
      <c r="AE35" s="83"/>
      <c r="AF35" s="84"/>
      <c r="AG35" s="83"/>
      <c r="AH35" s="84"/>
      <c r="AI35" s="39" t="s">
        <v>88</v>
      </c>
      <c r="AJ35" s="39" t="s">
        <v>44</v>
      </c>
      <c r="AK35" s="39" t="s">
        <v>1440</v>
      </c>
      <c r="AM35" s="39" t="s">
        <v>1440</v>
      </c>
      <c r="AO35" s="39" t="b">
        <v>0</v>
      </c>
      <c r="AP35" s="39" t="s">
        <v>1441</v>
      </c>
      <c r="AQ35" s="39" t="s">
        <v>1442</v>
      </c>
      <c r="AR35" s="39" t="s">
        <v>68</v>
      </c>
      <c r="AS35" s="39" t="s">
        <v>32</v>
      </c>
      <c r="AT35" s="39" t="s">
        <v>1443</v>
      </c>
      <c r="AU35" s="44">
        <v>628985560045</v>
      </c>
      <c r="AV35" s="39" t="s">
        <v>1444</v>
      </c>
      <c r="AX35" s="39" t="s">
        <v>1445</v>
      </c>
      <c r="AY35" s="39" t="s">
        <v>609</v>
      </c>
      <c r="AZ35" s="39" t="s">
        <v>317</v>
      </c>
      <c r="BA35" s="39" t="s">
        <v>1907</v>
      </c>
      <c r="BB35" s="39" t="s">
        <v>318</v>
      </c>
      <c r="BC35" s="39" t="s">
        <v>1923</v>
      </c>
      <c r="BD35" s="39" t="b">
        <v>1</v>
      </c>
      <c r="BE35" s="39" t="b">
        <v>1</v>
      </c>
      <c r="BF35" s="39" t="s">
        <v>1438</v>
      </c>
      <c r="BG35" s="39" t="s">
        <v>1437</v>
      </c>
      <c r="BH35" s="39" t="s">
        <v>2372</v>
      </c>
      <c r="BI35" s="39" t="s">
        <v>2373</v>
      </c>
      <c r="BJ35" s="39" t="b">
        <v>1</v>
      </c>
      <c r="BK35" s="39" t="b">
        <v>1</v>
      </c>
      <c r="BN35" s="39">
        <v>0</v>
      </c>
      <c r="BO35" s="39" t="s">
        <v>2771</v>
      </c>
      <c r="BP35" s="39" t="s">
        <v>2804</v>
      </c>
    </row>
    <row r="36" spans="1:68">
      <c r="A36" s="39" t="s">
        <v>20</v>
      </c>
      <c r="B36" s="39" t="s">
        <v>21</v>
      </c>
      <c r="C36" s="39" t="s">
        <v>314</v>
      </c>
      <c r="D36" s="39" t="s">
        <v>315</v>
      </c>
      <c r="E36" s="39" t="s">
        <v>316</v>
      </c>
      <c r="F36" s="39" t="s">
        <v>317</v>
      </c>
      <c r="G36" s="39" t="s">
        <v>318</v>
      </c>
      <c r="H36" s="39" t="s">
        <v>319</v>
      </c>
      <c r="I36" s="39" t="b">
        <v>0</v>
      </c>
      <c r="J36" s="39" t="s">
        <v>319</v>
      </c>
      <c r="K36" s="39" t="b">
        <v>0</v>
      </c>
      <c r="L36" s="39" t="s">
        <v>1458</v>
      </c>
      <c r="M36" s="39" t="s">
        <v>1457</v>
      </c>
      <c r="N36" s="39" t="s">
        <v>2508</v>
      </c>
      <c r="P36" s="39" t="s">
        <v>2508</v>
      </c>
      <c r="R36" s="39" t="s">
        <v>318</v>
      </c>
      <c r="S36" s="39" t="b">
        <f t="shared" si="0"/>
        <v>1</v>
      </c>
      <c r="T36" s="39" t="s">
        <v>317</v>
      </c>
      <c r="U36" s="39" t="b">
        <f t="shared" si="1"/>
        <v>1</v>
      </c>
      <c r="V36" s="39" t="s">
        <v>2564</v>
      </c>
      <c r="W36" s="39" t="s">
        <v>2564</v>
      </c>
      <c r="X36" s="83" t="s">
        <v>1458</v>
      </c>
      <c r="Y36" s="84" t="s">
        <v>1457</v>
      </c>
      <c r="Z36" s="83" t="s">
        <v>2508</v>
      </c>
      <c r="AA36" s="84" t="s">
        <v>2508</v>
      </c>
      <c r="AB36" s="108"/>
      <c r="AC36" s="107"/>
      <c r="AD36" s="84"/>
      <c r="AE36" s="83"/>
      <c r="AF36" s="84"/>
      <c r="AG36" s="83"/>
      <c r="AH36" s="84"/>
      <c r="AI36" s="39" t="s">
        <v>88</v>
      </c>
      <c r="AJ36" s="39" t="s">
        <v>45</v>
      </c>
      <c r="AK36" s="39" t="s">
        <v>1459</v>
      </c>
      <c r="AM36" s="39" t="s">
        <v>1459</v>
      </c>
      <c r="AN36" s="39" t="s">
        <v>1459</v>
      </c>
      <c r="AP36" s="39" t="s">
        <v>1460</v>
      </c>
      <c r="AQ36" s="39" t="s">
        <v>1461</v>
      </c>
      <c r="AR36" s="39" t="s">
        <v>68</v>
      </c>
      <c r="AU36" s="44">
        <v>6289602778076</v>
      </c>
      <c r="AX36" s="39" t="s">
        <v>1462</v>
      </c>
      <c r="AZ36" s="39" t="s">
        <v>317</v>
      </c>
      <c r="BA36" s="39" t="s">
        <v>1907</v>
      </c>
      <c r="BB36" s="39" t="s">
        <v>318</v>
      </c>
      <c r="BC36" s="39" t="s">
        <v>1923</v>
      </c>
      <c r="BD36" s="39" t="b">
        <v>1</v>
      </c>
      <c r="BE36" s="39" t="b">
        <v>1</v>
      </c>
      <c r="BF36" s="39" t="s">
        <v>1458</v>
      </c>
      <c r="BG36" s="39" t="s">
        <v>1457</v>
      </c>
      <c r="BH36" s="39" t="s">
        <v>2378</v>
      </c>
      <c r="BI36" s="39" t="s">
        <v>2379</v>
      </c>
      <c r="BJ36" s="39" t="b">
        <v>1</v>
      </c>
      <c r="BK36" s="39" t="b">
        <v>1</v>
      </c>
      <c r="BN36" s="39">
        <v>0</v>
      </c>
      <c r="BO36" s="39" t="s">
        <v>2771</v>
      </c>
      <c r="BP36" s="39" t="s">
        <v>2804</v>
      </c>
    </row>
    <row r="37" spans="1:68">
      <c r="A37" s="39" t="s">
        <v>20</v>
      </c>
      <c r="B37" s="39" t="s">
        <v>21</v>
      </c>
      <c r="C37" s="39" t="s">
        <v>314</v>
      </c>
      <c r="D37" s="39" t="s">
        <v>315</v>
      </c>
      <c r="E37" s="39" t="s">
        <v>316</v>
      </c>
      <c r="F37" s="39" t="s">
        <v>317</v>
      </c>
      <c r="G37" s="39" t="s">
        <v>318</v>
      </c>
      <c r="H37" s="39" t="s">
        <v>319</v>
      </c>
      <c r="I37" s="39" t="b">
        <v>0</v>
      </c>
      <c r="J37" s="39" t="s">
        <v>319</v>
      </c>
      <c r="K37" s="39" t="b">
        <v>0</v>
      </c>
      <c r="L37" s="39" t="s">
        <v>1577</v>
      </c>
      <c r="M37" s="39" t="s">
        <v>1576</v>
      </c>
      <c r="N37" s="39" t="s">
        <v>2508</v>
      </c>
      <c r="P37" s="39" t="s">
        <v>2508</v>
      </c>
      <c r="R37" s="39" t="s">
        <v>318</v>
      </c>
      <c r="S37" s="39" t="b">
        <f t="shared" si="0"/>
        <v>1</v>
      </c>
      <c r="T37" s="39" t="s">
        <v>317</v>
      </c>
      <c r="U37" s="39" t="b">
        <f t="shared" si="1"/>
        <v>1</v>
      </c>
      <c r="V37" s="39" t="s">
        <v>2564</v>
      </c>
      <c r="W37" s="39" t="s">
        <v>2564</v>
      </c>
      <c r="X37" s="83" t="s">
        <v>1577</v>
      </c>
      <c r="Y37" s="84" t="s">
        <v>1576</v>
      </c>
      <c r="Z37" s="83" t="s">
        <v>2508</v>
      </c>
      <c r="AA37" s="84" t="s">
        <v>2508</v>
      </c>
      <c r="AB37" s="108"/>
      <c r="AC37" s="107"/>
      <c r="AD37" s="84"/>
      <c r="AE37" s="83"/>
      <c r="AF37" s="84"/>
      <c r="AG37" s="83"/>
      <c r="AH37" s="84"/>
      <c r="AI37" s="39" t="s">
        <v>88</v>
      </c>
      <c r="AJ37" s="39" t="s">
        <v>44</v>
      </c>
      <c r="AK37" s="39" t="s">
        <v>1578</v>
      </c>
      <c r="AM37" s="39" t="s">
        <v>1579</v>
      </c>
      <c r="AN37" s="39" t="s">
        <v>1578</v>
      </c>
      <c r="AO37" s="39" t="b">
        <v>0</v>
      </c>
      <c r="AP37" s="39" t="s">
        <v>1580</v>
      </c>
      <c r="AQ37" s="39" t="s">
        <v>1581</v>
      </c>
      <c r="AR37" s="39" t="s">
        <v>68</v>
      </c>
      <c r="AS37" s="39" t="s">
        <v>32</v>
      </c>
      <c r="AT37" s="39" t="s">
        <v>1582</v>
      </c>
      <c r="AU37" s="44">
        <v>6289602778077</v>
      </c>
      <c r="AV37" s="39" t="s">
        <v>1583</v>
      </c>
      <c r="AX37" s="39" t="s">
        <v>1584</v>
      </c>
      <c r="AY37" s="39" t="s">
        <v>373</v>
      </c>
      <c r="AZ37" s="39" t="s">
        <v>317</v>
      </c>
      <c r="BA37" s="39" t="s">
        <v>1907</v>
      </c>
      <c r="BB37" s="39" t="s">
        <v>318</v>
      </c>
      <c r="BC37" s="39" t="s">
        <v>1923</v>
      </c>
      <c r="BD37" s="39" t="b">
        <v>1</v>
      </c>
      <c r="BE37" s="39" t="b">
        <v>1</v>
      </c>
      <c r="BF37" s="39" t="s">
        <v>1577</v>
      </c>
      <c r="BG37" s="39" t="s">
        <v>1576</v>
      </c>
      <c r="BH37" s="39" t="s">
        <v>2410</v>
      </c>
      <c r="BI37" s="39" t="s">
        <v>2411</v>
      </c>
      <c r="BJ37" s="39" t="b">
        <v>1</v>
      </c>
      <c r="BK37" s="39" t="b">
        <v>1</v>
      </c>
      <c r="BN37" s="39">
        <v>0</v>
      </c>
      <c r="BO37" s="39" t="s">
        <v>2771</v>
      </c>
      <c r="BP37" s="39" t="s">
        <v>2804</v>
      </c>
    </row>
    <row r="38" spans="1:68">
      <c r="A38" s="39" t="s">
        <v>20</v>
      </c>
      <c r="B38" s="39" t="s">
        <v>21</v>
      </c>
      <c r="C38" s="39" t="s">
        <v>314</v>
      </c>
      <c r="D38" s="39" t="s">
        <v>315</v>
      </c>
      <c r="E38" s="39" t="s">
        <v>316</v>
      </c>
      <c r="F38" s="39" t="s">
        <v>317</v>
      </c>
      <c r="G38" s="39" t="s">
        <v>318</v>
      </c>
      <c r="H38" s="39" t="s">
        <v>319</v>
      </c>
      <c r="I38" s="39" t="b">
        <v>0</v>
      </c>
      <c r="J38" s="39" t="s">
        <v>319</v>
      </c>
      <c r="K38" s="39" t="b">
        <v>0</v>
      </c>
      <c r="L38" s="39" t="s">
        <v>1671</v>
      </c>
      <c r="M38" s="39" t="s">
        <v>1670</v>
      </c>
      <c r="N38" s="39" t="s">
        <v>2508</v>
      </c>
      <c r="P38" s="39" t="s">
        <v>2508</v>
      </c>
      <c r="R38" s="39" t="s">
        <v>318</v>
      </c>
      <c r="S38" s="39" t="b">
        <f t="shared" si="0"/>
        <v>1</v>
      </c>
      <c r="T38" s="39" t="s">
        <v>317</v>
      </c>
      <c r="U38" s="39" t="b">
        <f t="shared" si="1"/>
        <v>1</v>
      </c>
      <c r="V38" s="39" t="s">
        <v>2564</v>
      </c>
      <c r="W38" s="39" t="s">
        <v>2564</v>
      </c>
      <c r="X38" s="83" t="s">
        <v>1671</v>
      </c>
      <c r="Y38" s="84" t="s">
        <v>1670</v>
      </c>
      <c r="Z38" s="83" t="s">
        <v>2508</v>
      </c>
      <c r="AA38" s="84" t="s">
        <v>2508</v>
      </c>
      <c r="AB38" s="108"/>
      <c r="AC38" s="107"/>
      <c r="AD38" s="84"/>
      <c r="AE38" s="83"/>
      <c r="AF38" s="84"/>
      <c r="AG38" s="83"/>
      <c r="AH38" s="84"/>
      <c r="AI38" s="39" t="s">
        <v>88</v>
      </c>
      <c r="AJ38" s="39" t="s">
        <v>45</v>
      </c>
      <c r="AK38" s="39" t="s">
        <v>1672</v>
      </c>
      <c r="AM38" s="39" t="s">
        <v>1672</v>
      </c>
      <c r="AN38" s="39" t="s">
        <v>1672</v>
      </c>
      <c r="AP38" s="39" t="s">
        <v>1673</v>
      </c>
      <c r="AQ38" s="39" t="s">
        <v>1674</v>
      </c>
      <c r="AR38" s="39" t="s">
        <v>68</v>
      </c>
      <c r="AU38" s="44">
        <v>6289602778078</v>
      </c>
      <c r="AX38" s="39" t="s">
        <v>1675</v>
      </c>
      <c r="AZ38" s="39" t="s">
        <v>317</v>
      </c>
      <c r="BA38" s="39" t="s">
        <v>1907</v>
      </c>
      <c r="BB38" s="39" t="s">
        <v>318</v>
      </c>
      <c r="BC38" s="39" t="s">
        <v>1923</v>
      </c>
      <c r="BD38" s="39" t="b">
        <v>1</v>
      </c>
      <c r="BE38" s="39" t="b">
        <v>1</v>
      </c>
      <c r="BF38" s="39" t="s">
        <v>1671</v>
      </c>
      <c r="BG38" s="39" t="s">
        <v>1670</v>
      </c>
      <c r="BH38" s="39" t="s">
        <v>2434</v>
      </c>
      <c r="BI38" s="39" t="s">
        <v>2435</v>
      </c>
      <c r="BJ38" s="39" t="b">
        <v>1</v>
      </c>
      <c r="BK38" s="39" t="b">
        <v>1</v>
      </c>
      <c r="BN38" s="39">
        <v>0</v>
      </c>
      <c r="BO38" s="39" t="s">
        <v>2771</v>
      </c>
      <c r="BP38" s="39" t="s">
        <v>2804</v>
      </c>
    </row>
    <row r="39" spans="1:68">
      <c r="A39" s="39" t="s">
        <v>20</v>
      </c>
      <c r="B39" s="39" t="s">
        <v>21</v>
      </c>
      <c r="C39" s="39" t="s">
        <v>70</v>
      </c>
      <c r="D39" s="39" t="s">
        <v>121</v>
      </c>
      <c r="E39" s="39" t="s">
        <v>122</v>
      </c>
      <c r="F39" s="39" t="s">
        <v>123</v>
      </c>
      <c r="G39" s="39" t="s">
        <v>124</v>
      </c>
      <c r="H39" s="39" t="s">
        <v>75</v>
      </c>
      <c r="I39" s="39" t="b">
        <v>0</v>
      </c>
      <c r="J39" s="39" t="s">
        <v>75</v>
      </c>
      <c r="K39" s="39" t="b">
        <v>0</v>
      </c>
      <c r="L39" s="39">
        <v>2613050977</v>
      </c>
      <c r="M39" s="39" t="s">
        <v>125</v>
      </c>
      <c r="N39" s="39" t="s">
        <v>2508</v>
      </c>
      <c r="P39" s="39" t="s">
        <v>2508</v>
      </c>
      <c r="R39" s="39" t="s">
        <v>124</v>
      </c>
      <c r="S39" s="39" t="b">
        <f t="shared" si="0"/>
        <v>1</v>
      </c>
      <c r="T39" s="39" t="s">
        <v>123</v>
      </c>
      <c r="U39" s="39" t="b">
        <f t="shared" si="1"/>
        <v>1</v>
      </c>
      <c r="V39" s="39" t="s">
        <v>2564</v>
      </c>
      <c r="W39" s="39" t="s">
        <v>2564</v>
      </c>
      <c r="X39" s="83">
        <v>2613050977</v>
      </c>
      <c r="Y39" s="84" t="s">
        <v>125</v>
      </c>
      <c r="Z39" s="83" t="s">
        <v>2508</v>
      </c>
      <c r="AA39" s="84" t="s">
        <v>2508</v>
      </c>
      <c r="AB39" s="108"/>
      <c r="AC39" s="107"/>
      <c r="AD39" s="84"/>
      <c r="AE39" s="83"/>
      <c r="AF39" s="84"/>
      <c r="AG39" s="83"/>
      <c r="AH39" s="84"/>
      <c r="AI39" s="39" t="s">
        <v>28</v>
      </c>
      <c r="AJ39" s="39" t="s">
        <v>45</v>
      </c>
      <c r="AK39" s="39" t="s">
        <v>126</v>
      </c>
      <c r="AP39" s="39" t="s">
        <v>127</v>
      </c>
      <c r="AQ39" s="39" t="s">
        <v>128</v>
      </c>
      <c r="AR39" s="39" t="s">
        <v>68</v>
      </c>
      <c r="AS39" s="39" t="s">
        <v>32</v>
      </c>
      <c r="AU39" s="44">
        <v>6285771315013</v>
      </c>
      <c r="AX39" s="39" t="s">
        <v>129</v>
      </c>
      <c r="AZ39" s="39" t="s">
        <v>123</v>
      </c>
      <c r="BA39" s="39" t="s">
        <v>1903</v>
      </c>
      <c r="BB39" s="39" t="s">
        <v>124</v>
      </c>
      <c r="BC39" s="39" t="s">
        <v>1915</v>
      </c>
      <c r="BD39" s="39" t="b">
        <v>1</v>
      </c>
      <c r="BE39" s="39" t="b">
        <v>1</v>
      </c>
      <c r="BF39" s="39">
        <v>2613050977</v>
      </c>
      <c r="BG39" s="39" t="s">
        <v>125</v>
      </c>
      <c r="BH39" s="39" t="s">
        <v>2016</v>
      </c>
      <c r="BI39" s="39" t="s">
        <v>2017</v>
      </c>
      <c r="BJ39" s="39" t="b">
        <v>1</v>
      </c>
      <c r="BK39" s="39" t="b">
        <v>1</v>
      </c>
      <c r="BN39" s="39">
        <v>0</v>
      </c>
      <c r="BO39" s="39" t="s">
        <v>2772</v>
      </c>
      <c r="BP39" s="39" t="s">
        <v>2805</v>
      </c>
    </row>
    <row r="40" spans="1:68">
      <c r="A40" s="39" t="s">
        <v>20</v>
      </c>
      <c r="B40" s="39" t="s">
        <v>21</v>
      </c>
      <c r="C40" s="39" t="s">
        <v>70</v>
      </c>
      <c r="D40" s="39" t="s">
        <v>121</v>
      </c>
      <c r="E40" s="39" t="s">
        <v>122</v>
      </c>
      <c r="F40" s="39" t="s">
        <v>123</v>
      </c>
      <c r="G40" s="39" t="s">
        <v>124</v>
      </c>
      <c r="H40" s="39" t="s">
        <v>75</v>
      </c>
      <c r="I40" s="39" t="b">
        <v>0</v>
      </c>
      <c r="J40" s="39" t="s">
        <v>75</v>
      </c>
      <c r="K40" s="39" t="b">
        <v>0</v>
      </c>
      <c r="L40" s="39">
        <v>2613052398</v>
      </c>
      <c r="M40" s="39" t="s">
        <v>220</v>
      </c>
      <c r="N40" s="39" t="s">
        <v>2508</v>
      </c>
      <c r="P40" s="39" t="s">
        <v>2543</v>
      </c>
      <c r="Q40" s="39" t="s">
        <v>2537</v>
      </c>
      <c r="R40" s="39" t="s">
        <v>2537</v>
      </c>
      <c r="S40" s="39" t="b">
        <f t="shared" si="0"/>
        <v>0</v>
      </c>
      <c r="T40" s="39" t="s">
        <v>123</v>
      </c>
      <c r="U40" s="39" t="b">
        <f t="shared" si="1"/>
        <v>1</v>
      </c>
      <c r="V40" s="39" t="s">
        <v>2564</v>
      </c>
      <c r="W40" s="39" t="s">
        <v>2561</v>
      </c>
      <c r="X40" s="83">
        <v>2613052398</v>
      </c>
      <c r="Y40" s="84" t="s">
        <v>220</v>
      </c>
      <c r="Z40" s="83" t="s">
        <v>2508</v>
      </c>
      <c r="AA40" s="84" t="s">
        <v>2543</v>
      </c>
      <c r="AB40" s="108"/>
      <c r="AC40" s="107"/>
      <c r="AD40" s="84"/>
      <c r="AE40" s="83"/>
      <c r="AF40" s="84"/>
      <c r="AG40" s="83"/>
      <c r="AH40" s="84"/>
      <c r="AI40" s="39" t="s">
        <v>28</v>
      </c>
      <c r="AJ40" s="39" t="s">
        <v>45</v>
      </c>
      <c r="AK40" s="39" t="s">
        <v>221</v>
      </c>
      <c r="AP40" s="39" t="s">
        <v>222</v>
      </c>
      <c r="AQ40" s="39" t="s">
        <v>223</v>
      </c>
      <c r="AR40" s="39" t="s">
        <v>68</v>
      </c>
      <c r="AS40" s="39" t="s">
        <v>32</v>
      </c>
      <c r="AU40" s="44">
        <v>6281511649202</v>
      </c>
      <c r="AX40" s="39" t="s">
        <v>224</v>
      </c>
      <c r="AZ40" s="39" t="s">
        <v>123</v>
      </c>
      <c r="BA40" s="39" t="s">
        <v>1903</v>
      </c>
      <c r="BB40" s="39" t="s">
        <v>124</v>
      </c>
      <c r="BC40" s="39" t="s">
        <v>1915</v>
      </c>
      <c r="BD40" s="39" t="b">
        <v>1</v>
      </c>
      <c r="BE40" s="39" t="b">
        <v>1</v>
      </c>
      <c r="BF40" s="39">
        <v>2613052398</v>
      </c>
      <c r="BG40" s="39" t="s">
        <v>220</v>
      </c>
      <c r="BH40" s="39" t="s">
        <v>2046</v>
      </c>
      <c r="BI40" s="39" t="s">
        <v>2047</v>
      </c>
      <c r="BJ40" s="39" t="b">
        <v>1</v>
      </c>
      <c r="BK40" s="39" t="b">
        <v>1</v>
      </c>
      <c r="BN40" s="39">
        <v>0</v>
      </c>
      <c r="BO40" s="39" t="s">
        <v>2772</v>
      </c>
      <c r="BP40" s="39" t="s">
        <v>2805</v>
      </c>
    </row>
    <row r="41" spans="1:68">
      <c r="A41" s="39" t="s">
        <v>20</v>
      </c>
      <c r="B41" s="39" t="s">
        <v>21</v>
      </c>
      <c r="C41" s="39" t="s">
        <v>70</v>
      </c>
      <c r="D41" s="39" t="s">
        <v>121</v>
      </c>
      <c r="E41" s="39" t="s">
        <v>122</v>
      </c>
      <c r="F41" s="39" t="s">
        <v>123</v>
      </c>
      <c r="G41" s="39" t="s">
        <v>124</v>
      </c>
      <c r="H41" s="39" t="s">
        <v>75</v>
      </c>
      <c r="I41" s="39" t="b">
        <v>0</v>
      </c>
      <c r="J41" s="39" t="s">
        <v>75</v>
      </c>
      <c r="K41" s="39" t="b">
        <v>0</v>
      </c>
      <c r="L41" s="39" t="s">
        <v>548</v>
      </c>
      <c r="M41" s="39" t="s">
        <v>549</v>
      </c>
      <c r="N41" s="39" t="s">
        <v>2508</v>
      </c>
      <c r="P41" s="39" t="s">
        <v>2508</v>
      </c>
      <c r="R41" s="39" t="s">
        <v>124</v>
      </c>
      <c r="S41" s="39" t="b">
        <f t="shared" si="0"/>
        <v>1</v>
      </c>
      <c r="T41" s="39" t="s">
        <v>123</v>
      </c>
      <c r="U41" s="39" t="b">
        <f t="shared" si="1"/>
        <v>1</v>
      </c>
      <c r="V41" s="39" t="s">
        <v>2564</v>
      </c>
      <c r="W41" s="39" t="s">
        <v>2564</v>
      </c>
      <c r="X41" s="83" t="s">
        <v>548</v>
      </c>
      <c r="Y41" s="84" t="s">
        <v>549</v>
      </c>
      <c r="Z41" s="83" t="s">
        <v>2508</v>
      </c>
      <c r="AA41" s="84" t="s">
        <v>2508</v>
      </c>
      <c r="AB41" s="108"/>
      <c r="AC41" s="107"/>
      <c r="AD41" s="84"/>
      <c r="AE41" s="83"/>
      <c r="AF41" s="84"/>
      <c r="AG41" s="83"/>
      <c r="AH41" s="84"/>
      <c r="AI41" s="39" t="s">
        <v>28</v>
      </c>
      <c r="AJ41" s="39" t="s">
        <v>45</v>
      </c>
      <c r="AK41" s="39" t="s">
        <v>550</v>
      </c>
      <c r="AP41" s="39" t="s">
        <v>551</v>
      </c>
      <c r="AQ41" s="39" t="s">
        <v>552</v>
      </c>
      <c r="AR41" s="39" t="s">
        <v>68</v>
      </c>
      <c r="AS41" s="39" t="s">
        <v>32</v>
      </c>
      <c r="AU41" s="44">
        <v>62857991691857</v>
      </c>
      <c r="AX41" s="39" t="s">
        <v>553</v>
      </c>
      <c r="AZ41" s="39" t="s">
        <v>123</v>
      </c>
      <c r="BA41" s="39" t="s">
        <v>1903</v>
      </c>
      <c r="BB41" s="39" t="s">
        <v>124</v>
      </c>
      <c r="BC41" s="39" t="s">
        <v>1915</v>
      </c>
      <c r="BD41" s="39" t="b">
        <v>1</v>
      </c>
      <c r="BE41" s="39" t="b">
        <v>1</v>
      </c>
      <c r="BF41" s="39" t="s">
        <v>548</v>
      </c>
      <c r="BG41" s="39" t="s">
        <v>549</v>
      </c>
      <c r="BH41" s="39" t="s">
        <v>2138</v>
      </c>
      <c r="BI41" s="39" t="s">
        <v>2139</v>
      </c>
      <c r="BJ41" s="39" t="b">
        <v>1</v>
      </c>
      <c r="BK41" s="39" t="b">
        <v>1</v>
      </c>
      <c r="BN41" s="39">
        <v>0</v>
      </c>
      <c r="BO41" s="39" t="s">
        <v>2772</v>
      </c>
      <c r="BP41" s="39" t="s">
        <v>2805</v>
      </c>
    </row>
    <row r="42" spans="1:68">
      <c r="A42" s="39" t="s">
        <v>20</v>
      </c>
      <c r="B42" s="39" t="s">
        <v>21</v>
      </c>
      <c r="C42" s="39" t="s">
        <v>70</v>
      </c>
      <c r="D42" s="39" t="s">
        <v>121</v>
      </c>
      <c r="E42" s="39" t="s">
        <v>122</v>
      </c>
      <c r="F42" s="39" t="s">
        <v>123</v>
      </c>
      <c r="G42" s="39" t="s">
        <v>124</v>
      </c>
      <c r="H42" s="39" t="s">
        <v>75</v>
      </c>
      <c r="I42" s="39" t="b">
        <v>0</v>
      </c>
      <c r="J42" s="39" t="s">
        <v>75</v>
      </c>
      <c r="K42" s="39" t="b">
        <v>0</v>
      </c>
      <c r="L42" s="39" t="s">
        <v>560</v>
      </c>
      <c r="M42" s="39" t="s">
        <v>561</v>
      </c>
      <c r="N42" s="39" t="s">
        <v>2508</v>
      </c>
      <c r="P42" s="39" t="s">
        <v>2508</v>
      </c>
      <c r="R42" s="39" t="s">
        <v>124</v>
      </c>
      <c r="S42" s="39" t="b">
        <f t="shared" si="0"/>
        <v>1</v>
      </c>
      <c r="T42" s="39" t="s">
        <v>123</v>
      </c>
      <c r="U42" s="39" t="b">
        <f t="shared" si="1"/>
        <v>1</v>
      </c>
      <c r="V42" s="39" t="s">
        <v>2564</v>
      </c>
      <c r="W42" s="39" t="s">
        <v>2564</v>
      </c>
      <c r="X42" s="83" t="s">
        <v>560</v>
      </c>
      <c r="Y42" s="84" t="s">
        <v>561</v>
      </c>
      <c r="Z42" s="83" t="s">
        <v>2508</v>
      </c>
      <c r="AA42" s="84" t="s">
        <v>2508</v>
      </c>
      <c r="AB42" s="108"/>
      <c r="AC42" s="107"/>
      <c r="AD42" s="84"/>
      <c r="AE42" s="83"/>
      <c r="AF42" s="84"/>
      <c r="AG42" s="83"/>
      <c r="AH42" s="84"/>
      <c r="AI42" s="39" t="s">
        <v>28</v>
      </c>
      <c r="AJ42" s="39" t="s">
        <v>45</v>
      </c>
      <c r="AK42" s="39" t="s">
        <v>562</v>
      </c>
      <c r="AP42" s="39" t="s">
        <v>563</v>
      </c>
      <c r="AQ42" s="39" t="s">
        <v>564</v>
      </c>
      <c r="AR42" s="39" t="s">
        <v>68</v>
      </c>
      <c r="AS42" s="39" t="s">
        <v>32</v>
      </c>
      <c r="AU42" s="44">
        <v>62858606096957</v>
      </c>
      <c r="AX42" s="39" t="s">
        <v>565</v>
      </c>
      <c r="AZ42" s="39" t="s">
        <v>123</v>
      </c>
      <c r="BA42" s="39" t="s">
        <v>1903</v>
      </c>
      <c r="BB42" s="39" t="s">
        <v>124</v>
      </c>
      <c r="BC42" s="39" t="s">
        <v>1915</v>
      </c>
      <c r="BD42" s="39" t="b">
        <v>1</v>
      </c>
      <c r="BE42" s="39" t="b">
        <v>1</v>
      </c>
      <c r="BF42" s="39" t="s">
        <v>560</v>
      </c>
      <c r="BG42" s="39" t="s">
        <v>561</v>
      </c>
      <c r="BH42" s="39" t="s">
        <v>2142</v>
      </c>
      <c r="BI42" s="39" t="s">
        <v>2143</v>
      </c>
      <c r="BJ42" s="39" t="b">
        <v>1</v>
      </c>
      <c r="BK42" s="39" t="b">
        <v>1</v>
      </c>
      <c r="BN42" s="39">
        <v>0</v>
      </c>
      <c r="BO42" s="39" t="s">
        <v>2772</v>
      </c>
      <c r="BP42" s="39" t="s">
        <v>2805</v>
      </c>
    </row>
    <row r="43" spans="1:68">
      <c r="A43" s="39" t="s">
        <v>20</v>
      </c>
      <c r="B43" s="39" t="s">
        <v>21</v>
      </c>
      <c r="C43" s="39" t="s">
        <v>70</v>
      </c>
      <c r="D43" s="39" t="s">
        <v>121</v>
      </c>
      <c r="E43" s="39" t="s">
        <v>122</v>
      </c>
      <c r="F43" s="39" t="s">
        <v>123</v>
      </c>
      <c r="G43" s="39" t="s">
        <v>124</v>
      </c>
      <c r="H43" s="39" t="s">
        <v>75</v>
      </c>
      <c r="I43" s="39" t="b">
        <v>0</v>
      </c>
      <c r="J43" s="39" t="s">
        <v>75</v>
      </c>
      <c r="K43" s="39" t="b">
        <v>0</v>
      </c>
      <c r="L43" s="39" t="s">
        <v>566</v>
      </c>
      <c r="M43" s="39" t="s">
        <v>567</v>
      </c>
      <c r="N43" s="39" t="s">
        <v>2508</v>
      </c>
      <c r="P43" s="39" t="s">
        <v>2508</v>
      </c>
      <c r="R43" s="39" t="s">
        <v>124</v>
      </c>
      <c r="S43" s="39" t="b">
        <f t="shared" si="0"/>
        <v>1</v>
      </c>
      <c r="T43" s="39" t="s">
        <v>123</v>
      </c>
      <c r="U43" s="39" t="b">
        <f t="shared" si="1"/>
        <v>1</v>
      </c>
      <c r="V43" s="39" t="s">
        <v>2564</v>
      </c>
      <c r="W43" s="39" t="s">
        <v>2564</v>
      </c>
      <c r="X43" s="83" t="s">
        <v>566</v>
      </c>
      <c r="Y43" s="84" t="s">
        <v>567</v>
      </c>
      <c r="Z43" s="83" t="s">
        <v>2508</v>
      </c>
      <c r="AA43" s="84" t="s">
        <v>2508</v>
      </c>
      <c r="AB43" s="108"/>
      <c r="AC43" s="107"/>
      <c r="AD43" s="84"/>
      <c r="AE43" s="83"/>
      <c r="AF43" s="84"/>
      <c r="AG43" s="83"/>
      <c r="AH43" s="84"/>
      <c r="AI43" s="39" t="s">
        <v>28</v>
      </c>
      <c r="AJ43" s="39" t="s">
        <v>45</v>
      </c>
      <c r="AK43" s="39" t="s">
        <v>568</v>
      </c>
      <c r="AP43" s="39" t="s">
        <v>569</v>
      </c>
      <c r="AQ43" s="39" t="s">
        <v>570</v>
      </c>
      <c r="AR43" s="39" t="s">
        <v>68</v>
      </c>
      <c r="AS43" s="39" t="s">
        <v>32</v>
      </c>
      <c r="AU43" s="44">
        <v>62857773555597</v>
      </c>
      <c r="AX43" s="39" t="s">
        <v>571</v>
      </c>
      <c r="AZ43" s="39" t="s">
        <v>123</v>
      </c>
      <c r="BA43" s="39" t="s">
        <v>1903</v>
      </c>
      <c r="BB43" s="39" t="s">
        <v>124</v>
      </c>
      <c r="BC43" s="39" t="s">
        <v>1915</v>
      </c>
      <c r="BD43" s="39" t="b">
        <v>1</v>
      </c>
      <c r="BE43" s="39" t="b">
        <v>1</v>
      </c>
      <c r="BF43" s="39" t="s">
        <v>566</v>
      </c>
      <c r="BG43" s="39" t="s">
        <v>567</v>
      </c>
      <c r="BH43" s="39" t="s">
        <v>2144</v>
      </c>
      <c r="BI43" s="39" t="s">
        <v>2145</v>
      </c>
      <c r="BJ43" s="39" t="b">
        <v>1</v>
      </c>
      <c r="BK43" s="39" t="b">
        <v>1</v>
      </c>
      <c r="BN43" s="39">
        <v>0</v>
      </c>
      <c r="BO43" s="39" t="s">
        <v>2772</v>
      </c>
      <c r="BP43" s="39" t="s">
        <v>2805</v>
      </c>
    </row>
    <row r="44" spans="1:68">
      <c r="A44" s="39" t="s">
        <v>20</v>
      </c>
      <c r="B44" s="39" t="s">
        <v>21</v>
      </c>
      <c r="C44" s="39" t="s">
        <v>70</v>
      </c>
      <c r="D44" s="39" t="s">
        <v>121</v>
      </c>
      <c r="E44" s="39" t="s">
        <v>122</v>
      </c>
      <c r="F44" s="39" t="s">
        <v>123</v>
      </c>
      <c r="G44" s="39" t="s">
        <v>124</v>
      </c>
      <c r="H44" s="39" t="s">
        <v>75</v>
      </c>
      <c r="I44" s="39" t="b">
        <v>0</v>
      </c>
      <c r="J44" s="39" t="s">
        <v>75</v>
      </c>
      <c r="K44" s="39" t="b">
        <v>0</v>
      </c>
      <c r="L44" s="39" t="s">
        <v>572</v>
      </c>
      <c r="M44" s="39" t="s">
        <v>573</v>
      </c>
      <c r="N44" s="39" t="s">
        <v>2508</v>
      </c>
      <c r="P44" s="39" t="s">
        <v>2508</v>
      </c>
      <c r="R44" s="39" t="s">
        <v>124</v>
      </c>
      <c r="S44" s="39" t="b">
        <f t="shared" si="0"/>
        <v>1</v>
      </c>
      <c r="T44" s="39" t="s">
        <v>123</v>
      </c>
      <c r="U44" s="39" t="b">
        <f t="shared" si="1"/>
        <v>1</v>
      </c>
      <c r="V44" s="39" t="s">
        <v>2564</v>
      </c>
      <c r="W44" s="39" t="s">
        <v>2564</v>
      </c>
      <c r="X44" s="83" t="s">
        <v>572</v>
      </c>
      <c r="Y44" s="84" t="s">
        <v>573</v>
      </c>
      <c r="Z44" s="83" t="s">
        <v>2508</v>
      </c>
      <c r="AA44" s="84" t="s">
        <v>2508</v>
      </c>
      <c r="AB44" s="108"/>
      <c r="AC44" s="107"/>
      <c r="AD44" s="84"/>
      <c r="AE44" s="83"/>
      <c r="AF44" s="84"/>
      <c r="AG44" s="83"/>
      <c r="AH44" s="84"/>
      <c r="AI44" s="39" t="s">
        <v>28</v>
      </c>
      <c r="AJ44" s="39" t="s">
        <v>45</v>
      </c>
      <c r="AK44" s="39" t="s">
        <v>574</v>
      </c>
      <c r="AP44" s="39" t="s">
        <v>575</v>
      </c>
      <c r="AQ44" s="39" t="s">
        <v>576</v>
      </c>
      <c r="AR44" s="39" t="s">
        <v>68</v>
      </c>
      <c r="AS44" s="39" t="s">
        <v>32</v>
      </c>
      <c r="AU44" s="44">
        <v>62858131344137</v>
      </c>
      <c r="AX44" s="39" t="s">
        <v>577</v>
      </c>
      <c r="AZ44" s="39" t="s">
        <v>123</v>
      </c>
      <c r="BA44" s="39" t="s">
        <v>1903</v>
      </c>
      <c r="BB44" s="39" t="s">
        <v>124</v>
      </c>
      <c r="BC44" s="39" t="s">
        <v>1915</v>
      </c>
      <c r="BD44" s="39" t="b">
        <v>1</v>
      </c>
      <c r="BE44" s="39" t="b">
        <v>1</v>
      </c>
      <c r="BF44" s="39" t="s">
        <v>572</v>
      </c>
      <c r="BG44" s="39" t="s">
        <v>573</v>
      </c>
      <c r="BH44" s="39" t="s">
        <v>2146</v>
      </c>
      <c r="BI44" s="39" t="s">
        <v>2147</v>
      </c>
      <c r="BJ44" s="39" t="b">
        <v>1</v>
      </c>
      <c r="BK44" s="39" t="b">
        <v>1</v>
      </c>
      <c r="BN44" s="39">
        <v>0</v>
      </c>
      <c r="BO44" s="39" t="s">
        <v>2772</v>
      </c>
      <c r="BP44" s="39" t="s">
        <v>2805</v>
      </c>
    </row>
    <row r="45" spans="1:68">
      <c r="A45" s="39" t="s">
        <v>20</v>
      </c>
      <c r="B45" s="39" t="s">
        <v>21</v>
      </c>
      <c r="C45" s="39" t="s">
        <v>70</v>
      </c>
      <c r="D45" s="39" t="s">
        <v>121</v>
      </c>
      <c r="E45" s="39" t="s">
        <v>122</v>
      </c>
      <c r="F45" s="39" t="s">
        <v>123</v>
      </c>
      <c r="G45" s="39" t="s">
        <v>124</v>
      </c>
      <c r="H45" s="39" t="s">
        <v>75</v>
      </c>
      <c r="I45" s="39" t="b">
        <v>0</v>
      </c>
      <c r="J45" s="39" t="s">
        <v>75</v>
      </c>
      <c r="K45" s="39" t="b">
        <v>0</v>
      </c>
      <c r="L45" s="39" t="s">
        <v>578</v>
      </c>
      <c r="M45" s="39" t="s">
        <v>579</v>
      </c>
      <c r="N45" s="39" t="s">
        <v>2508</v>
      </c>
      <c r="P45" s="39" t="s">
        <v>2508</v>
      </c>
      <c r="R45" s="39" t="s">
        <v>124</v>
      </c>
      <c r="S45" s="39" t="b">
        <f t="shared" si="0"/>
        <v>1</v>
      </c>
      <c r="T45" s="39" t="s">
        <v>123</v>
      </c>
      <c r="U45" s="39" t="b">
        <f t="shared" si="1"/>
        <v>1</v>
      </c>
      <c r="V45" s="39" t="s">
        <v>2564</v>
      </c>
      <c r="W45" s="39" t="s">
        <v>2564</v>
      </c>
      <c r="X45" s="83" t="s">
        <v>578</v>
      </c>
      <c r="Y45" s="84" t="s">
        <v>579</v>
      </c>
      <c r="Z45" s="83" t="s">
        <v>2508</v>
      </c>
      <c r="AA45" s="84" t="s">
        <v>2508</v>
      </c>
      <c r="AB45" s="108"/>
      <c r="AC45" s="107"/>
      <c r="AD45" s="84"/>
      <c r="AE45" s="83"/>
      <c r="AF45" s="84"/>
      <c r="AG45" s="83"/>
      <c r="AH45" s="84"/>
      <c r="AI45" s="39" t="s">
        <v>28</v>
      </c>
      <c r="AJ45" s="39" t="s">
        <v>45</v>
      </c>
      <c r="AK45" s="39" t="s">
        <v>580</v>
      </c>
      <c r="AP45" s="39" t="s">
        <v>581</v>
      </c>
      <c r="AQ45" s="39" t="s">
        <v>582</v>
      </c>
      <c r="AR45" s="39" t="s">
        <v>68</v>
      </c>
      <c r="AS45" s="39" t="s">
        <v>32</v>
      </c>
      <c r="AU45" s="44">
        <v>62858831083737</v>
      </c>
      <c r="AX45" s="39" t="s">
        <v>583</v>
      </c>
      <c r="AZ45" s="39" t="s">
        <v>123</v>
      </c>
      <c r="BA45" s="39" t="s">
        <v>1903</v>
      </c>
      <c r="BB45" s="39" t="s">
        <v>124</v>
      </c>
      <c r="BC45" s="39" t="s">
        <v>1915</v>
      </c>
      <c r="BD45" s="39" t="b">
        <v>1</v>
      </c>
      <c r="BE45" s="39" t="b">
        <v>1</v>
      </c>
      <c r="BF45" s="39" t="s">
        <v>578</v>
      </c>
      <c r="BG45" s="39" t="s">
        <v>579</v>
      </c>
      <c r="BH45" s="39" t="s">
        <v>2148</v>
      </c>
      <c r="BI45" s="39" t="s">
        <v>2149</v>
      </c>
      <c r="BJ45" s="39" t="b">
        <v>1</v>
      </c>
      <c r="BK45" s="39" t="b">
        <v>1</v>
      </c>
      <c r="BN45" s="39">
        <v>0</v>
      </c>
      <c r="BO45" s="39" t="s">
        <v>2772</v>
      </c>
      <c r="BP45" s="39" t="s">
        <v>2805</v>
      </c>
    </row>
    <row r="46" spans="1:68">
      <c r="A46" s="39" t="s">
        <v>20</v>
      </c>
      <c r="B46" s="39" t="s">
        <v>21</v>
      </c>
      <c r="C46" s="39" t="s">
        <v>70</v>
      </c>
      <c r="D46" s="39" t="s">
        <v>121</v>
      </c>
      <c r="E46" s="39" t="s">
        <v>122</v>
      </c>
      <c r="F46" s="39" t="s">
        <v>123</v>
      </c>
      <c r="G46" s="39" t="s">
        <v>124</v>
      </c>
      <c r="H46" s="39" t="s">
        <v>75</v>
      </c>
      <c r="I46" s="39" t="b">
        <v>0</v>
      </c>
      <c r="J46" s="39" t="s">
        <v>75</v>
      </c>
      <c r="K46" s="39" t="b">
        <v>0</v>
      </c>
      <c r="L46" s="39" t="s">
        <v>584</v>
      </c>
      <c r="M46" s="39" t="s">
        <v>585</v>
      </c>
      <c r="N46" s="39" t="s">
        <v>2508</v>
      </c>
      <c r="P46" s="39" t="s">
        <v>2508</v>
      </c>
      <c r="R46" s="39" t="s">
        <v>124</v>
      </c>
      <c r="S46" s="39" t="b">
        <f t="shared" si="0"/>
        <v>1</v>
      </c>
      <c r="T46" s="39" t="s">
        <v>123</v>
      </c>
      <c r="U46" s="39" t="b">
        <f t="shared" si="1"/>
        <v>1</v>
      </c>
      <c r="V46" s="39" t="s">
        <v>2564</v>
      </c>
      <c r="W46" s="39" t="s">
        <v>2564</v>
      </c>
      <c r="X46" s="83" t="s">
        <v>584</v>
      </c>
      <c r="Y46" s="84" t="s">
        <v>585</v>
      </c>
      <c r="Z46" s="83" t="s">
        <v>2508</v>
      </c>
      <c r="AA46" s="84" t="s">
        <v>2508</v>
      </c>
      <c r="AB46" s="108"/>
      <c r="AC46" s="107"/>
      <c r="AD46" s="84"/>
      <c r="AE46" s="83"/>
      <c r="AF46" s="84"/>
      <c r="AG46" s="83"/>
      <c r="AH46" s="84"/>
      <c r="AI46" s="39" t="s">
        <v>28</v>
      </c>
      <c r="AJ46" s="39" t="s">
        <v>45</v>
      </c>
      <c r="AK46" s="39" t="s">
        <v>586</v>
      </c>
      <c r="AP46" s="39" t="s">
        <v>587</v>
      </c>
      <c r="AQ46" s="39" t="s">
        <v>588</v>
      </c>
      <c r="AR46" s="39" t="s">
        <v>68</v>
      </c>
      <c r="AS46" s="39" t="s">
        <v>32</v>
      </c>
      <c r="AU46" s="44">
        <v>62857765271617</v>
      </c>
      <c r="AX46" s="39" t="s">
        <v>589</v>
      </c>
      <c r="AZ46" s="39" t="s">
        <v>123</v>
      </c>
      <c r="BA46" s="39" t="s">
        <v>1903</v>
      </c>
      <c r="BB46" s="39" t="s">
        <v>124</v>
      </c>
      <c r="BC46" s="39" t="s">
        <v>1915</v>
      </c>
      <c r="BD46" s="39" t="b">
        <v>1</v>
      </c>
      <c r="BE46" s="39" t="b">
        <v>1</v>
      </c>
      <c r="BF46" s="39" t="s">
        <v>584</v>
      </c>
      <c r="BG46" s="39" t="s">
        <v>585</v>
      </c>
      <c r="BH46" s="39" t="s">
        <v>2150</v>
      </c>
      <c r="BI46" s="39" t="s">
        <v>2151</v>
      </c>
      <c r="BJ46" s="39" t="b">
        <v>1</v>
      </c>
      <c r="BK46" s="39" t="b">
        <v>1</v>
      </c>
      <c r="BN46" s="39">
        <v>0</v>
      </c>
      <c r="BO46" s="39" t="s">
        <v>2772</v>
      </c>
      <c r="BP46" s="39" t="s">
        <v>2805</v>
      </c>
    </row>
    <row r="47" spans="1:68">
      <c r="A47" s="39" t="s">
        <v>20</v>
      </c>
      <c r="B47" s="39" t="s">
        <v>21</v>
      </c>
      <c r="C47" s="39" t="s">
        <v>70</v>
      </c>
      <c r="D47" s="39" t="s">
        <v>121</v>
      </c>
      <c r="E47" s="39" t="s">
        <v>122</v>
      </c>
      <c r="F47" s="39" t="s">
        <v>123</v>
      </c>
      <c r="G47" s="39" t="s">
        <v>124</v>
      </c>
      <c r="H47" s="39" t="s">
        <v>75</v>
      </c>
      <c r="I47" s="39" t="b">
        <v>0</v>
      </c>
      <c r="J47" s="39" t="s">
        <v>75</v>
      </c>
      <c r="K47" s="39" t="b">
        <v>0</v>
      </c>
      <c r="L47" s="39" t="s">
        <v>596</v>
      </c>
      <c r="M47" s="39" t="s">
        <v>597</v>
      </c>
      <c r="N47" s="39" t="s">
        <v>2508</v>
      </c>
      <c r="P47" s="39" t="s">
        <v>2508</v>
      </c>
      <c r="R47" s="39" t="s">
        <v>124</v>
      </c>
      <c r="S47" s="39" t="b">
        <f t="shared" si="0"/>
        <v>1</v>
      </c>
      <c r="T47" s="39" t="s">
        <v>123</v>
      </c>
      <c r="U47" s="39" t="b">
        <f t="shared" si="1"/>
        <v>1</v>
      </c>
      <c r="V47" s="39" t="s">
        <v>2564</v>
      </c>
      <c r="W47" s="39" t="s">
        <v>2564</v>
      </c>
      <c r="X47" s="83" t="s">
        <v>596</v>
      </c>
      <c r="Y47" s="84" t="s">
        <v>597</v>
      </c>
      <c r="Z47" s="83" t="s">
        <v>2508</v>
      </c>
      <c r="AA47" s="84" t="s">
        <v>2508</v>
      </c>
      <c r="AB47" s="108"/>
      <c r="AC47" s="107"/>
      <c r="AD47" s="84"/>
      <c r="AE47" s="83"/>
      <c r="AF47" s="84"/>
      <c r="AG47" s="83"/>
      <c r="AH47" s="84"/>
      <c r="AI47" s="39" t="s">
        <v>28</v>
      </c>
      <c r="AJ47" s="39" t="s">
        <v>45</v>
      </c>
      <c r="AK47" s="39" t="s">
        <v>598</v>
      </c>
      <c r="AP47" s="39" t="s">
        <v>599</v>
      </c>
      <c r="AQ47" s="39" t="s">
        <v>600</v>
      </c>
      <c r="AR47" s="39" t="s">
        <v>68</v>
      </c>
      <c r="AS47" s="39" t="s">
        <v>32</v>
      </c>
      <c r="AU47" s="44">
        <v>62858909225157</v>
      </c>
      <c r="AX47" s="39" t="s">
        <v>601</v>
      </c>
      <c r="AZ47" s="39" t="s">
        <v>123</v>
      </c>
      <c r="BA47" s="39" t="s">
        <v>1903</v>
      </c>
      <c r="BB47" s="39" t="s">
        <v>124</v>
      </c>
      <c r="BC47" s="39" t="s">
        <v>1915</v>
      </c>
      <c r="BD47" s="39" t="b">
        <v>1</v>
      </c>
      <c r="BE47" s="39" t="b">
        <v>1</v>
      </c>
      <c r="BF47" s="39" t="s">
        <v>596</v>
      </c>
      <c r="BG47" s="39" t="s">
        <v>597</v>
      </c>
      <c r="BH47" s="39" t="s">
        <v>2154</v>
      </c>
      <c r="BI47" s="39" t="s">
        <v>2155</v>
      </c>
      <c r="BJ47" s="39" t="b">
        <v>1</v>
      </c>
      <c r="BK47" s="39" t="b">
        <v>1</v>
      </c>
      <c r="BN47" s="39">
        <v>0</v>
      </c>
      <c r="BO47" s="39" t="s">
        <v>2772</v>
      </c>
      <c r="BP47" s="39" t="s">
        <v>2805</v>
      </c>
    </row>
    <row r="48" spans="1:68">
      <c r="A48" s="39" t="s">
        <v>20</v>
      </c>
      <c r="B48" s="39" t="s">
        <v>21</v>
      </c>
      <c r="C48" s="39" t="s">
        <v>70</v>
      </c>
      <c r="D48" s="39" t="s">
        <v>71</v>
      </c>
      <c r="E48" s="39" t="s">
        <v>72</v>
      </c>
      <c r="F48" s="39" t="s">
        <v>73</v>
      </c>
      <c r="G48" s="39" t="s">
        <v>74</v>
      </c>
      <c r="H48" s="39" t="s">
        <v>75</v>
      </c>
      <c r="I48" s="39" t="b">
        <v>0</v>
      </c>
      <c r="J48" s="39" t="s">
        <v>75</v>
      </c>
      <c r="K48" s="39" t="b">
        <v>0</v>
      </c>
      <c r="L48" s="39">
        <v>2613050474</v>
      </c>
      <c r="M48" s="39" t="s">
        <v>76</v>
      </c>
      <c r="N48" s="39" t="s">
        <v>2508</v>
      </c>
      <c r="P48" s="39" t="s">
        <v>2509</v>
      </c>
      <c r="R48" s="39" t="s">
        <v>74</v>
      </c>
      <c r="S48" s="39" t="b">
        <f t="shared" si="0"/>
        <v>1</v>
      </c>
      <c r="T48" s="39" t="s">
        <v>73</v>
      </c>
      <c r="U48" s="39" t="b">
        <f t="shared" si="1"/>
        <v>1</v>
      </c>
      <c r="V48" s="39" t="s">
        <v>2564</v>
      </c>
      <c r="W48" s="39" t="s">
        <v>2564</v>
      </c>
      <c r="X48" s="83">
        <v>2613050474</v>
      </c>
      <c r="Y48" s="84" t="s">
        <v>76</v>
      </c>
      <c r="Z48" s="83" t="s">
        <v>2508</v>
      </c>
      <c r="AA48" s="84" t="s">
        <v>2508</v>
      </c>
      <c r="AB48" s="108"/>
      <c r="AC48" s="107"/>
      <c r="AD48" s="84"/>
      <c r="AE48" s="83"/>
      <c r="AF48" s="84"/>
      <c r="AG48" s="83"/>
      <c r="AH48" s="84"/>
      <c r="AI48" s="39" t="s">
        <v>28</v>
      </c>
      <c r="AJ48" s="39" t="s">
        <v>45</v>
      </c>
      <c r="AK48" s="39" t="s">
        <v>77</v>
      </c>
      <c r="AP48" s="39" t="s">
        <v>78</v>
      </c>
      <c r="AQ48" s="39" t="s">
        <v>79</v>
      </c>
      <c r="AR48" s="39" t="s">
        <v>68</v>
      </c>
      <c r="AS48" s="39" t="s">
        <v>32</v>
      </c>
      <c r="AU48" s="44">
        <v>6285691354474</v>
      </c>
      <c r="AX48" s="39" t="s">
        <v>80</v>
      </c>
      <c r="AZ48" s="39" t="s">
        <v>73</v>
      </c>
      <c r="BA48" s="39" t="s">
        <v>1903</v>
      </c>
      <c r="BB48" s="39" t="s">
        <v>74</v>
      </c>
      <c r="BC48" s="39" t="s">
        <v>1912</v>
      </c>
      <c r="BD48" s="39" t="b">
        <v>1</v>
      </c>
      <c r="BE48" s="39" t="b">
        <v>1</v>
      </c>
      <c r="BF48" s="39">
        <v>2613050474</v>
      </c>
      <c r="BG48" s="39" t="s">
        <v>76</v>
      </c>
      <c r="BH48" s="39" t="s">
        <v>2006</v>
      </c>
      <c r="BI48" s="39" t="s">
        <v>2007</v>
      </c>
      <c r="BJ48" s="39" t="b">
        <v>1</v>
      </c>
      <c r="BK48" s="39" t="b">
        <v>1</v>
      </c>
      <c r="BN48" s="39">
        <v>0</v>
      </c>
      <c r="BO48" s="39" t="s">
        <v>2773</v>
      </c>
      <c r="BP48" s="39" t="s">
        <v>2805</v>
      </c>
    </row>
    <row r="49" spans="1:68">
      <c r="A49" s="39" t="s">
        <v>20</v>
      </c>
      <c r="B49" s="39" t="s">
        <v>21</v>
      </c>
      <c r="C49" s="39" t="s">
        <v>70</v>
      </c>
      <c r="D49" s="39" t="s">
        <v>71</v>
      </c>
      <c r="E49" s="39" t="s">
        <v>72</v>
      </c>
      <c r="F49" s="39" t="s">
        <v>73</v>
      </c>
      <c r="G49" s="39" t="s">
        <v>74</v>
      </c>
      <c r="H49" s="39" t="s">
        <v>75</v>
      </c>
      <c r="I49" s="39" t="b">
        <v>0</v>
      </c>
      <c r="J49" s="39" t="s">
        <v>75</v>
      </c>
      <c r="K49" s="39" t="b">
        <v>0</v>
      </c>
      <c r="L49" s="39">
        <v>2613051092</v>
      </c>
      <c r="M49" s="39" t="s">
        <v>225</v>
      </c>
      <c r="N49" s="39" t="s">
        <v>2508</v>
      </c>
      <c r="P49" s="39" t="s">
        <v>2509</v>
      </c>
      <c r="R49" s="39" t="s">
        <v>74</v>
      </c>
      <c r="S49" s="39" t="b">
        <f t="shared" si="0"/>
        <v>1</v>
      </c>
      <c r="T49" s="39" t="s">
        <v>73</v>
      </c>
      <c r="U49" s="39" t="b">
        <f t="shared" si="1"/>
        <v>1</v>
      </c>
      <c r="V49" s="39" t="s">
        <v>2564</v>
      </c>
      <c r="W49" s="39" t="s">
        <v>2564</v>
      </c>
      <c r="X49" s="83">
        <v>2613051092</v>
      </c>
      <c r="Y49" s="84" t="s">
        <v>225</v>
      </c>
      <c r="Z49" s="83" t="s">
        <v>2508</v>
      </c>
      <c r="AA49" s="84" t="s">
        <v>2508</v>
      </c>
      <c r="AB49" s="108"/>
      <c r="AC49" s="107"/>
      <c r="AD49" s="84"/>
      <c r="AE49" s="83"/>
      <c r="AF49" s="84"/>
      <c r="AG49" s="83"/>
      <c r="AH49" s="84"/>
      <c r="AI49" s="39" t="s">
        <v>28</v>
      </c>
      <c r="AJ49" s="39" t="s">
        <v>45</v>
      </c>
      <c r="AK49" s="39" t="s">
        <v>226</v>
      </c>
      <c r="AP49" s="39" t="s">
        <v>227</v>
      </c>
      <c r="AQ49" s="39" t="s">
        <v>228</v>
      </c>
      <c r="AR49" s="39" t="s">
        <v>68</v>
      </c>
      <c r="AS49" s="39" t="s">
        <v>32</v>
      </c>
      <c r="AU49" s="44">
        <v>6285781257152</v>
      </c>
      <c r="AX49" s="39" t="s">
        <v>229</v>
      </c>
      <c r="AZ49" s="39" t="s">
        <v>73</v>
      </c>
      <c r="BA49" s="39" t="s">
        <v>1903</v>
      </c>
      <c r="BB49" s="39" t="s">
        <v>74</v>
      </c>
      <c r="BC49" s="39" t="s">
        <v>1912</v>
      </c>
      <c r="BD49" s="39" t="b">
        <v>1</v>
      </c>
      <c r="BE49" s="39" t="b">
        <v>1</v>
      </c>
      <c r="BF49" s="39">
        <v>2613051092</v>
      </c>
      <c r="BG49" s="39" t="s">
        <v>225</v>
      </c>
      <c r="BH49" s="39" t="s">
        <v>2048</v>
      </c>
      <c r="BI49" s="39" t="s">
        <v>2049</v>
      </c>
      <c r="BJ49" s="39" t="b">
        <v>1</v>
      </c>
      <c r="BK49" s="39" t="b">
        <v>1</v>
      </c>
      <c r="BN49" s="39" t="s">
        <v>2505</v>
      </c>
      <c r="BO49" s="39" t="s">
        <v>2773</v>
      </c>
      <c r="BP49" s="39" t="s">
        <v>2805</v>
      </c>
    </row>
    <row r="50" spans="1:68">
      <c r="A50" s="39" t="s">
        <v>20</v>
      </c>
      <c r="B50" s="39" t="s">
        <v>21</v>
      </c>
      <c r="C50" s="39" t="s">
        <v>70</v>
      </c>
      <c r="D50" s="39" t="s">
        <v>71</v>
      </c>
      <c r="E50" s="39" t="s">
        <v>72</v>
      </c>
      <c r="F50" s="39" t="s">
        <v>73</v>
      </c>
      <c r="G50" s="39" t="s">
        <v>74</v>
      </c>
      <c r="H50" s="39" t="s">
        <v>75</v>
      </c>
      <c r="I50" s="39" t="b">
        <v>0</v>
      </c>
      <c r="J50" s="39" t="s">
        <v>75</v>
      </c>
      <c r="K50" s="39" t="b">
        <v>0</v>
      </c>
      <c r="L50" s="39">
        <v>2613051872</v>
      </c>
      <c r="M50" s="39" t="s">
        <v>275</v>
      </c>
      <c r="N50" s="39" t="s">
        <v>2508</v>
      </c>
      <c r="P50" s="39" t="s">
        <v>2508</v>
      </c>
      <c r="R50" s="39" t="s">
        <v>74</v>
      </c>
      <c r="S50" s="39" t="b">
        <f t="shared" si="0"/>
        <v>1</v>
      </c>
      <c r="T50" s="39" t="s">
        <v>73</v>
      </c>
      <c r="U50" s="39" t="b">
        <f t="shared" si="1"/>
        <v>1</v>
      </c>
      <c r="V50" s="39" t="s">
        <v>2564</v>
      </c>
      <c r="W50" s="39" t="s">
        <v>2564</v>
      </c>
      <c r="X50" s="83">
        <v>2613051872</v>
      </c>
      <c r="Y50" s="84" t="s">
        <v>275</v>
      </c>
      <c r="Z50" s="83" t="s">
        <v>2508</v>
      </c>
      <c r="AA50" s="84" t="s">
        <v>2508</v>
      </c>
      <c r="AB50" s="108"/>
      <c r="AC50" s="107"/>
      <c r="AD50" s="84"/>
      <c r="AE50" s="83"/>
      <c r="AF50" s="84"/>
      <c r="AG50" s="83"/>
      <c r="AH50" s="84"/>
      <c r="AI50" s="39" t="s">
        <v>28</v>
      </c>
      <c r="AJ50" s="39" t="s">
        <v>45</v>
      </c>
      <c r="AK50" s="39" t="s">
        <v>276</v>
      </c>
      <c r="AP50" s="39" t="s">
        <v>277</v>
      </c>
      <c r="AQ50" s="39" t="s">
        <v>278</v>
      </c>
      <c r="AR50" s="39" t="s">
        <v>68</v>
      </c>
      <c r="AS50" s="39" t="s">
        <v>32</v>
      </c>
      <c r="AU50" s="44">
        <v>6285888855077</v>
      </c>
      <c r="AX50" s="39" t="s">
        <v>279</v>
      </c>
      <c r="AY50" s="39" t="s">
        <v>280</v>
      </c>
      <c r="AZ50" s="39" t="s">
        <v>73</v>
      </c>
      <c r="BA50" s="39" t="s">
        <v>1903</v>
      </c>
      <c r="BB50" s="39" t="s">
        <v>74</v>
      </c>
      <c r="BC50" s="39" t="s">
        <v>1912</v>
      </c>
      <c r="BD50" s="39" t="b">
        <v>1</v>
      </c>
      <c r="BE50" s="39" t="b">
        <v>1</v>
      </c>
      <c r="BF50" s="39">
        <v>2613051872</v>
      </c>
      <c r="BG50" s="39" t="s">
        <v>275</v>
      </c>
      <c r="BH50" s="39" t="s">
        <v>2066</v>
      </c>
      <c r="BI50" s="39" t="s">
        <v>2067</v>
      </c>
      <c r="BJ50" s="39" t="b">
        <v>1</v>
      </c>
      <c r="BK50" s="39" t="b">
        <v>1</v>
      </c>
      <c r="BN50" s="39">
        <v>0</v>
      </c>
      <c r="BO50" s="39" t="s">
        <v>2773</v>
      </c>
      <c r="BP50" s="39" t="s">
        <v>2805</v>
      </c>
    </row>
    <row r="51" spans="1:68">
      <c r="A51" s="39" t="s">
        <v>20</v>
      </c>
      <c r="B51" s="39" t="s">
        <v>21</v>
      </c>
      <c r="C51" s="39" t="s">
        <v>70</v>
      </c>
      <c r="D51" s="39" t="s">
        <v>71</v>
      </c>
      <c r="E51" s="39" t="s">
        <v>72</v>
      </c>
      <c r="F51" s="39" t="s">
        <v>73</v>
      </c>
      <c r="G51" s="39" t="s">
        <v>74</v>
      </c>
      <c r="H51" s="39" t="s">
        <v>75</v>
      </c>
      <c r="I51" s="39" t="b">
        <v>0</v>
      </c>
      <c r="J51" s="39" t="s">
        <v>75</v>
      </c>
      <c r="K51" s="39" t="b">
        <v>0</v>
      </c>
      <c r="L51" s="39" t="s">
        <v>941</v>
      </c>
      <c r="M51" s="39" t="s">
        <v>942</v>
      </c>
      <c r="N51" s="39" t="s">
        <v>2508</v>
      </c>
      <c r="P51" s="39" t="s">
        <v>2509</v>
      </c>
      <c r="R51" s="39" t="s">
        <v>74</v>
      </c>
      <c r="S51" s="39" t="b">
        <f t="shared" si="0"/>
        <v>1</v>
      </c>
      <c r="T51" s="39" t="s">
        <v>73</v>
      </c>
      <c r="U51" s="39" t="b">
        <f t="shared" si="1"/>
        <v>1</v>
      </c>
      <c r="V51" s="39" t="s">
        <v>2564</v>
      </c>
      <c r="W51" s="39" t="s">
        <v>2564</v>
      </c>
      <c r="X51" s="83" t="s">
        <v>941</v>
      </c>
      <c r="Y51" s="84" t="s">
        <v>942</v>
      </c>
      <c r="Z51" s="83" t="s">
        <v>2508</v>
      </c>
      <c r="AA51" s="84" t="s">
        <v>2508</v>
      </c>
      <c r="AB51" s="108"/>
      <c r="AC51" s="107"/>
      <c r="AD51" s="84"/>
      <c r="AE51" s="83"/>
      <c r="AF51" s="84"/>
      <c r="AG51" s="83"/>
      <c r="AH51" s="84"/>
      <c r="AI51" s="39" t="s">
        <v>28</v>
      </c>
      <c r="AJ51" s="39" t="s">
        <v>45</v>
      </c>
      <c r="AK51" s="39" t="s">
        <v>943</v>
      </c>
      <c r="AP51" s="39" t="s">
        <v>944</v>
      </c>
      <c r="AQ51" s="39" t="s">
        <v>945</v>
      </c>
      <c r="AR51" s="39" t="s">
        <v>68</v>
      </c>
      <c r="AS51" s="39" t="s">
        <v>32</v>
      </c>
      <c r="AU51" s="44">
        <v>6285692700649</v>
      </c>
      <c r="AX51" s="39" t="s">
        <v>946</v>
      </c>
      <c r="AZ51" s="39" t="s">
        <v>73</v>
      </c>
      <c r="BA51" s="39" t="s">
        <v>1903</v>
      </c>
      <c r="BB51" s="39" t="s">
        <v>74</v>
      </c>
      <c r="BC51" s="39" t="s">
        <v>1912</v>
      </c>
      <c r="BD51" s="39" t="b">
        <v>1</v>
      </c>
      <c r="BE51" s="39" t="b">
        <v>1</v>
      </c>
      <c r="BF51" s="39" t="s">
        <v>941</v>
      </c>
      <c r="BG51" s="39" t="s">
        <v>942</v>
      </c>
      <c r="BH51" s="39" t="s">
        <v>2228</v>
      </c>
      <c r="BI51" s="39" t="s">
        <v>2229</v>
      </c>
      <c r="BJ51" s="39" t="b">
        <v>1</v>
      </c>
      <c r="BK51" s="39" t="b">
        <v>1</v>
      </c>
      <c r="BN51" s="39">
        <v>0</v>
      </c>
      <c r="BO51" s="39" t="s">
        <v>2773</v>
      </c>
      <c r="BP51" s="39" t="s">
        <v>2805</v>
      </c>
    </row>
    <row r="52" spans="1:68">
      <c r="A52" s="39" t="s">
        <v>20</v>
      </c>
      <c r="B52" s="39" t="s">
        <v>21</v>
      </c>
      <c r="C52" s="39" t="s">
        <v>70</v>
      </c>
      <c r="D52" s="39" t="s">
        <v>71</v>
      </c>
      <c r="E52" s="39" t="s">
        <v>72</v>
      </c>
      <c r="F52" s="39" t="s">
        <v>73</v>
      </c>
      <c r="G52" s="39" t="s">
        <v>74</v>
      </c>
      <c r="H52" s="39" t="s">
        <v>75</v>
      </c>
      <c r="I52" s="39" t="b">
        <v>0</v>
      </c>
      <c r="J52" s="39" t="s">
        <v>75</v>
      </c>
      <c r="K52" s="39" t="b">
        <v>0</v>
      </c>
      <c r="L52" s="39" t="s">
        <v>947</v>
      </c>
      <c r="M52" s="39" t="s">
        <v>948</v>
      </c>
      <c r="N52" s="39" t="s">
        <v>2508</v>
      </c>
      <c r="P52" s="39" t="s">
        <v>2509</v>
      </c>
      <c r="R52" s="39" t="s">
        <v>74</v>
      </c>
      <c r="S52" s="39" t="b">
        <f t="shared" si="0"/>
        <v>1</v>
      </c>
      <c r="T52" s="39" t="s">
        <v>73</v>
      </c>
      <c r="U52" s="39" t="b">
        <f t="shared" si="1"/>
        <v>1</v>
      </c>
      <c r="V52" s="39" t="s">
        <v>2564</v>
      </c>
      <c r="W52" s="39" t="s">
        <v>2564</v>
      </c>
      <c r="X52" s="83" t="s">
        <v>947</v>
      </c>
      <c r="Y52" s="84" t="s">
        <v>948</v>
      </c>
      <c r="Z52" s="83" t="s">
        <v>2508</v>
      </c>
      <c r="AA52" s="84" t="s">
        <v>2508</v>
      </c>
      <c r="AB52" s="108"/>
      <c r="AC52" s="107"/>
      <c r="AD52" s="84"/>
      <c r="AE52" s="83"/>
      <c r="AF52" s="84"/>
      <c r="AG52" s="83"/>
      <c r="AH52" s="84"/>
      <c r="AI52" s="39" t="s">
        <v>28</v>
      </c>
      <c r="AJ52" s="39" t="s">
        <v>45</v>
      </c>
      <c r="AK52" s="39" t="s">
        <v>949</v>
      </c>
      <c r="AP52" s="39" t="s">
        <v>950</v>
      </c>
      <c r="AQ52" s="39" t="s">
        <v>951</v>
      </c>
      <c r="AR52" s="39" t="s">
        <v>68</v>
      </c>
      <c r="AS52" s="39" t="s">
        <v>32</v>
      </c>
      <c r="AU52" s="44">
        <v>6285692700656</v>
      </c>
      <c r="AX52" s="39" t="s">
        <v>952</v>
      </c>
      <c r="AZ52" s="39" t="s">
        <v>73</v>
      </c>
      <c r="BA52" s="39" t="s">
        <v>1903</v>
      </c>
      <c r="BB52" s="39" t="s">
        <v>74</v>
      </c>
      <c r="BC52" s="39" t="s">
        <v>1912</v>
      </c>
      <c r="BD52" s="39" t="b">
        <v>1</v>
      </c>
      <c r="BE52" s="39" t="b">
        <v>1</v>
      </c>
      <c r="BF52" s="39" t="s">
        <v>947</v>
      </c>
      <c r="BG52" s="39" t="s">
        <v>948</v>
      </c>
      <c r="BH52" s="39" t="s">
        <v>2230</v>
      </c>
      <c r="BI52" s="39" t="s">
        <v>2231</v>
      </c>
      <c r="BJ52" s="39" t="b">
        <v>1</v>
      </c>
      <c r="BK52" s="39" t="b">
        <v>1</v>
      </c>
      <c r="BN52" s="39">
        <v>0</v>
      </c>
      <c r="BO52" s="39" t="s">
        <v>2773</v>
      </c>
      <c r="BP52" s="39" t="s">
        <v>2805</v>
      </c>
    </row>
    <row r="53" spans="1:68">
      <c r="A53" s="39" t="s">
        <v>20</v>
      </c>
      <c r="B53" s="39" t="s">
        <v>21</v>
      </c>
      <c r="C53" s="39" t="s">
        <v>70</v>
      </c>
      <c r="D53" s="39" t="s">
        <v>71</v>
      </c>
      <c r="E53" s="39" t="s">
        <v>72</v>
      </c>
      <c r="F53" s="39" t="s">
        <v>73</v>
      </c>
      <c r="G53" s="39" t="s">
        <v>74</v>
      </c>
      <c r="H53" s="39" t="s">
        <v>75</v>
      </c>
      <c r="I53" s="39" t="b">
        <v>0</v>
      </c>
      <c r="J53" s="39" t="s">
        <v>75</v>
      </c>
      <c r="K53" s="39" t="b">
        <v>0</v>
      </c>
      <c r="L53" s="39" t="s">
        <v>953</v>
      </c>
      <c r="M53" s="39" t="s">
        <v>954</v>
      </c>
      <c r="N53" s="39" t="s">
        <v>2508</v>
      </c>
      <c r="P53" s="39" t="s">
        <v>2509</v>
      </c>
      <c r="R53" s="39" t="s">
        <v>74</v>
      </c>
      <c r="S53" s="39" t="b">
        <f t="shared" si="0"/>
        <v>1</v>
      </c>
      <c r="T53" s="39" t="s">
        <v>73</v>
      </c>
      <c r="U53" s="39" t="b">
        <f t="shared" si="1"/>
        <v>1</v>
      </c>
      <c r="V53" s="39" t="s">
        <v>2564</v>
      </c>
      <c r="W53" s="39" t="s">
        <v>2564</v>
      </c>
      <c r="X53" s="83" t="s">
        <v>953</v>
      </c>
      <c r="Y53" s="84" t="s">
        <v>954</v>
      </c>
      <c r="Z53" s="83" t="s">
        <v>2508</v>
      </c>
      <c r="AA53" s="84" t="s">
        <v>2508</v>
      </c>
      <c r="AB53" s="108"/>
      <c r="AC53" s="107"/>
      <c r="AD53" s="84"/>
      <c r="AE53" s="83"/>
      <c r="AF53" s="84"/>
      <c r="AG53" s="83"/>
      <c r="AH53" s="84"/>
      <c r="AI53" s="39" t="s">
        <v>28</v>
      </c>
      <c r="AJ53" s="39" t="s">
        <v>45</v>
      </c>
      <c r="AK53" s="39" t="s">
        <v>955</v>
      </c>
      <c r="AP53" s="39" t="s">
        <v>956</v>
      </c>
      <c r="AQ53" s="39" t="s">
        <v>957</v>
      </c>
      <c r="AR53" s="39" t="s">
        <v>68</v>
      </c>
      <c r="AS53" s="39" t="s">
        <v>32</v>
      </c>
      <c r="AU53" s="44">
        <v>6285692700657</v>
      </c>
      <c r="AX53" s="39" t="s">
        <v>958</v>
      </c>
      <c r="AZ53" s="39" t="s">
        <v>73</v>
      </c>
      <c r="BA53" s="39" t="s">
        <v>1903</v>
      </c>
      <c r="BB53" s="39" t="s">
        <v>74</v>
      </c>
      <c r="BC53" s="39" t="s">
        <v>1912</v>
      </c>
      <c r="BD53" s="39" t="b">
        <v>1</v>
      </c>
      <c r="BE53" s="39" t="b">
        <v>1</v>
      </c>
      <c r="BF53" s="39" t="s">
        <v>953</v>
      </c>
      <c r="BG53" s="39" t="s">
        <v>954</v>
      </c>
      <c r="BH53" s="39" t="s">
        <v>2232</v>
      </c>
      <c r="BI53" s="39" t="s">
        <v>2233</v>
      </c>
      <c r="BJ53" s="39" t="b">
        <v>1</v>
      </c>
      <c r="BK53" s="39" t="b">
        <v>1</v>
      </c>
      <c r="BN53" s="39">
        <v>0</v>
      </c>
      <c r="BO53" s="39" t="s">
        <v>2773</v>
      </c>
      <c r="BP53" s="39" t="s">
        <v>2805</v>
      </c>
    </row>
    <row r="54" spans="1:68">
      <c r="A54" s="39" t="s">
        <v>20</v>
      </c>
      <c r="B54" s="39" t="s">
        <v>21</v>
      </c>
      <c r="C54" s="39" t="s">
        <v>70</v>
      </c>
      <c r="D54" s="39" t="s">
        <v>71</v>
      </c>
      <c r="E54" s="39" t="s">
        <v>72</v>
      </c>
      <c r="F54" s="39" t="s">
        <v>73</v>
      </c>
      <c r="G54" s="39" t="s">
        <v>74</v>
      </c>
      <c r="H54" s="39" t="s">
        <v>75</v>
      </c>
      <c r="I54" s="39" t="b">
        <v>0</v>
      </c>
      <c r="J54" s="39" t="s">
        <v>75</v>
      </c>
      <c r="K54" s="39" t="b">
        <v>0</v>
      </c>
      <c r="L54" s="39" t="s">
        <v>971</v>
      </c>
      <c r="M54" s="39" t="s">
        <v>972</v>
      </c>
      <c r="N54" s="39" t="s">
        <v>2508</v>
      </c>
      <c r="P54" s="39" t="s">
        <v>2509</v>
      </c>
      <c r="R54" s="39" t="s">
        <v>74</v>
      </c>
      <c r="S54" s="39" t="b">
        <f t="shared" si="0"/>
        <v>1</v>
      </c>
      <c r="T54" s="39" t="s">
        <v>73</v>
      </c>
      <c r="U54" s="39" t="b">
        <f t="shared" si="1"/>
        <v>1</v>
      </c>
      <c r="V54" s="39" t="s">
        <v>2564</v>
      </c>
      <c r="W54" s="39" t="s">
        <v>2564</v>
      </c>
      <c r="X54" s="83" t="s">
        <v>971</v>
      </c>
      <c r="Y54" s="84" t="s">
        <v>972</v>
      </c>
      <c r="Z54" s="83" t="s">
        <v>2508</v>
      </c>
      <c r="AA54" s="84" t="s">
        <v>2508</v>
      </c>
      <c r="AB54" s="108"/>
      <c r="AC54" s="107"/>
      <c r="AD54" s="84"/>
      <c r="AE54" s="83"/>
      <c r="AF54" s="84"/>
      <c r="AG54" s="83"/>
      <c r="AH54" s="84"/>
      <c r="AI54" s="39" t="s">
        <v>28</v>
      </c>
      <c r="AJ54" s="39" t="s">
        <v>45</v>
      </c>
      <c r="AK54" s="39" t="s">
        <v>973</v>
      </c>
      <c r="AP54" s="39" t="s">
        <v>974</v>
      </c>
      <c r="AQ54" s="39" t="s">
        <v>975</v>
      </c>
      <c r="AR54" s="39" t="s">
        <v>68</v>
      </c>
      <c r="AS54" s="39" t="s">
        <v>32</v>
      </c>
      <c r="AU54" s="44">
        <v>6285692700662</v>
      </c>
      <c r="AX54" s="39" t="s">
        <v>976</v>
      </c>
      <c r="AZ54" s="39" t="s">
        <v>73</v>
      </c>
      <c r="BA54" s="39" t="s">
        <v>1903</v>
      </c>
      <c r="BB54" s="39" t="s">
        <v>74</v>
      </c>
      <c r="BC54" s="39" t="s">
        <v>1912</v>
      </c>
      <c r="BD54" s="39" t="b">
        <v>1</v>
      </c>
      <c r="BE54" s="39" t="b">
        <v>1</v>
      </c>
      <c r="BF54" s="39" t="s">
        <v>971</v>
      </c>
      <c r="BG54" s="39" t="s">
        <v>972</v>
      </c>
      <c r="BH54" s="39" t="s">
        <v>2238</v>
      </c>
      <c r="BI54" s="39" t="s">
        <v>2239</v>
      </c>
      <c r="BJ54" s="39" t="b">
        <v>1</v>
      </c>
      <c r="BK54" s="39" t="b">
        <v>1</v>
      </c>
      <c r="BN54" s="39">
        <v>0</v>
      </c>
      <c r="BO54" s="39" t="s">
        <v>2773</v>
      </c>
      <c r="BP54" s="39" t="s">
        <v>2805</v>
      </c>
    </row>
    <row r="55" spans="1:68">
      <c r="A55" s="39" t="s">
        <v>20</v>
      </c>
      <c r="B55" s="39" t="s">
        <v>21</v>
      </c>
      <c r="C55" s="39" t="s">
        <v>70</v>
      </c>
      <c r="D55" s="39" t="s">
        <v>111</v>
      </c>
      <c r="E55" s="39" t="s">
        <v>112</v>
      </c>
      <c r="F55" s="39" t="s">
        <v>113</v>
      </c>
      <c r="G55" s="39" t="s">
        <v>114</v>
      </c>
      <c r="H55" s="39" t="s">
        <v>75</v>
      </c>
      <c r="I55" s="39" t="b">
        <v>0</v>
      </c>
      <c r="J55" s="39" t="s">
        <v>75</v>
      </c>
      <c r="K55" s="39" t="b">
        <v>0</v>
      </c>
      <c r="L55" s="39">
        <v>2613050954</v>
      </c>
      <c r="M55" s="39" t="s">
        <v>115</v>
      </c>
      <c r="N55" s="39" t="s">
        <v>2508</v>
      </c>
      <c r="P55" s="39" t="s">
        <v>2509</v>
      </c>
      <c r="R55" s="39" t="s">
        <v>114</v>
      </c>
      <c r="S55" s="39" t="b">
        <f t="shared" si="0"/>
        <v>1</v>
      </c>
      <c r="T55" s="39" t="s">
        <v>113</v>
      </c>
      <c r="U55" s="39" t="b">
        <f t="shared" si="1"/>
        <v>1</v>
      </c>
      <c r="V55" s="39" t="s">
        <v>2564</v>
      </c>
      <c r="W55" s="39" t="s">
        <v>2564</v>
      </c>
      <c r="X55" s="83">
        <v>2613050954</v>
      </c>
      <c r="Y55" s="84" t="s">
        <v>115</v>
      </c>
      <c r="Z55" s="83" t="s">
        <v>2508</v>
      </c>
      <c r="AA55" s="84" t="s">
        <v>2508</v>
      </c>
      <c r="AB55" s="108"/>
      <c r="AC55" s="107"/>
      <c r="AD55" s="84"/>
      <c r="AE55" s="83"/>
      <c r="AF55" s="84"/>
      <c r="AG55" s="83"/>
      <c r="AH55" s="84"/>
      <c r="AI55" s="39" t="s">
        <v>28</v>
      </c>
      <c r="AJ55" s="39" t="s">
        <v>45</v>
      </c>
      <c r="AK55" s="39" t="s">
        <v>116</v>
      </c>
      <c r="AP55" s="39" t="s">
        <v>117</v>
      </c>
      <c r="AQ55" s="39" t="s">
        <v>118</v>
      </c>
      <c r="AR55" s="39" t="s">
        <v>119</v>
      </c>
      <c r="AS55" s="39" t="s">
        <v>32</v>
      </c>
      <c r="AU55" s="44">
        <v>6285839976830</v>
      </c>
      <c r="AX55" s="39" t="s">
        <v>120</v>
      </c>
      <c r="AZ55" s="39" t="s">
        <v>113</v>
      </c>
      <c r="BA55" s="39" t="s">
        <v>1903</v>
      </c>
      <c r="BB55" s="39" t="s">
        <v>114</v>
      </c>
      <c r="BC55" s="39" t="s">
        <v>1914</v>
      </c>
      <c r="BD55" s="39" t="b">
        <v>1</v>
      </c>
      <c r="BE55" s="39" t="b">
        <v>1</v>
      </c>
      <c r="BF55" s="39">
        <v>2613050954</v>
      </c>
      <c r="BG55" s="39" t="s">
        <v>115</v>
      </c>
      <c r="BH55" s="39" t="s">
        <v>2014</v>
      </c>
      <c r="BI55" s="39" t="s">
        <v>2015</v>
      </c>
      <c r="BJ55" s="39" t="b">
        <v>1</v>
      </c>
      <c r="BK55" s="39" t="b">
        <v>1</v>
      </c>
      <c r="BN55" s="39">
        <v>0</v>
      </c>
      <c r="BO55" s="39" t="s">
        <v>2774</v>
      </c>
      <c r="BP55" s="39" t="s">
        <v>2805</v>
      </c>
    </row>
    <row r="56" spans="1:68">
      <c r="A56" s="39" t="s">
        <v>20</v>
      </c>
      <c r="B56" s="39" t="s">
        <v>21</v>
      </c>
      <c r="C56" s="39" t="s">
        <v>70</v>
      </c>
      <c r="D56" s="39" t="s">
        <v>111</v>
      </c>
      <c r="E56" s="39" t="s">
        <v>112</v>
      </c>
      <c r="F56" s="39" t="s">
        <v>113</v>
      </c>
      <c r="G56" s="39" t="s">
        <v>114</v>
      </c>
      <c r="H56" s="39" t="s">
        <v>75</v>
      </c>
      <c r="I56" s="39" t="b">
        <v>0</v>
      </c>
      <c r="J56" s="39" t="s">
        <v>75</v>
      </c>
      <c r="K56" s="39" t="b">
        <v>0</v>
      </c>
      <c r="L56" s="39" t="s">
        <v>783</v>
      </c>
      <c r="M56" s="39" t="s">
        <v>784</v>
      </c>
      <c r="N56" s="39" t="s">
        <v>2508</v>
      </c>
      <c r="P56" s="39" t="s">
        <v>2509</v>
      </c>
      <c r="R56" s="39" t="s">
        <v>114</v>
      </c>
      <c r="S56" s="39" t="b">
        <f t="shared" si="0"/>
        <v>1</v>
      </c>
      <c r="T56" s="39" t="s">
        <v>2557</v>
      </c>
      <c r="U56" s="39" t="b">
        <f t="shared" si="1"/>
        <v>0</v>
      </c>
      <c r="V56" s="39" t="s">
        <v>2561</v>
      </c>
      <c r="W56" s="39" t="s">
        <v>2564</v>
      </c>
      <c r="X56" s="83" t="s">
        <v>783</v>
      </c>
      <c r="Y56" s="84" t="s">
        <v>784</v>
      </c>
      <c r="Z56" s="83" t="s">
        <v>2508</v>
      </c>
      <c r="AA56" s="84" t="s">
        <v>2509</v>
      </c>
      <c r="AB56" s="108"/>
      <c r="AC56" s="107">
        <v>6285716260216</v>
      </c>
      <c r="AD56" s="84"/>
      <c r="AE56" s="83"/>
      <c r="AF56" s="84"/>
      <c r="AG56" s="83"/>
      <c r="AH56" s="84"/>
      <c r="AI56" s="39" t="s">
        <v>28</v>
      </c>
      <c r="AJ56" s="39" t="s">
        <v>45</v>
      </c>
      <c r="AK56" s="39" t="s">
        <v>785</v>
      </c>
      <c r="AP56" s="39" t="s">
        <v>786</v>
      </c>
      <c r="AQ56" s="39" t="s">
        <v>787</v>
      </c>
      <c r="AR56" s="39" t="s">
        <v>68</v>
      </c>
      <c r="AS56" s="39" t="s">
        <v>32</v>
      </c>
      <c r="AU56" s="44">
        <v>6285716260216</v>
      </c>
      <c r="AX56" s="39" t="s">
        <v>788</v>
      </c>
      <c r="AZ56" s="39" t="s">
        <v>113</v>
      </c>
      <c r="BA56" s="39" t="s">
        <v>1903</v>
      </c>
      <c r="BB56" s="39" t="s">
        <v>114</v>
      </c>
      <c r="BC56" s="39" t="s">
        <v>1914</v>
      </c>
      <c r="BD56" s="39" t="b">
        <v>1</v>
      </c>
      <c r="BE56" s="39" t="b">
        <v>1</v>
      </c>
      <c r="BF56" s="39" t="s">
        <v>783</v>
      </c>
      <c r="BG56" s="39" t="s">
        <v>784</v>
      </c>
      <c r="BH56" s="39" t="s">
        <v>2194</v>
      </c>
      <c r="BI56" s="39" t="s">
        <v>2195</v>
      </c>
      <c r="BJ56" s="39" t="b">
        <v>1</v>
      </c>
      <c r="BK56" s="39" t="b">
        <v>1</v>
      </c>
      <c r="BN56" s="39">
        <v>0</v>
      </c>
      <c r="BO56" s="39" t="s">
        <v>2774</v>
      </c>
      <c r="BP56" s="39" t="s">
        <v>2805</v>
      </c>
    </row>
    <row r="57" spans="1:68">
      <c r="A57" s="39" t="s">
        <v>20</v>
      </c>
      <c r="B57" s="39" t="s">
        <v>21</v>
      </c>
      <c r="C57" s="39" t="s">
        <v>70</v>
      </c>
      <c r="D57" s="39" t="s">
        <v>111</v>
      </c>
      <c r="E57" s="39" t="s">
        <v>112</v>
      </c>
      <c r="F57" s="39" t="s">
        <v>113</v>
      </c>
      <c r="G57" s="39" t="s">
        <v>114</v>
      </c>
      <c r="H57" s="39" t="s">
        <v>75</v>
      </c>
      <c r="I57" s="39" t="b">
        <v>0</v>
      </c>
      <c r="J57" s="39" t="s">
        <v>75</v>
      </c>
      <c r="K57" s="39" t="b">
        <v>0</v>
      </c>
      <c r="L57" s="39" t="s">
        <v>983</v>
      </c>
      <c r="M57" s="39" t="s">
        <v>984</v>
      </c>
      <c r="N57" s="39" t="s">
        <v>2508</v>
      </c>
      <c r="P57" s="87" t="s">
        <v>2510</v>
      </c>
      <c r="R57" s="39" t="s">
        <v>114</v>
      </c>
      <c r="S57" s="39" t="b">
        <f t="shared" si="0"/>
        <v>1</v>
      </c>
      <c r="T57" s="39" t="s">
        <v>113</v>
      </c>
      <c r="U57" s="39" t="b">
        <f t="shared" si="1"/>
        <v>1</v>
      </c>
      <c r="V57" s="39" t="s">
        <v>2564</v>
      </c>
      <c r="W57" s="39" t="s">
        <v>2564</v>
      </c>
      <c r="X57" s="83" t="s">
        <v>2565</v>
      </c>
      <c r="Y57" s="84" t="s">
        <v>2588</v>
      </c>
      <c r="Z57" s="83" t="s">
        <v>2508</v>
      </c>
      <c r="AA57" s="84" t="s">
        <v>2509</v>
      </c>
      <c r="AB57" s="108"/>
      <c r="AC57" s="107">
        <v>6285899913466</v>
      </c>
      <c r="AD57" s="84"/>
      <c r="AE57" s="83"/>
      <c r="AF57" s="84"/>
      <c r="AG57" s="83"/>
      <c r="AH57" s="84"/>
      <c r="AI57" s="39" t="s">
        <v>28</v>
      </c>
      <c r="AJ57" s="39" t="s">
        <v>45</v>
      </c>
      <c r="AK57" s="39" t="s">
        <v>985</v>
      </c>
      <c r="AP57" s="39" t="s">
        <v>986</v>
      </c>
      <c r="AQ57" s="39" t="s">
        <v>987</v>
      </c>
      <c r="AR57" s="39" t="s">
        <v>68</v>
      </c>
      <c r="AS57" s="39" t="s">
        <v>32</v>
      </c>
      <c r="AU57" s="44">
        <v>6285692700664</v>
      </c>
      <c r="AX57" s="39" t="s">
        <v>988</v>
      </c>
      <c r="AZ57" s="39" t="s">
        <v>113</v>
      </c>
      <c r="BA57" s="39" t="s">
        <v>1903</v>
      </c>
      <c r="BB57" s="39" t="s">
        <v>114</v>
      </c>
      <c r="BC57" s="39" t="s">
        <v>1914</v>
      </c>
      <c r="BD57" s="39" t="b">
        <v>1</v>
      </c>
      <c r="BE57" s="39" t="b">
        <v>1</v>
      </c>
      <c r="BF57" s="39" t="s">
        <v>983</v>
      </c>
      <c r="BG57" s="39" t="s">
        <v>984</v>
      </c>
      <c r="BH57" s="39" t="s">
        <v>2242</v>
      </c>
      <c r="BI57" s="39" t="s">
        <v>2243</v>
      </c>
      <c r="BJ57" s="39" t="b">
        <v>1</v>
      </c>
      <c r="BK57" s="39" t="b">
        <v>1</v>
      </c>
      <c r="BN57" s="39">
        <v>0</v>
      </c>
      <c r="BO57" s="39" t="s">
        <v>2774</v>
      </c>
      <c r="BP57" s="39" t="s">
        <v>2805</v>
      </c>
    </row>
    <row r="58" spans="1:68">
      <c r="A58" s="39" t="s">
        <v>20</v>
      </c>
      <c r="B58" s="39" t="s">
        <v>21</v>
      </c>
      <c r="C58" s="39" t="s">
        <v>70</v>
      </c>
      <c r="D58" s="39" t="s">
        <v>111</v>
      </c>
      <c r="E58" s="39" t="s">
        <v>112</v>
      </c>
      <c r="F58" s="39" t="s">
        <v>113</v>
      </c>
      <c r="G58" s="39" t="s">
        <v>114</v>
      </c>
      <c r="H58" s="39" t="s">
        <v>75</v>
      </c>
      <c r="I58" s="39" t="b">
        <v>0</v>
      </c>
      <c r="J58" s="39" t="s">
        <v>75</v>
      </c>
      <c r="K58" s="39" t="b">
        <v>0</v>
      </c>
      <c r="L58" s="39" t="s">
        <v>995</v>
      </c>
      <c r="M58" s="39" t="s">
        <v>996</v>
      </c>
      <c r="N58" s="39" t="s">
        <v>2508</v>
      </c>
      <c r="P58" s="87" t="s">
        <v>2510</v>
      </c>
      <c r="R58" s="39" t="s">
        <v>114</v>
      </c>
      <c r="S58" s="39" t="b">
        <f t="shared" si="0"/>
        <v>1</v>
      </c>
      <c r="T58" s="39" t="s">
        <v>113</v>
      </c>
      <c r="U58" s="39" t="b">
        <f t="shared" si="1"/>
        <v>1</v>
      </c>
      <c r="V58" s="39" t="s">
        <v>2564</v>
      </c>
      <c r="W58" s="39" t="s">
        <v>2564</v>
      </c>
      <c r="X58" s="83" t="s">
        <v>995</v>
      </c>
      <c r="Y58" s="84" t="s">
        <v>996</v>
      </c>
      <c r="Z58" s="83" t="s">
        <v>2508</v>
      </c>
      <c r="AA58" s="84" t="s">
        <v>2510</v>
      </c>
      <c r="AB58" s="108"/>
      <c r="AC58" s="107"/>
      <c r="AD58" s="84" t="s">
        <v>2762</v>
      </c>
      <c r="AE58" s="83"/>
      <c r="AF58" s="84"/>
      <c r="AG58" s="83"/>
      <c r="AH58" s="84"/>
      <c r="AI58" s="39" t="s">
        <v>28</v>
      </c>
      <c r="AJ58" s="39" t="s">
        <v>45</v>
      </c>
      <c r="AK58" s="39" t="s">
        <v>997</v>
      </c>
      <c r="AP58" s="39" t="s">
        <v>998</v>
      </c>
      <c r="AQ58" s="39" t="s">
        <v>999</v>
      </c>
      <c r="AR58" s="39" t="s">
        <v>68</v>
      </c>
      <c r="AS58" s="39" t="s">
        <v>32</v>
      </c>
      <c r="AU58" s="44">
        <v>6285714888807</v>
      </c>
      <c r="AX58" s="39" t="s">
        <v>1000</v>
      </c>
      <c r="AZ58" s="39" t="s">
        <v>113</v>
      </c>
      <c r="BA58" s="39" t="s">
        <v>1903</v>
      </c>
      <c r="BB58" s="39" t="s">
        <v>114</v>
      </c>
      <c r="BC58" s="39" t="s">
        <v>1914</v>
      </c>
      <c r="BD58" s="39" t="b">
        <v>1</v>
      </c>
      <c r="BE58" s="39" t="b">
        <v>1</v>
      </c>
      <c r="BF58" s="39" t="s">
        <v>995</v>
      </c>
      <c r="BG58" s="39" t="s">
        <v>996</v>
      </c>
      <c r="BH58" s="39" t="s">
        <v>2246</v>
      </c>
      <c r="BI58" s="39" t="s">
        <v>2247</v>
      </c>
      <c r="BJ58" s="39" t="b">
        <v>1</v>
      </c>
      <c r="BK58" s="39" t="b">
        <v>1</v>
      </c>
      <c r="BN58" s="39">
        <v>0</v>
      </c>
      <c r="BO58" s="39" t="s">
        <v>2774</v>
      </c>
      <c r="BP58" s="39" t="s">
        <v>2805</v>
      </c>
    </row>
    <row r="59" spans="1:68">
      <c r="A59" s="39" t="s">
        <v>20</v>
      </c>
      <c r="B59" s="39" t="s">
        <v>21</v>
      </c>
      <c r="C59" s="39" t="s">
        <v>70</v>
      </c>
      <c r="D59" s="39" t="s">
        <v>111</v>
      </c>
      <c r="E59" s="39" t="s">
        <v>112</v>
      </c>
      <c r="F59" s="39" t="s">
        <v>113</v>
      </c>
      <c r="G59" s="39" t="s">
        <v>114</v>
      </c>
      <c r="H59" s="39" t="s">
        <v>75</v>
      </c>
      <c r="I59" s="39" t="b">
        <v>0</v>
      </c>
      <c r="J59" s="39" t="s">
        <v>75</v>
      </c>
      <c r="K59" s="39" t="b">
        <v>0</v>
      </c>
      <c r="L59" s="39" t="s">
        <v>1001</v>
      </c>
      <c r="M59" s="39" t="s">
        <v>1002</v>
      </c>
      <c r="N59" s="39" t="s">
        <v>2508</v>
      </c>
      <c r="P59" s="87" t="s">
        <v>2510</v>
      </c>
      <c r="R59" s="39" t="s">
        <v>114</v>
      </c>
      <c r="S59" s="39" t="b">
        <f t="shared" si="0"/>
        <v>1</v>
      </c>
      <c r="T59" s="39" t="s">
        <v>113</v>
      </c>
      <c r="U59" s="39" t="b">
        <f t="shared" si="1"/>
        <v>1</v>
      </c>
      <c r="V59" s="39" t="s">
        <v>2564</v>
      </c>
      <c r="W59" s="39" t="s">
        <v>2564</v>
      </c>
      <c r="X59" s="83" t="s">
        <v>1001</v>
      </c>
      <c r="Y59" s="84" t="s">
        <v>1002</v>
      </c>
      <c r="Z59" s="83" t="s">
        <v>2508</v>
      </c>
      <c r="AA59" s="84" t="s">
        <v>2510</v>
      </c>
      <c r="AB59" s="108"/>
      <c r="AC59" s="107"/>
      <c r="AD59" s="84" t="s">
        <v>2762</v>
      </c>
      <c r="AE59" s="83"/>
      <c r="AF59" s="84"/>
      <c r="AG59" s="83"/>
      <c r="AH59" s="84"/>
      <c r="AI59" s="39" t="s">
        <v>28</v>
      </c>
      <c r="AJ59" s="39" t="s">
        <v>45</v>
      </c>
      <c r="AK59" s="39" t="s">
        <v>1003</v>
      </c>
      <c r="AP59" s="39" t="s">
        <v>1004</v>
      </c>
      <c r="AQ59" s="39" t="s">
        <v>1005</v>
      </c>
      <c r="AR59" s="39" t="s">
        <v>68</v>
      </c>
      <c r="AS59" s="39" t="s">
        <v>32</v>
      </c>
      <c r="AU59" s="44">
        <v>6285692700676</v>
      </c>
      <c r="AX59" s="39" t="s">
        <v>1006</v>
      </c>
      <c r="AZ59" s="39" t="s">
        <v>113</v>
      </c>
      <c r="BA59" s="39" t="s">
        <v>1903</v>
      </c>
      <c r="BB59" s="39" t="s">
        <v>114</v>
      </c>
      <c r="BC59" s="39" t="s">
        <v>1914</v>
      </c>
      <c r="BD59" s="39" t="b">
        <v>1</v>
      </c>
      <c r="BE59" s="39" t="b">
        <v>1</v>
      </c>
      <c r="BF59" s="39" t="s">
        <v>1001</v>
      </c>
      <c r="BG59" s="39" t="s">
        <v>1002</v>
      </c>
      <c r="BH59" s="39" t="s">
        <v>2248</v>
      </c>
      <c r="BI59" s="39" t="s">
        <v>2249</v>
      </c>
      <c r="BJ59" s="39" t="b">
        <v>1</v>
      </c>
      <c r="BK59" s="39" t="b">
        <v>1</v>
      </c>
      <c r="BN59" s="39">
        <v>0</v>
      </c>
      <c r="BO59" s="39" t="s">
        <v>2774</v>
      </c>
      <c r="BP59" s="39" t="s">
        <v>2805</v>
      </c>
    </row>
    <row r="60" spans="1:68">
      <c r="A60" s="39" t="s">
        <v>20</v>
      </c>
      <c r="B60" s="39" t="s">
        <v>21</v>
      </c>
      <c r="C60" s="39" t="s">
        <v>70</v>
      </c>
      <c r="D60" s="39" t="s">
        <v>111</v>
      </c>
      <c r="E60" s="39" t="s">
        <v>112</v>
      </c>
      <c r="F60" s="39" t="s">
        <v>113</v>
      </c>
      <c r="G60" s="39" t="s">
        <v>114</v>
      </c>
      <c r="H60" s="39" t="s">
        <v>75</v>
      </c>
      <c r="I60" s="39" t="b">
        <v>0</v>
      </c>
      <c r="J60" s="39" t="s">
        <v>75</v>
      </c>
      <c r="K60" s="39" t="b">
        <v>0</v>
      </c>
      <c r="L60" s="39" t="s">
        <v>1007</v>
      </c>
      <c r="M60" s="39" t="s">
        <v>1008</v>
      </c>
      <c r="N60" s="39" t="s">
        <v>2508</v>
      </c>
      <c r="P60" s="87" t="s">
        <v>2510</v>
      </c>
      <c r="R60" s="39" t="s">
        <v>114</v>
      </c>
      <c r="S60" s="39" t="b">
        <f t="shared" si="0"/>
        <v>1</v>
      </c>
      <c r="T60" s="39" t="s">
        <v>113</v>
      </c>
      <c r="U60" s="39" t="b">
        <f t="shared" si="1"/>
        <v>1</v>
      </c>
      <c r="V60" s="39" t="s">
        <v>2564</v>
      </c>
      <c r="W60" s="39" t="s">
        <v>2564</v>
      </c>
      <c r="X60" s="83" t="s">
        <v>1007</v>
      </c>
      <c r="Y60" s="84" t="s">
        <v>1008</v>
      </c>
      <c r="Z60" s="83" t="s">
        <v>2508</v>
      </c>
      <c r="AA60" s="84" t="s">
        <v>2510</v>
      </c>
      <c r="AB60" s="108"/>
      <c r="AC60" s="107"/>
      <c r="AD60" s="84" t="s">
        <v>2762</v>
      </c>
      <c r="AE60" s="83"/>
      <c r="AF60" s="84"/>
      <c r="AG60" s="83"/>
      <c r="AH60" s="84"/>
      <c r="AI60" s="39" t="s">
        <v>28</v>
      </c>
      <c r="AJ60" s="39" t="s">
        <v>45</v>
      </c>
      <c r="AK60" s="39" t="s">
        <v>1009</v>
      </c>
      <c r="AP60" s="39" t="s">
        <v>1010</v>
      </c>
      <c r="AQ60" s="39" t="s">
        <v>1011</v>
      </c>
      <c r="AR60" s="39" t="s">
        <v>68</v>
      </c>
      <c r="AS60" s="39" t="s">
        <v>32</v>
      </c>
      <c r="AU60" s="44">
        <v>6285692700680</v>
      </c>
      <c r="AX60" s="39" t="s">
        <v>1012</v>
      </c>
      <c r="AZ60" s="39" t="s">
        <v>113</v>
      </c>
      <c r="BA60" s="39" t="s">
        <v>1903</v>
      </c>
      <c r="BB60" s="39" t="s">
        <v>114</v>
      </c>
      <c r="BC60" s="39" t="s">
        <v>1914</v>
      </c>
      <c r="BD60" s="39" t="b">
        <v>1</v>
      </c>
      <c r="BE60" s="39" t="b">
        <v>1</v>
      </c>
      <c r="BF60" s="39" t="s">
        <v>1007</v>
      </c>
      <c r="BG60" s="39" t="s">
        <v>1008</v>
      </c>
      <c r="BH60" s="39" t="s">
        <v>2250</v>
      </c>
      <c r="BI60" s="39" t="s">
        <v>2251</v>
      </c>
      <c r="BJ60" s="39" t="b">
        <v>1</v>
      </c>
      <c r="BK60" s="39" t="b">
        <v>1</v>
      </c>
      <c r="BN60" s="39">
        <v>0</v>
      </c>
      <c r="BO60" s="39" t="s">
        <v>2774</v>
      </c>
      <c r="BP60" s="39" t="s">
        <v>2805</v>
      </c>
    </row>
    <row r="61" spans="1:68">
      <c r="A61" s="39" t="s">
        <v>20</v>
      </c>
      <c r="B61" s="39" t="s">
        <v>21</v>
      </c>
      <c r="C61" s="39" t="s">
        <v>70</v>
      </c>
      <c r="D61" s="39" t="s">
        <v>111</v>
      </c>
      <c r="E61" s="39" t="s">
        <v>112</v>
      </c>
      <c r="F61" s="39" t="s">
        <v>113</v>
      </c>
      <c r="G61" s="39" t="s">
        <v>114</v>
      </c>
      <c r="H61" s="39" t="s">
        <v>75</v>
      </c>
      <c r="I61" s="39" t="b">
        <v>0</v>
      </c>
      <c r="J61" s="39" t="s">
        <v>75</v>
      </c>
      <c r="K61" s="39" t="b">
        <v>0</v>
      </c>
      <c r="L61" s="39" t="s">
        <v>1013</v>
      </c>
      <c r="M61" s="39" t="s">
        <v>1014</v>
      </c>
      <c r="N61" s="39" t="s">
        <v>2508</v>
      </c>
      <c r="P61" s="87" t="s">
        <v>2510</v>
      </c>
      <c r="R61" s="39" t="s">
        <v>114</v>
      </c>
      <c r="S61" s="39" t="b">
        <f t="shared" si="0"/>
        <v>1</v>
      </c>
      <c r="T61" s="39" t="s">
        <v>113</v>
      </c>
      <c r="U61" s="39" t="b">
        <f t="shared" si="1"/>
        <v>1</v>
      </c>
      <c r="V61" s="39" t="s">
        <v>2564</v>
      </c>
      <c r="W61" s="39" t="s">
        <v>2564</v>
      </c>
      <c r="X61" s="83" t="s">
        <v>1013</v>
      </c>
      <c r="Y61" s="84" t="s">
        <v>1014</v>
      </c>
      <c r="Z61" s="83" t="s">
        <v>2508</v>
      </c>
      <c r="AA61" s="84" t="s">
        <v>2510</v>
      </c>
      <c r="AB61" s="108"/>
      <c r="AC61" s="107"/>
      <c r="AD61" s="84" t="s">
        <v>2762</v>
      </c>
      <c r="AE61" s="83"/>
      <c r="AF61" s="84"/>
      <c r="AG61" s="83"/>
      <c r="AH61" s="84"/>
      <c r="AI61" s="39" t="s">
        <v>28</v>
      </c>
      <c r="AJ61" s="39" t="s">
        <v>45</v>
      </c>
      <c r="AK61" s="39" t="s">
        <v>1015</v>
      </c>
      <c r="AP61" s="39" t="s">
        <v>1016</v>
      </c>
      <c r="AQ61" s="39" t="s">
        <v>1017</v>
      </c>
      <c r="AR61" s="39" t="s">
        <v>68</v>
      </c>
      <c r="AS61" s="39" t="s">
        <v>32</v>
      </c>
      <c r="AU61" s="44">
        <v>6285692700683</v>
      </c>
      <c r="AX61" s="39" t="s">
        <v>1018</v>
      </c>
      <c r="AZ61" s="39" t="s">
        <v>113</v>
      </c>
      <c r="BA61" s="39" t="s">
        <v>1903</v>
      </c>
      <c r="BB61" s="39" t="s">
        <v>114</v>
      </c>
      <c r="BC61" s="39" t="s">
        <v>1914</v>
      </c>
      <c r="BD61" s="39" t="b">
        <v>1</v>
      </c>
      <c r="BE61" s="39" t="b">
        <v>1</v>
      </c>
      <c r="BF61" s="39" t="s">
        <v>1013</v>
      </c>
      <c r="BG61" s="39" t="s">
        <v>1014</v>
      </c>
      <c r="BH61" s="39" t="s">
        <v>2252</v>
      </c>
      <c r="BI61" s="39" t="s">
        <v>2253</v>
      </c>
      <c r="BJ61" s="39" t="b">
        <v>1</v>
      </c>
      <c r="BK61" s="39" t="b">
        <v>1</v>
      </c>
      <c r="BN61" s="39">
        <v>0</v>
      </c>
      <c r="BO61" s="39" t="s">
        <v>2774</v>
      </c>
      <c r="BP61" s="39" t="s">
        <v>2805</v>
      </c>
    </row>
    <row r="62" spans="1:68">
      <c r="A62" s="39" t="s">
        <v>20</v>
      </c>
      <c r="B62" s="39" t="s">
        <v>21</v>
      </c>
      <c r="C62" s="39" t="s">
        <v>70</v>
      </c>
      <c r="D62" s="39" t="s">
        <v>111</v>
      </c>
      <c r="E62" s="39" t="s">
        <v>112</v>
      </c>
      <c r="F62" s="39" t="s">
        <v>113</v>
      </c>
      <c r="G62" s="39" t="s">
        <v>114</v>
      </c>
      <c r="H62" s="39" t="s">
        <v>75</v>
      </c>
      <c r="I62" s="39" t="b">
        <v>0</v>
      </c>
      <c r="J62" s="39" t="s">
        <v>75</v>
      </c>
      <c r="K62" s="39" t="b">
        <v>0</v>
      </c>
      <c r="L62" s="39" t="s">
        <v>1025</v>
      </c>
      <c r="M62" s="39" t="s">
        <v>1026</v>
      </c>
      <c r="N62" s="39" t="s">
        <v>2508</v>
      </c>
      <c r="P62" s="87" t="s">
        <v>2510</v>
      </c>
      <c r="R62" s="39" t="s">
        <v>114</v>
      </c>
      <c r="S62" s="39" t="b">
        <f t="shared" si="0"/>
        <v>1</v>
      </c>
      <c r="T62" s="39" t="s">
        <v>113</v>
      </c>
      <c r="U62" s="39" t="b">
        <f t="shared" si="1"/>
        <v>1</v>
      </c>
      <c r="V62" s="39" t="s">
        <v>2564</v>
      </c>
      <c r="W62" s="39" t="s">
        <v>2564</v>
      </c>
      <c r="X62" s="83" t="s">
        <v>1025</v>
      </c>
      <c r="Y62" s="84" t="s">
        <v>1026</v>
      </c>
      <c r="Z62" s="83" t="s">
        <v>2508</v>
      </c>
      <c r="AA62" s="84" t="s">
        <v>2510</v>
      </c>
      <c r="AB62" s="108"/>
      <c r="AC62" s="107"/>
      <c r="AD62" s="84" t="s">
        <v>2762</v>
      </c>
      <c r="AE62" s="83"/>
      <c r="AF62" s="84"/>
      <c r="AG62" s="83"/>
      <c r="AH62" s="84"/>
      <c r="AI62" s="39" t="s">
        <v>28</v>
      </c>
      <c r="AJ62" s="39" t="s">
        <v>45</v>
      </c>
      <c r="AK62" s="39" t="s">
        <v>1027</v>
      </c>
      <c r="AP62" s="39" t="s">
        <v>1028</v>
      </c>
      <c r="AQ62" s="39" t="s">
        <v>1029</v>
      </c>
      <c r="AR62" s="39" t="s">
        <v>68</v>
      </c>
      <c r="AS62" s="39" t="s">
        <v>32</v>
      </c>
      <c r="AU62" s="44">
        <v>6285718256704</v>
      </c>
      <c r="AX62" s="39" t="s">
        <v>1030</v>
      </c>
      <c r="AZ62" s="39" t="s">
        <v>113</v>
      </c>
      <c r="BA62" s="39" t="s">
        <v>1903</v>
      </c>
      <c r="BB62" s="39" t="s">
        <v>114</v>
      </c>
      <c r="BC62" s="39" t="s">
        <v>1914</v>
      </c>
      <c r="BD62" s="39" t="b">
        <v>1</v>
      </c>
      <c r="BE62" s="39" t="b">
        <v>1</v>
      </c>
      <c r="BF62" s="39" t="s">
        <v>1025</v>
      </c>
      <c r="BG62" s="39" t="s">
        <v>1026</v>
      </c>
      <c r="BH62" s="39" t="s">
        <v>2256</v>
      </c>
      <c r="BI62" s="39" t="s">
        <v>2257</v>
      </c>
      <c r="BJ62" s="39" t="b">
        <v>1</v>
      </c>
      <c r="BK62" s="39" t="b">
        <v>1</v>
      </c>
      <c r="BN62" s="39">
        <v>0</v>
      </c>
      <c r="BO62" s="39" t="s">
        <v>2774</v>
      </c>
      <c r="BP62" s="39" t="s">
        <v>2805</v>
      </c>
    </row>
    <row r="63" spans="1:68">
      <c r="A63" s="39" t="s">
        <v>20</v>
      </c>
      <c r="B63" s="39" t="s">
        <v>21</v>
      </c>
      <c r="C63" s="39" t="s">
        <v>70</v>
      </c>
      <c r="D63" s="39" t="s">
        <v>526</v>
      </c>
      <c r="E63" s="39" t="s">
        <v>527</v>
      </c>
      <c r="F63" s="39" t="s">
        <v>528</v>
      </c>
      <c r="G63" s="39" t="s">
        <v>529</v>
      </c>
      <c r="H63" s="39" t="s">
        <v>75</v>
      </c>
      <c r="I63" s="39" t="b">
        <v>0</v>
      </c>
      <c r="J63" s="39" t="s">
        <v>75</v>
      </c>
      <c r="K63" s="39" t="b">
        <v>0</v>
      </c>
      <c r="L63" s="39" t="s">
        <v>530</v>
      </c>
      <c r="M63" s="39" t="s">
        <v>531</v>
      </c>
      <c r="N63" s="39" t="s">
        <v>2508</v>
      </c>
      <c r="P63" s="39" t="s">
        <v>2508</v>
      </c>
      <c r="R63" s="39" t="s">
        <v>529</v>
      </c>
      <c r="S63" s="39" t="b">
        <f t="shared" si="0"/>
        <v>1</v>
      </c>
      <c r="T63" s="39" t="s">
        <v>528</v>
      </c>
      <c r="U63" s="39" t="b">
        <f t="shared" si="1"/>
        <v>1</v>
      </c>
      <c r="V63" s="39" t="s">
        <v>2564</v>
      </c>
      <c r="W63" s="39" t="s">
        <v>2564</v>
      </c>
      <c r="X63" s="83" t="s">
        <v>530</v>
      </c>
      <c r="Y63" s="84" t="s">
        <v>531</v>
      </c>
      <c r="Z63" s="83" t="s">
        <v>2508</v>
      </c>
      <c r="AA63" s="84" t="s">
        <v>2508</v>
      </c>
      <c r="AB63" s="108"/>
      <c r="AC63" s="107"/>
      <c r="AD63" s="84"/>
      <c r="AE63" s="83"/>
      <c r="AF63" s="84"/>
      <c r="AG63" s="83"/>
      <c r="AH63" s="84"/>
      <c r="AI63" s="39" t="s">
        <v>28</v>
      </c>
      <c r="AJ63" s="39" t="s">
        <v>45</v>
      </c>
      <c r="AK63" s="39" t="s">
        <v>532</v>
      </c>
      <c r="AP63" s="39" t="s">
        <v>533</v>
      </c>
      <c r="AQ63" s="39" t="s">
        <v>534</v>
      </c>
      <c r="AR63" s="39" t="s">
        <v>68</v>
      </c>
      <c r="AS63" s="39" t="s">
        <v>32</v>
      </c>
      <c r="AU63" s="44">
        <v>62857163999997</v>
      </c>
      <c r="AX63" s="39" t="s">
        <v>535</v>
      </c>
      <c r="AZ63" s="39" t="s">
        <v>528</v>
      </c>
      <c r="BA63" s="39" t="s">
        <v>1903</v>
      </c>
      <c r="BB63" s="39" t="s">
        <v>529</v>
      </c>
      <c r="BC63" s="39" t="s">
        <v>1915</v>
      </c>
      <c r="BD63" s="39" t="b">
        <v>1</v>
      </c>
      <c r="BE63" s="39" t="b">
        <v>1</v>
      </c>
      <c r="BF63" s="39" t="s">
        <v>530</v>
      </c>
      <c r="BG63" s="39" t="s">
        <v>531</v>
      </c>
      <c r="BH63" s="39" t="s">
        <v>2132</v>
      </c>
      <c r="BI63" s="39" t="s">
        <v>2133</v>
      </c>
      <c r="BJ63" s="39" t="b">
        <v>1</v>
      </c>
      <c r="BK63" s="39" t="b">
        <v>1</v>
      </c>
      <c r="BN63" s="39">
        <v>0</v>
      </c>
      <c r="BO63" s="39" t="s">
        <v>2775</v>
      </c>
      <c r="BP63" s="39" t="s">
        <v>2805</v>
      </c>
    </row>
    <row r="64" spans="1:68">
      <c r="A64" s="39" t="s">
        <v>20</v>
      </c>
      <c r="B64" s="39" t="s">
        <v>21</v>
      </c>
      <c r="C64" s="39" t="s">
        <v>70</v>
      </c>
      <c r="D64" s="39" t="s">
        <v>526</v>
      </c>
      <c r="E64" s="39" t="s">
        <v>527</v>
      </c>
      <c r="F64" s="39" t="s">
        <v>528</v>
      </c>
      <c r="G64" s="39" t="s">
        <v>529</v>
      </c>
      <c r="H64" s="39" t="s">
        <v>75</v>
      </c>
      <c r="I64" s="39" t="b">
        <v>0</v>
      </c>
      <c r="J64" s="39" t="s">
        <v>75</v>
      </c>
      <c r="K64" s="39" t="b">
        <v>0</v>
      </c>
      <c r="L64" s="39" t="s">
        <v>536</v>
      </c>
      <c r="M64" s="39" t="s">
        <v>537</v>
      </c>
      <c r="N64" s="39" t="s">
        <v>2551</v>
      </c>
      <c r="P64" s="39" t="s">
        <v>2508</v>
      </c>
      <c r="R64" s="39" t="s">
        <v>529</v>
      </c>
      <c r="S64" s="39" t="b">
        <f t="shared" si="0"/>
        <v>1</v>
      </c>
      <c r="T64" s="39" t="s">
        <v>528</v>
      </c>
      <c r="U64" s="39" t="b">
        <f t="shared" si="1"/>
        <v>1</v>
      </c>
      <c r="V64" s="39" t="s">
        <v>2564</v>
      </c>
      <c r="W64" s="39" t="s">
        <v>2564</v>
      </c>
      <c r="X64" s="83" t="s">
        <v>536</v>
      </c>
      <c r="Y64" s="84" t="s">
        <v>537</v>
      </c>
      <c r="Z64" s="83" t="s">
        <v>2551</v>
      </c>
      <c r="AA64" s="84" t="s">
        <v>2508</v>
      </c>
      <c r="AB64" s="108"/>
      <c r="AC64" s="107"/>
      <c r="AD64" s="84"/>
      <c r="AE64" s="83"/>
      <c r="AF64" s="84"/>
      <c r="AG64" s="83"/>
      <c r="AH64" s="84"/>
      <c r="AI64" s="39" t="s">
        <v>28</v>
      </c>
      <c r="AJ64" s="39" t="s">
        <v>45</v>
      </c>
      <c r="AK64" s="39" t="s">
        <v>538</v>
      </c>
      <c r="AP64" s="39" t="s">
        <v>539</v>
      </c>
      <c r="AQ64" s="39" t="s">
        <v>540</v>
      </c>
      <c r="AR64" s="39" t="s">
        <v>68</v>
      </c>
      <c r="AS64" s="39" t="s">
        <v>32</v>
      </c>
      <c r="AU64" s="44">
        <v>6285619745127</v>
      </c>
      <c r="AX64" s="39" t="s">
        <v>541</v>
      </c>
      <c r="AZ64" s="39" t="s">
        <v>528</v>
      </c>
      <c r="BA64" s="39" t="s">
        <v>1903</v>
      </c>
      <c r="BB64" s="39" t="s">
        <v>529</v>
      </c>
      <c r="BC64" s="39" t="s">
        <v>1915</v>
      </c>
      <c r="BD64" s="39" t="b">
        <v>1</v>
      </c>
      <c r="BE64" s="39" t="b">
        <v>1</v>
      </c>
      <c r="BF64" s="39" t="s">
        <v>536</v>
      </c>
      <c r="BG64" s="39" t="s">
        <v>537</v>
      </c>
      <c r="BH64" s="39" t="s">
        <v>2134</v>
      </c>
      <c r="BI64" s="39" t="s">
        <v>2135</v>
      </c>
      <c r="BJ64" s="39" t="b">
        <v>1</v>
      </c>
      <c r="BK64" s="39" t="b">
        <v>1</v>
      </c>
      <c r="BN64" s="39">
        <v>0</v>
      </c>
      <c r="BO64" s="39" t="s">
        <v>2775</v>
      </c>
      <c r="BP64" s="39" t="s">
        <v>2805</v>
      </c>
    </row>
    <row r="65" spans="1:68">
      <c r="A65" s="39" t="s">
        <v>20</v>
      </c>
      <c r="B65" s="39" t="s">
        <v>21</v>
      </c>
      <c r="C65" s="39" t="s">
        <v>70</v>
      </c>
      <c r="D65" s="39" t="s">
        <v>526</v>
      </c>
      <c r="E65" s="39" t="s">
        <v>527</v>
      </c>
      <c r="F65" s="39" t="s">
        <v>528</v>
      </c>
      <c r="G65" s="39" t="s">
        <v>529</v>
      </c>
      <c r="H65" s="39" t="s">
        <v>75</v>
      </c>
      <c r="I65" s="39" t="b">
        <v>0</v>
      </c>
      <c r="J65" s="39" t="s">
        <v>75</v>
      </c>
      <c r="K65" s="39" t="b">
        <v>0</v>
      </c>
      <c r="L65" s="39" t="s">
        <v>542</v>
      </c>
      <c r="M65" s="39" t="s">
        <v>543</v>
      </c>
      <c r="N65" s="39" t="s">
        <v>2508</v>
      </c>
      <c r="P65" s="39" t="s">
        <v>2508</v>
      </c>
      <c r="R65" s="39" t="s">
        <v>529</v>
      </c>
      <c r="S65" s="39" t="b">
        <f t="shared" si="0"/>
        <v>1</v>
      </c>
      <c r="T65" s="39" t="s">
        <v>528</v>
      </c>
      <c r="U65" s="39" t="b">
        <f t="shared" si="1"/>
        <v>1</v>
      </c>
      <c r="V65" s="39" t="s">
        <v>2564</v>
      </c>
      <c r="W65" s="39" t="s">
        <v>2564</v>
      </c>
      <c r="X65" s="83" t="s">
        <v>542</v>
      </c>
      <c r="Y65" s="84" t="s">
        <v>543</v>
      </c>
      <c r="Z65" s="83" t="s">
        <v>2508</v>
      </c>
      <c r="AA65" s="84" t="s">
        <v>2508</v>
      </c>
      <c r="AB65" s="108"/>
      <c r="AC65" s="107"/>
      <c r="AD65" s="84"/>
      <c r="AE65" s="83"/>
      <c r="AF65" s="84"/>
      <c r="AG65" s="83"/>
      <c r="AH65" s="84"/>
      <c r="AI65" s="39" t="s">
        <v>28</v>
      </c>
      <c r="AJ65" s="39" t="s">
        <v>45</v>
      </c>
      <c r="AK65" s="39" t="s">
        <v>544</v>
      </c>
      <c r="AP65" s="39" t="s">
        <v>545</v>
      </c>
      <c r="AQ65" s="39" t="s">
        <v>546</v>
      </c>
      <c r="AR65" s="39" t="s">
        <v>68</v>
      </c>
      <c r="AS65" s="39" t="s">
        <v>32</v>
      </c>
      <c r="AU65" s="44">
        <v>62858899994847</v>
      </c>
      <c r="AX65" s="39" t="s">
        <v>547</v>
      </c>
      <c r="AZ65" s="39" t="s">
        <v>528</v>
      </c>
      <c r="BA65" s="39" t="s">
        <v>1903</v>
      </c>
      <c r="BB65" s="39" t="s">
        <v>529</v>
      </c>
      <c r="BC65" s="39" t="s">
        <v>1915</v>
      </c>
      <c r="BD65" s="39" t="b">
        <v>1</v>
      </c>
      <c r="BE65" s="39" t="b">
        <v>1</v>
      </c>
      <c r="BF65" s="39" t="s">
        <v>542</v>
      </c>
      <c r="BG65" s="39" t="s">
        <v>543</v>
      </c>
      <c r="BH65" s="39" t="s">
        <v>2136</v>
      </c>
      <c r="BI65" s="39" t="s">
        <v>2137</v>
      </c>
      <c r="BJ65" s="39" t="b">
        <v>1</v>
      </c>
      <c r="BK65" s="39" t="b">
        <v>1</v>
      </c>
      <c r="BN65" s="39">
        <v>0</v>
      </c>
      <c r="BO65" s="39" t="s">
        <v>2775</v>
      </c>
      <c r="BP65" s="39" t="s">
        <v>2805</v>
      </c>
    </row>
    <row r="66" spans="1:68">
      <c r="A66" s="39" t="s">
        <v>20</v>
      </c>
      <c r="B66" s="39" t="s">
        <v>21</v>
      </c>
      <c r="C66" s="39" t="s">
        <v>70</v>
      </c>
      <c r="D66" s="39" t="s">
        <v>526</v>
      </c>
      <c r="E66" s="39" t="s">
        <v>527</v>
      </c>
      <c r="F66" s="39" t="s">
        <v>528</v>
      </c>
      <c r="G66" s="39" t="s">
        <v>529</v>
      </c>
      <c r="H66" s="39" t="s">
        <v>75</v>
      </c>
      <c r="I66" s="39" t="b">
        <v>0</v>
      </c>
      <c r="J66" s="39" t="s">
        <v>75</v>
      </c>
      <c r="K66" s="39" t="b">
        <v>0</v>
      </c>
      <c r="L66" s="39" t="s">
        <v>554</v>
      </c>
      <c r="M66" s="39" t="s">
        <v>555</v>
      </c>
      <c r="N66" s="39" t="s">
        <v>2508</v>
      </c>
      <c r="P66" s="39" t="s">
        <v>2508</v>
      </c>
      <c r="R66" s="39" t="s">
        <v>529</v>
      </c>
      <c r="S66" s="39" t="b">
        <f t="shared" si="0"/>
        <v>1</v>
      </c>
      <c r="T66" s="39" t="s">
        <v>528</v>
      </c>
      <c r="U66" s="39" t="b">
        <f t="shared" si="1"/>
        <v>1</v>
      </c>
      <c r="V66" s="39" t="s">
        <v>2564</v>
      </c>
      <c r="W66" s="39" t="s">
        <v>2564</v>
      </c>
      <c r="X66" s="83" t="s">
        <v>554</v>
      </c>
      <c r="Y66" s="84" t="s">
        <v>555</v>
      </c>
      <c r="Z66" s="83" t="s">
        <v>2508</v>
      </c>
      <c r="AA66" s="84" t="s">
        <v>2508</v>
      </c>
      <c r="AB66" s="108"/>
      <c r="AC66" s="107"/>
      <c r="AD66" s="84"/>
      <c r="AE66" s="83"/>
      <c r="AF66" s="84"/>
      <c r="AG66" s="83"/>
      <c r="AH66" s="84"/>
      <c r="AI66" s="39" t="s">
        <v>28</v>
      </c>
      <c r="AJ66" s="39" t="s">
        <v>45</v>
      </c>
      <c r="AK66" s="39" t="s">
        <v>556</v>
      </c>
      <c r="AP66" s="39" t="s">
        <v>557</v>
      </c>
      <c r="AQ66" s="39" t="s">
        <v>558</v>
      </c>
      <c r="AR66" s="39" t="s">
        <v>68</v>
      </c>
      <c r="AS66" s="39" t="s">
        <v>32</v>
      </c>
      <c r="AU66" s="44">
        <v>62856943338887</v>
      </c>
      <c r="AX66" s="39" t="s">
        <v>559</v>
      </c>
      <c r="AZ66" s="39" t="s">
        <v>528</v>
      </c>
      <c r="BA66" s="39" t="s">
        <v>1903</v>
      </c>
      <c r="BB66" s="39" t="s">
        <v>529</v>
      </c>
      <c r="BC66" s="39" t="s">
        <v>1915</v>
      </c>
      <c r="BD66" s="39" t="b">
        <v>1</v>
      </c>
      <c r="BE66" s="39" t="b">
        <v>1</v>
      </c>
      <c r="BF66" s="39" t="s">
        <v>554</v>
      </c>
      <c r="BG66" s="39" t="s">
        <v>555</v>
      </c>
      <c r="BH66" s="39" t="s">
        <v>2140</v>
      </c>
      <c r="BI66" s="39" t="s">
        <v>2141</v>
      </c>
      <c r="BJ66" s="39" t="b">
        <v>1</v>
      </c>
      <c r="BK66" s="39" t="b">
        <v>1</v>
      </c>
      <c r="BN66" s="39">
        <v>0</v>
      </c>
      <c r="BO66" s="39" t="s">
        <v>2775</v>
      </c>
      <c r="BP66" s="39" t="s">
        <v>2805</v>
      </c>
    </row>
    <row r="67" spans="1:68">
      <c r="A67" s="39" t="s">
        <v>20</v>
      </c>
      <c r="B67" s="39" t="s">
        <v>21</v>
      </c>
      <c r="C67" s="39" t="s">
        <v>70</v>
      </c>
      <c r="D67" s="39" t="s">
        <v>526</v>
      </c>
      <c r="E67" s="39" t="s">
        <v>527</v>
      </c>
      <c r="F67" s="39" t="s">
        <v>528</v>
      </c>
      <c r="G67" s="39" t="s">
        <v>529</v>
      </c>
      <c r="H67" s="39" t="s">
        <v>75</v>
      </c>
      <c r="I67" s="39" t="b">
        <v>0</v>
      </c>
      <c r="J67" s="39" t="s">
        <v>75</v>
      </c>
      <c r="K67" s="39" t="b">
        <v>0</v>
      </c>
      <c r="L67" s="39" t="s">
        <v>590</v>
      </c>
      <c r="M67" s="39" t="s">
        <v>591</v>
      </c>
      <c r="N67" s="39" t="s">
        <v>2508</v>
      </c>
      <c r="P67" s="39" t="s">
        <v>2508</v>
      </c>
      <c r="R67" s="39" t="s">
        <v>529</v>
      </c>
      <c r="S67" s="39" t="b">
        <f t="shared" si="0"/>
        <v>1</v>
      </c>
      <c r="T67" s="39" t="s">
        <v>528</v>
      </c>
      <c r="U67" s="39" t="b">
        <f t="shared" si="1"/>
        <v>1</v>
      </c>
      <c r="V67" s="39" t="s">
        <v>2564</v>
      </c>
      <c r="W67" s="39" t="s">
        <v>2564</v>
      </c>
      <c r="X67" s="83" t="s">
        <v>590</v>
      </c>
      <c r="Y67" s="84" t="s">
        <v>591</v>
      </c>
      <c r="Z67" s="83" t="s">
        <v>2508</v>
      </c>
      <c r="AA67" s="84" t="s">
        <v>2508</v>
      </c>
      <c r="AB67" s="108"/>
      <c r="AC67" s="107"/>
      <c r="AD67" s="84"/>
      <c r="AE67" s="83"/>
      <c r="AF67" s="84"/>
      <c r="AG67" s="83"/>
      <c r="AH67" s="84"/>
      <c r="AI67" s="39" t="s">
        <v>28</v>
      </c>
      <c r="AJ67" s="39" t="s">
        <v>45</v>
      </c>
      <c r="AK67" s="39" t="s">
        <v>592</v>
      </c>
      <c r="AP67" s="39" t="s">
        <v>593</v>
      </c>
      <c r="AQ67" s="39" t="s">
        <v>594</v>
      </c>
      <c r="AR67" s="39" t="s">
        <v>68</v>
      </c>
      <c r="AS67" s="39" t="s">
        <v>32</v>
      </c>
      <c r="AU67" s="44">
        <v>62857173737307</v>
      </c>
      <c r="AX67" s="39" t="s">
        <v>595</v>
      </c>
      <c r="AZ67" s="39" t="s">
        <v>528</v>
      </c>
      <c r="BA67" s="39" t="s">
        <v>1903</v>
      </c>
      <c r="BB67" s="39" t="s">
        <v>529</v>
      </c>
      <c r="BC67" s="39" t="s">
        <v>1915</v>
      </c>
      <c r="BD67" s="39" t="b">
        <v>1</v>
      </c>
      <c r="BE67" s="39" t="b">
        <v>1</v>
      </c>
      <c r="BF67" s="39" t="s">
        <v>590</v>
      </c>
      <c r="BG67" s="39" t="s">
        <v>591</v>
      </c>
      <c r="BH67" s="39" t="s">
        <v>2152</v>
      </c>
      <c r="BI67" s="39" t="s">
        <v>2153</v>
      </c>
      <c r="BJ67" s="39" t="b">
        <v>1</v>
      </c>
      <c r="BK67" s="39" t="b">
        <v>1</v>
      </c>
      <c r="BN67" s="39">
        <v>0</v>
      </c>
      <c r="BO67" s="39" t="s">
        <v>2775</v>
      </c>
      <c r="BP67" s="39" t="s">
        <v>2805</v>
      </c>
    </row>
    <row r="68" spans="1:68">
      <c r="A68" s="39" t="s">
        <v>20</v>
      </c>
      <c r="B68" s="39" t="s">
        <v>21</v>
      </c>
      <c r="C68" s="39" t="s">
        <v>70</v>
      </c>
      <c r="D68" s="39" t="s">
        <v>102</v>
      </c>
      <c r="E68" s="39" t="s">
        <v>103</v>
      </c>
      <c r="F68" s="39" t="s">
        <v>104</v>
      </c>
      <c r="G68" s="39" t="s">
        <v>105</v>
      </c>
      <c r="H68" s="39" t="s">
        <v>75</v>
      </c>
      <c r="I68" s="39" t="b">
        <v>0</v>
      </c>
      <c r="J68" s="39" t="s">
        <v>75</v>
      </c>
      <c r="K68" s="39" t="b">
        <v>0</v>
      </c>
      <c r="L68" s="39">
        <v>2613051093</v>
      </c>
      <c r="M68" s="39" t="s">
        <v>230</v>
      </c>
      <c r="N68" s="39" t="s">
        <v>2508</v>
      </c>
      <c r="P68" s="39" t="s">
        <v>2509</v>
      </c>
      <c r="R68" s="39" t="s">
        <v>105</v>
      </c>
      <c r="S68" s="39" t="b">
        <f t="shared" si="0"/>
        <v>1</v>
      </c>
      <c r="T68" s="39" t="s">
        <v>104</v>
      </c>
      <c r="U68" s="39" t="b">
        <f t="shared" si="1"/>
        <v>1</v>
      </c>
      <c r="V68" s="39" t="s">
        <v>2564</v>
      </c>
      <c r="W68" s="39" t="s">
        <v>2564</v>
      </c>
      <c r="X68" s="83">
        <v>2613051093</v>
      </c>
      <c r="Y68" s="84" t="s">
        <v>230</v>
      </c>
      <c r="Z68" s="83" t="s">
        <v>2508</v>
      </c>
      <c r="AA68" s="84" t="s">
        <v>2508</v>
      </c>
      <c r="AB68" s="108"/>
      <c r="AC68" s="107"/>
      <c r="AD68" s="84"/>
      <c r="AE68" s="83"/>
      <c r="AF68" s="84"/>
      <c r="AG68" s="83"/>
      <c r="AH68" s="84"/>
      <c r="AI68" s="39" t="s">
        <v>28</v>
      </c>
      <c r="AJ68" s="39" t="s">
        <v>45</v>
      </c>
      <c r="AK68" s="39" t="s">
        <v>231</v>
      </c>
      <c r="AP68" s="39" t="s">
        <v>232</v>
      </c>
      <c r="AQ68" s="39" t="s">
        <v>233</v>
      </c>
      <c r="AR68" s="39" t="s">
        <v>68</v>
      </c>
      <c r="AS68" s="39" t="s">
        <v>32</v>
      </c>
      <c r="AU68" s="44">
        <v>62857301257151</v>
      </c>
      <c r="AX68" s="39" t="s">
        <v>234</v>
      </c>
      <c r="AZ68" s="39" t="s">
        <v>104</v>
      </c>
      <c r="BA68" s="39" t="s">
        <v>1903</v>
      </c>
      <c r="BB68" s="39" t="s">
        <v>105</v>
      </c>
      <c r="BC68" s="39" t="s">
        <v>1912</v>
      </c>
      <c r="BD68" s="39" t="b">
        <v>1</v>
      </c>
      <c r="BE68" s="39" t="b">
        <v>1</v>
      </c>
      <c r="BF68" s="39">
        <v>2613051093</v>
      </c>
      <c r="BG68" s="39" t="s">
        <v>230</v>
      </c>
      <c r="BH68" s="39" t="s">
        <v>2050</v>
      </c>
      <c r="BI68" s="39" t="s">
        <v>2051</v>
      </c>
      <c r="BJ68" s="39" t="b">
        <v>1</v>
      </c>
      <c r="BK68" s="39" t="b">
        <v>1</v>
      </c>
      <c r="BN68" s="39">
        <v>0</v>
      </c>
      <c r="BO68" s="39" t="s">
        <v>2776</v>
      </c>
      <c r="BP68" s="39" t="s">
        <v>2805</v>
      </c>
    </row>
    <row r="69" spans="1:68">
      <c r="A69" s="39" t="s">
        <v>20</v>
      </c>
      <c r="B69" s="39" t="s">
        <v>21</v>
      </c>
      <c r="C69" s="39" t="s">
        <v>70</v>
      </c>
      <c r="D69" s="39" t="s">
        <v>102</v>
      </c>
      <c r="E69" s="39" t="s">
        <v>103</v>
      </c>
      <c r="F69" s="39" t="s">
        <v>104</v>
      </c>
      <c r="G69" s="39" t="s">
        <v>105</v>
      </c>
      <c r="H69" s="39" t="s">
        <v>75</v>
      </c>
      <c r="I69" s="39" t="b">
        <v>0</v>
      </c>
      <c r="J69" s="39" t="s">
        <v>75</v>
      </c>
      <c r="K69" s="39" t="b">
        <v>0</v>
      </c>
      <c r="L69" s="39">
        <v>2613051413</v>
      </c>
      <c r="M69" s="39" t="s">
        <v>270</v>
      </c>
      <c r="N69" s="39" t="s">
        <v>2508</v>
      </c>
      <c r="P69" s="39" t="s">
        <v>2543</v>
      </c>
      <c r="Q69" s="39" t="s">
        <v>74</v>
      </c>
      <c r="R69" s="39" t="s">
        <v>74</v>
      </c>
      <c r="S69" s="39" t="b">
        <f t="shared" ref="S69:S132" si="2">R69=G69</f>
        <v>0</v>
      </c>
      <c r="T69" s="39" t="s">
        <v>104</v>
      </c>
      <c r="U69" s="39" t="b">
        <f t="shared" ref="U69:U132" si="3">T69=F69</f>
        <v>1</v>
      </c>
      <c r="V69" s="39" t="s">
        <v>2564</v>
      </c>
      <c r="W69" s="39" t="s">
        <v>2561</v>
      </c>
      <c r="X69" s="83">
        <v>2613051413</v>
      </c>
      <c r="Y69" s="84" t="s">
        <v>270</v>
      </c>
      <c r="Z69" s="83" t="s">
        <v>2508</v>
      </c>
      <c r="AA69" s="84" t="s">
        <v>2509</v>
      </c>
      <c r="AB69" s="108"/>
      <c r="AC69" s="107">
        <v>62895622263072</v>
      </c>
      <c r="AD69" s="84"/>
      <c r="AE69" s="83"/>
      <c r="AF69" s="84"/>
      <c r="AG69" s="83"/>
      <c r="AH69" s="84"/>
      <c r="AI69" s="39" t="s">
        <v>28</v>
      </c>
      <c r="AJ69" s="39" t="s">
        <v>45</v>
      </c>
      <c r="AK69" s="39" t="s">
        <v>271</v>
      </c>
      <c r="AP69" s="39" t="s">
        <v>272</v>
      </c>
      <c r="AQ69" s="39" t="s">
        <v>273</v>
      </c>
      <c r="AR69" s="39" t="s">
        <v>68</v>
      </c>
      <c r="AS69" s="39" t="s">
        <v>32</v>
      </c>
      <c r="AU69" s="44">
        <v>6285882783924</v>
      </c>
      <c r="AX69" s="39" t="s">
        <v>274</v>
      </c>
      <c r="AZ69" s="39" t="s">
        <v>104</v>
      </c>
      <c r="BA69" s="39" t="s">
        <v>1903</v>
      </c>
      <c r="BB69" s="39" t="s">
        <v>105</v>
      </c>
      <c r="BC69" s="39" t="s">
        <v>1912</v>
      </c>
      <c r="BD69" s="39" t="b">
        <v>1</v>
      </c>
      <c r="BE69" s="39" t="b">
        <v>1</v>
      </c>
      <c r="BF69" s="39">
        <v>2613051413</v>
      </c>
      <c r="BG69" s="39" t="s">
        <v>270</v>
      </c>
      <c r="BH69" s="39" t="s">
        <v>2064</v>
      </c>
      <c r="BI69" s="39" t="s">
        <v>2065</v>
      </c>
      <c r="BJ69" s="39" t="b">
        <v>1</v>
      </c>
      <c r="BK69" s="39" t="b">
        <v>1</v>
      </c>
      <c r="BN69" s="39">
        <v>0</v>
      </c>
      <c r="BO69" s="39" t="s">
        <v>2776</v>
      </c>
      <c r="BP69" s="39" t="s">
        <v>2805</v>
      </c>
    </row>
    <row r="70" spans="1:68">
      <c r="A70" s="39" t="s">
        <v>20</v>
      </c>
      <c r="B70" s="39" t="s">
        <v>21</v>
      </c>
      <c r="C70" s="39" t="s">
        <v>70</v>
      </c>
      <c r="D70" s="39" t="s">
        <v>102</v>
      </c>
      <c r="E70" s="39" t="s">
        <v>103</v>
      </c>
      <c r="F70" s="39" t="s">
        <v>104</v>
      </c>
      <c r="G70" s="39" t="s">
        <v>105</v>
      </c>
      <c r="H70" s="39" t="s">
        <v>75</v>
      </c>
      <c r="I70" s="39" t="b">
        <v>0</v>
      </c>
      <c r="J70" s="39" t="s">
        <v>75</v>
      </c>
      <c r="K70" s="39" t="b">
        <v>0</v>
      </c>
      <c r="L70" s="39">
        <v>2613052473</v>
      </c>
      <c r="M70" s="39" t="s">
        <v>106</v>
      </c>
      <c r="N70" s="39" t="s">
        <v>2508</v>
      </c>
      <c r="P70" s="39" t="s">
        <v>2508</v>
      </c>
      <c r="R70" s="39" t="s">
        <v>105</v>
      </c>
      <c r="S70" s="39" t="b">
        <f t="shared" si="2"/>
        <v>1</v>
      </c>
      <c r="T70" s="39" t="s">
        <v>104</v>
      </c>
      <c r="U70" s="39" t="b">
        <f t="shared" si="3"/>
        <v>1</v>
      </c>
      <c r="V70" s="39" t="s">
        <v>2564</v>
      </c>
      <c r="W70" s="39" t="s">
        <v>2564</v>
      </c>
      <c r="X70" s="83">
        <v>2613052473</v>
      </c>
      <c r="Y70" s="84" t="s">
        <v>106</v>
      </c>
      <c r="Z70" s="83" t="s">
        <v>2508</v>
      </c>
      <c r="AA70" s="84" t="s">
        <v>2508</v>
      </c>
      <c r="AB70" s="108"/>
      <c r="AC70" s="107"/>
      <c r="AD70" s="84"/>
      <c r="AE70" s="83"/>
      <c r="AF70" s="84"/>
      <c r="AG70" s="83"/>
      <c r="AH70" s="84"/>
      <c r="AI70" s="39" t="s">
        <v>28</v>
      </c>
      <c r="AJ70" s="39" t="s">
        <v>45</v>
      </c>
      <c r="AK70" s="39" t="s">
        <v>107</v>
      </c>
      <c r="AP70" s="39" t="s">
        <v>108</v>
      </c>
      <c r="AQ70" s="39" t="s">
        <v>109</v>
      </c>
      <c r="AR70" s="39" t="s">
        <v>68</v>
      </c>
      <c r="AS70" s="39" t="s">
        <v>32</v>
      </c>
      <c r="AU70" s="44">
        <v>6285778144448</v>
      </c>
      <c r="AX70" s="39" t="s">
        <v>110</v>
      </c>
      <c r="AZ70" s="39" t="s">
        <v>104</v>
      </c>
      <c r="BA70" s="39" t="s">
        <v>1903</v>
      </c>
      <c r="BB70" s="39" t="s">
        <v>105</v>
      </c>
      <c r="BC70" s="39" t="s">
        <v>1912</v>
      </c>
      <c r="BD70" s="39" t="b">
        <v>1</v>
      </c>
      <c r="BE70" s="39" t="b">
        <v>1</v>
      </c>
      <c r="BF70" s="39">
        <v>2613052473</v>
      </c>
      <c r="BG70" s="39" t="s">
        <v>106</v>
      </c>
      <c r="BH70" s="39" t="s">
        <v>2012</v>
      </c>
      <c r="BI70" s="39" t="s">
        <v>2013</v>
      </c>
      <c r="BJ70" s="39" t="b">
        <v>1</v>
      </c>
      <c r="BK70" s="39" t="b">
        <v>1</v>
      </c>
      <c r="BN70" s="39">
        <v>0</v>
      </c>
      <c r="BO70" s="39" t="s">
        <v>2776</v>
      </c>
      <c r="BP70" s="39" t="s">
        <v>2805</v>
      </c>
    </row>
    <row r="71" spans="1:68">
      <c r="A71" s="39" t="s">
        <v>20</v>
      </c>
      <c r="B71" s="39" t="s">
        <v>21</v>
      </c>
      <c r="C71" s="39" t="s">
        <v>70</v>
      </c>
      <c r="D71" s="39" t="s">
        <v>102</v>
      </c>
      <c r="E71" s="39" t="s">
        <v>103</v>
      </c>
      <c r="F71" s="39" t="s">
        <v>104</v>
      </c>
      <c r="G71" s="39" t="s">
        <v>105</v>
      </c>
      <c r="H71" s="39" t="s">
        <v>75</v>
      </c>
      <c r="I71" s="39" t="b">
        <v>0</v>
      </c>
      <c r="J71" s="39" t="s">
        <v>75</v>
      </c>
      <c r="K71" s="39" t="b">
        <v>0</v>
      </c>
      <c r="L71" s="39" t="s">
        <v>959</v>
      </c>
      <c r="M71" s="39" t="s">
        <v>960</v>
      </c>
      <c r="N71" s="39" t="s">
        <v>2509</v>
      </c>
      <c r="P71" s="39" t="s">
        <v>2509</v>
      </c>
      <c r="R71" s="39" t="s">
        <v>105</v>
      </c>
      <c r="S71" s="39" t="b">
        <f t="shared" si="2"/>
        <v>1</v>
      </c>
      <c r="T71" s="39" t="s">
        <v>104</v>
      </c>
      <c r="U71" s="39" t="b">
        <f t="shared" si="3"/>
        <v>1</v>
      </c>
      <c r="V71" s="39" t="s">
        <v>2564</v>
      </c>
      <c r="W71" s="39" t="s">
        <v>2564</v>
      </c>
      <c r="X71" s="83" t="s">
        <v>959</v>
      </c>
      <c r="Y71" s="84" t="s">
        <v>960</v>
      </c>
      <c r="Z71" s="83" t="s">
        <v>2508</v>
      </c>
      <c r="AA71" s="84" t="s">
        <v>2508</v>
      </c>
      <c r="AB71" s="108"/>
      <c r="AC71" s="107"/>
      <c r="AD71" s="84"/>
      <c r="AE71" s="83"/>
      <c r="AF71" s="84"/>
      <c r="AG71" s="83"/>
      <c r="AH71" s="84"/>
      <c r="AI71" s="39" t="s">
        <v>28</v>
      </c>
      <c r="AJ71" s="39" t="s">
        <v>45</v>
      </c>
      <c r="AK71" s="39" t="s">
        <v>961</v>
      </c>
      <c r="AP71" s="39" t="s">
        <v>962</v>
      </c>
      <c r="AQ71" s="39" t="s">
        <v>963</v>
      </c>
      <c r="AR71" s="39" t="s">
        <v>68</v>
      </c>
      <c r="AS71" s="39" t="s">
        <v>32</v>
      </c>
      <c r="AU71" s="44">
        <v>62856815404</v>
      </c>
      <c r="AX71" s="39" t="s">
        <v>964</v>
      </c>
      <c r="AZ71" s="39" t="s">
        <v>104</v>
      </c>
      <c r="BA71" s="39" t="s">
        <v>1903</v>
      </c>
      <c r="BB71" s="39" t="s">
        <v>105</v>
      </c>
      <c r="BC71" s="39" t="s">
        <v>1912</v>
      </c>
      <c r="BD71" s="39" t="b">
        <v>1</v>
      </c>
      <c r="BE71" s="39" t="b">
        <v>1</v>
      </c>
      <c r="BF71" s="39" t="s">
        <v>959</v>
      </c>
      <c r="BG71" s="39" t="s">
        <v>960</v>
      </c>
      <c r="BH71" s="39" t="s">
        <v>2234</v>
      </c>
      <c r="BI71" s="39" t="s">
        <v>2235</v>
      </c>
      <c r="BJ71" s="39" t="b">
        <v>1</v>
      </c>
      <c r="BK71" s="39" t="b">
        <v>1</v>
      </c>
      <c r="BN71" s="39">
        <v>0</v>
      </c>
      <c r="BO71" s="39" t="s">
        <v>2776</v>
      </c>
      <c r="BP71" s="39" t="s">
        <v>2805</v>
      </c>
    </row>
    <row r="72" spans="1:68">
      <c r="A72" s="39" t="s">
        <v>20</v>
      </c>
      <c r="B72" s="39" t="s">
        <v>21</v>
      </c>
      <c r="C72" s="39" t="s">
        <v>70</v>
      </c>
      <c r="D72" s="39" t="s">
        <v>102</v>
      </c>
      <c r="E72" s="39" t="s">
        <v>103</v>
      </c>
      <c r="F72" s="39" t="s">
        <v>104</v>
      </c>
      <c r="G72" s="39" t="s">
        <v>105</v>
      </c>
      <c r="H72" s="39" t="s">
        <v>75</v>
      </c>
      <c r="I72" s="39" t="b">
        <v>0</v>
      </c>
      <c r="J72" s="39" t="s">
        <v>75</v>
      </c>
      <c r="K72" s="39" t="b">
        <v>0</v>
      </c>
      <c r="L72" s="39" t="s">
        <v>965</v>
      </c>
      <c r="M72" s="39" t="s">
        <v>966</v>
      </c>
      <c r="N72" s="39" t="s">
        <v>2508</v>
      </c>
      <c r="P72" s="39" t="s">
        <v>2509</v>
      </c>
      <c r="R72" s="39" t="s">
        <v>105</v>
      </c>
      <c r="S72" s="39" t="b">
        <f t="shared" si="2"/>
        <v>1</v>
      </c>
      <c r="T72" s="39" t="s">
        <v>104</v>
      </c>
      <c r="U72" s="39" t="b">
        <f t="shared" si="3"/>
        <v>1</v>
      </c>
      <c r="V72" s="39" t="s">
        <v>2564</v>
      </c>
      <c r="W72" s="39" t="s">
        <v>2564</v>
      </c>
      <c r="X72" s="83" t="s">
        <v>965</v>
      </c>
      <c r="Y72" s="84" t="s">
        <v>966</v>
      </c>
      <c r="Z72" s="83" t="s">
        <v>2508</v>
      </c>
      <c r="AA72" s="84" t="s">
        <v>2508</v>
      </c>
      <c r="AB72" s="108"/>
      <c r="AC72" s="107"/>
      <c r="AD72" s="84"/>
      <c r="AE72" s="83"/>
      <c r="AF72" s="84"/>
      <c r="AG72" s="83"/>
      <c r="AH72" s="84"/>
      <c r="AI72" s="39" t="s">
        <v>28</v>
      </c>
      <c r="AJ72" s="39" t="s">
        <v>45</v>
      </c>
      <c r="AK72" s="39" t="s">
        <v>967</v>
      </c>
      <c r="AP72" s="39" t="s">
        <v>968</v>
      </c>
      <c r="AQ72" s="39" t="s">
        <v>969</v>
      </c>
      <c r="AR72" s="39" t="s">
        <v>68</v>
      </c>
      <c r="AS72" s="39" t="s">
        <v>32</v>
      </c>
      <c r="AU72" s="44">
        <v>6285692700661</v>
      </c>
      <c r="AX72" s="39" t="s">
        <v>970</v>
      </c>
      <c r="AZ72" s="39" t="s">
        <v>104</v>
      </c>
      <c r="BA72" s="39" t="s">
        <v>1903</v>
      </c>
      <c r="BB72" s="39" t="s">
        <v>105</v>
      </c>
      <c r="BC72" s="39" t="s">
        <v>1912</v>
      </c>
      <c r="BD72" s="39" t="b">
        <v>1</v>
      </c>
      <c r="BE72" s="39" t="b">
        <v>1</v>
      </c>
      <c r="BF72" s="39" t="s">
        <v>965</v>
      </c>
      <c r="BG72" s="39" t="s">
        <v>966</v>
      </c>
      <c r="BH72" s="39" t="s">
        <v>2236</v>
      </c>
      <c r="BI72" s="39" t="s">
        <v>2237</v>
      </c>
      <c r="BJ72" s="39" t="b">
        <v>1</v>
      </c>
      <c r="BK72" s="39" t="b">
        <v>1</v>
      </c>
      <c r="BN72" s="39">
        <v>0</v>
      </c>
      <c r="BO72" s="39" t="s">
        <v>2776</v>
      </c>
      <c r="BP72" s="39" t="s">
        <v>2805</v>
      </c>
    </row>
    <row r="73" spans="1:68">
      <c r="A73" s="39" t="s">
        <v>20</v>
      </c>
      <c r="B73" s="39" t="s">
        <v>21</v>
      </c>
      <c r="C73" s="39" t="s">
        <v>70</v>
      </c>
      <c r="D73" s="39" t="s">
        <v>102</v>
      </c>
      <c r="E73" s="39" t="s">
        <v>103</v>
      </c>
      <c r="F73" s="39" t="s">
        <v>104</v>
      </c>
      <c r="G73" s="39" t="s">
        <v>105</v>
      </c>
      <c r="H73" s="39" t="s">
        <v>75</v>
      </c>
      <c r="I73" s="39" t="b">
        <v>0</v>
      </c>
      <c r="J73" s="39" t="s">
        <v>75</v>
      </c>
      <c r="K73" s="39" t="b">
        <v>0</v>
      </c>
      <c r="L73" s="39" t="s">
        <v>977</v>
      </c>
      <c r="M73" s="39" t="s">
        <v>978</v>
      </c>
      <c r="N73" s="39" t="s">
        <v>2508</v>
      </c>
      <c r="P73" s="39" t="s">
        <v>2510</v>
      </c>
      <c r="R73" s="39" t="s">
        <v>105</v>
      </c>
      <c r="S73" s="39" t="b">
        <f t="shared" si="2"/>
        <v>1</v>
      </c>
      <c r="T73" s="39" t="s">
        <v>104</v>
      </c>
      <c r="U73" s="39" t="b">
        <f t="shared" si="3"/>
        <v>1</v>
      </c>
      <c r="V73" s="39" t="s">
        <v>2564</v>
      </c>
      <c r="W73" s="39" t="s">
        <v>2564</v>
      </c>
      <c r="X73" s="83" t="s">
        <v>2566</v>
      </c>
      <c r="Y73" s="84" t="s">
        <v>2589</v>
      </c>
      <c r="Z73" s="83" t="s">
        <v>2508</v>
      </c>
      <c r="AA73" s="84" t="s">
        <v>2509</v>
      </c>
      <c r="AB73" s="108"/>
      <c r="AC73" s="107">
        <v>6285692700647</v>
      </c>
      <c r="AD73" s="84"/>
      <c r="AE73" s="83" t="s">
        <v>977</v>
      </c>
      <c r="AF73" s="84">
        <v>2613051030</v>
      </c>
      <c r="AG73" s="83" t="s">
        <v>2508</v>
      </c>
      <c r="AH73" s="84" t="s">
        <v>2508</v>
      </c>
      <c r="AI73" s="39" t="s">
        <v>28</v>
      </c>
      <c r="AJ73" s="39" t="s">
        <v>45</v>
      </c>
      <c r="AK73" s="39" t="s">
        <v>979</v>
      </c>
      <c r="AP73" s="39" t="s">
        <v>980</v>
      </c>
      <c r="AQ73" s="39" t="s">
        <v>981</v>
      </c>
      <c r="AR73" s="39" t="s">
        <v>68</v>
      </c>
      <c r="AS73" s="39" t="s">
        <v>32</v>
      </c>
      <c r="AU73" s="44">
        <v>6285692700647</v>
      </c>
      <c r="AX73" s="39" t="s">
        <v>982</v>
      </c>
      <c r="AZ73" s="39" t="s">
        <v>104</v>
      </c>
      <c r="BA73" s="39" t="s">
        <v>1903</v>
      </c>
      <c r="BB73" s="39" t="s">
        <v>105</v>
      </c>
      <c r="BC73" s="39" t="s">
        <v>1912</v>
      </c>
      <c r="BD73" s="39" t="b">
        <v>1</v>
      </c>
      <c r="BE73" s="39" t="b">
        <v>1</v>
      </c>
      <c r="BF73" s="39" t="s">
        <v>977</v>
      </c>
      <c r="BG73" s="39" t="s">
        <v>978</v>
      </c>
      <c r="BH73" s="39" t="s">
        <v>2240</v>
      </c>
      <c r="BI73" s="39" t="s">
        <v>2241</v>
      </c>
      <c r="BJ73" s="39" t="b">
        <v>1</v>
      </c>
      <c r="BK73" s="39" t="b">
        <v>1</v>
      </c>
      <c r="BN73" s="39">
        <v>0</v>
      </c>
      <c r="BO73" s="39" t="s">
        <v>2776</v>
      </c>
      <c r="BP73" s="39" t="s">
        <v>2805</v>
      </c>
    </row>
    <row r="74" spans="1:68">
      <c r="A74" s="39" t="s">
        <v>20</v>
      </c>
      <c r="B74" s="39" t="s">
        <v>21</v>
      </c>
      <c r="C74" s="39" t="s">
        <v>70</v>
      </c>
      <c r="D74" s="39" t="s">
        <v>102</v>
      </c>
      <c r="E74" s="39" t="s">
        <v>103</v>
      </c>
      <c r="F74" s="39" t="s">
        <v>104</v>
      </c>
      <c r="G74" s="39" t="s">
        <v>105</v>
      </c>
      <c r="H74" s="39" t="s">
        <v>75</v>
      </c>
      <c r="I74" s="39" t="b">
        <v>0</v>
      </c>
      <c r="J74" s="39" t="s">
        <v>75</v>
      </c>
      <c r="K74" s="39" t="b">
        <v>0</v>
      </c>
      <c r="L74" s="39" t="s">
        <v>989</v>
      </c>
      <c r="M74" s="39" t="s">
        <v>990</v>
      </c>
      <c r="N74" s="39" t="s">
        <v>2508</v>
      </c>
      <c r="P74" s="39" t="s">
        <v>2510</v>
      </c>
      <c r="R74" s="39" t="s">
        <v>105</v>
      </c>
      <c r="S74" s="39" t="b">
        <f t="shared" si="2"/>
        <v>1</v>
      </c>
      <c r="T74" s="39" t="s">
        <v>104</v>
      </c>
      <c r="U74" s="39" t="b">
        <f t="shared" si="3"/>
        <v>1</v>
      </c>
      <c r="V74" s="39" t="s">
        <v>2564</v>
      </c>
      <c r="W74" s="39" t="s">
        <v>2564</v>
      </c>
      <c r="X74" s="83" t="s">
        <v>2567</v>
      </c>
      <c r="Y74" s="84" t="s">
        <v>2590</v>
      </c>
      <c r="Z74" s="83" t="s">
        <v>2508</v>
      </c>
      <c r="AA74" s="84" t="s">
        <v>2509</v>
      </c>
      <c r="AB74" s="108"/>
      <c r="AC74" s="107">
        <v>6285692700667</v>
      </c>
      <c r="AD74" s="84"/>
      <c r="AE74" s="83" t="s">
        <v>989</v>
      </c>
      <c r="AF74" s="84">
        <v>2613051013</v>
      </c>
      <c r="AG74" s="83" t="s">
        <v>2508</v>
      </c>
      <c r="AH74" s="84" t="s">
        <v>2508</v>
      </c>
      <c r="AI74" s="39" t="s">
        <v>28</v>
      </c>
      <c r="AJ74" s="39" t="s">
        <v>45</v>
      </c>
      <c r="AK74" s="39" t="s">
        <v>991</v>
      </c>
      <c r="AP74" s="39" t="s">
        <v>992</v>
      </c>
      <c r="AQ74" s="39" t="s">
        <v>993</v>
      </c>
      <c r="AR74" s="39" t="s">
        <v>68</v>
      </c>
      <c r="AS74" s="39" t="s">
        <v>32</v>
      </c>
      <c r="AU74" s="44">
        <v>6285692700667</v>
      </c>
      <c r="AX74" s="39" t="s">
        <v>994</v>
      </c>
      <c r="AZ74" s="39" t="s">
        <v>104</v>
      </c>
      <c r="BA74" s="39" t="s">
        <v>1903</v>
      </c>
      <c r="BB74" s="39" t="s">
        <v>105</v>
      </c>
      <c r="BC74" s="39" t="s">
        <v>1912</v>
      </c>
      <c r="BD74" s="39" t="b">
        <v>1</v>
      </c>
      <c r="BE74" s="39" t="b">
        <v>1</v>
      </c>
      <c r="BF74" s="39" t="s">
        <v>989</v>
      </c>
      <c r="BG74" s="39" t="s">
        <v>990</v>
      </c>
      <c r="BH74" s="39" t="s">
        <v>2244</v>
      </c>
      <c r="BI74" s="39" t="s">
        <v>2245</v>
      </c>
      <c r="BJ74" s="39" t="b">
        <v>1</v>
      </c>
      <c r="BK74" s="39" t="b">
        <v>1</v>
      </c>
      <c r="BN74" s="39">
        <v>0</v>
      </c>
      <c r="BO74" s="39" t="s">
        <v>2776</v>
      </c>
      <c r="BP74" s="39" t="s">
        <v>2805</v>
      </c>
    </row>
    <row r="75" spans="1:68">
      <c r="A75" s="39" t="s">
        <v>20</v>
      </c>
      <c r="B75" s="39" t="s">
        <v>21</v>
      </c>
      <c r="C75" s="39" t="s">
        <v>70</v>
      </c>
      <c r="D75" s="39" t="s">
        <v>102</v>
      </c>
      <c r="E75" s="39" t="s">
        <v>103</v>
      </c>
      <c r="F75" s="39" t="s">
        <v>104</v>
      </c>
      <c r="G75" s="39" t="s">
        <v>105</v>
      </c>
      <c r="H75" s="39" t="s">
        <v>75</v>
      </c>
      <c r="I75" s="39" t="b">
        <v>0</v>
      </c>
      <c r="J75" s="39" t="s">
        <v>75</v>
      </c>
      <c r="K75" s="39" t="b">
        <v>0</v>
      </c>
      <c r="L75" s="39" t="s">
        <v>1019</v>
      </c>
      <c r="M75" s="39" t="s">
        <v>1020</v>
      </c>
      <c r="N75" s="39" t="s">
        <v>2508</v>
      </c>
      <c r="P75" s="39" t="s">
        <v>2510</v>
      </c>
      <c r="R75" s="39" t="s">
        <v>105</v>
      </c>
      <c r="S75" s="39" t="b">
        <f t="shared" si="2"/>
        <v>1</v>
      </c>
      <c r="T75" s="39" t="s">
        <v>104</v>
      </c>
      <c r="U75" s="39" t="b">
        <f t="shared" si="3"/>
        <v>1</v>
      </c>
      <c r="V75" s="39" t="s">
        <v>2564</v>
      </c>
      <c r="W75" s="39" t="s">
        <v>2564</v>
      </c>
      <c r="X75" s="83" t="s">
        <v>1019</v>
      </c>
      <c r="Y75" s="84" t="s">
        <v>1020</v>
      </c>
      <c r="Z75" s="83" t="s">
        <v>2508</v>
      </c>
      <c r="AA75" s="84" t="s">
        <v>2510</v>
      </c>
      <c r="AB75" s="108"/>
      <c r="AC75" s="107"/>
      <c r="AD75" s="84" t="s">
        <v>2762</v>
      </c>
      <c r="AE75" s="83"/>
      <c r="AF75" s="84"/>
      <c r="AG75" s="83"/>
      <c r="AH75" s="84"/>
      <c r="AI75" s="39" t="s">
        <v>28</v>
      </c>
      <c r="AJ75" s="39" t="s">
        <v>45</v>
      </c>
      <c r="AK75" s="39" t="s">
        <v>1021</v>
      </c>
      <c r="AP75" s="39" t="s">
        <v>1022</v>
      </c>
      <c r="AQ75" s="39" t="s">
        <v>1023</v>
      </c>
      <c r="AR75" s="39" t="s">
        <v>68</v>
      </c>
      <c r="AS75" s="39" t="s">
        <v>32</v>
      </c>
      <c r="AU75" s="44">
        <v>6285692700686</v>
      </c>
      <c r="AX75" s="39" t="s">
        <v>1024</v>
      </c>
      <c r="AZ75" s="39" t="s">
        <v>104</v>
      </c>
      <c r="BA75" s="39" t="s">
        <v>1903</v>
      </c>
      <c r="BB75" s="39" t="s">
        <v>105</v>
      </c>
      <c r="BC75" s="39" t="s">
        <v>1912</v>
      </c>
      <c r="BD75" s="39" t="b">
        <v>1</v>
      </c>
      <c r="BE75" s="39" t="b">
        <v>1</v>
      </c>
      <c r="BF75" s="39" t="s">
        <v>1019</v>
      </c>
      <c r="BG75" s="39" t="s">
        <v>1020</v>
      </c>
      <c r="BH75" s="39" t="s">
        <v>2254</v>
      </c>
      <c r="BI75" s="39" t="s">
        <v>2255</v>
      </c>
      <c r="BJ75" s="39" t="b">
        <v>1</v>
      </c>
      <c r="BK75" s="39" t="b">
        <v>1</v>
      </c>
      <c r="BN75" s="39">
        <v>0</v>
      </c>
      <c r="BO75" s="39" t="s">
        <v>2776</v>
      </c>
      <c r="BP75" s="39" t="s">
        <v>2805</v>
      </c>
    </row>
    <row r="76" spans="1:68">
      <c r="A76" s="39" t="s">
        <v>20</v>
      </c>
      <c r="B76" s="39" t="s">
        <v>21</v>
      </c>
      <c r="C76" s="39" t="s">
        <v>2752</v>
      </c>
      <c r="D76" s="39" t="s">
        <v>282</v>
      </c>
      <c r="E76" s="39" t="s">
        <v>283</v>
      </c>
      <c r="F76" s="39" t="s">
        <v>284</v>
      </c>
      <c r="G76" s="39" t="s">
        <v>285</v>
      </c>
      <c r="H76" s="39" t="s">
        <v>63</v>
      </c>
      <c r="I76" s="39" t="b">
        <v>0</v>
      </c>
      <c r="J76" s="39" t="s">
        <v>63</v>
      </c>
      <c r="K76" s="39" t="b">
        <v>0</v>
      </c>
      <c r="L76" s="39">
        <v>2613052261</v>
      </c>
      <c r="M76" s="39" t="s">
        <v>286</v>
      </c>
      <c r="N76" s="39" t="s">
        <v>2508</v>
      </c>
      <c r="P76" s="39" t="s">
        <v>2508</v>
      </c>
      <c r="R76" s="39" t="s">
        <v>285</v>
      </c>
      <c r="S76" s="39" t="b">
        <f t="shared" si="2"/>
        <v>1</v>
      </c>
      <c r="T76" s="39" t="s">
        <v>284</v>
      </c>
      <c r="U76" s="39" t="b">
        <f t="shared" si="3"/>
        <v>1</v>
      </c>
      <c r="V76" s="39" t="s">
        <v>2564</v>
      </c>
      <c r="W76" s="39" t="s">
        <v>2564</v>
      </c>
      <c r="X76" s="83">
        <v>2613052261</v>
      </c>
      <c r="Y76" s="84" t="s">
        <v>286</v>
      </c>
      <c r="Z76" s="83" t="s">
        <v>2508</v>
      </c>
      <c r="AA76" s="84" t="s">
        <v>2508</v>
      </c>
      <c r="AB76" s="108"/>
      <c r="AC76" s="107"/>
      <c r="AD76" s="84"/>
      <c r="AE76" s="83"/>
      <c r="AF76" s="84"/>
      <c r="AG76" s="83"/>
      <c r="AH76" s="84"/>
      <c r="AI76" s="39" t="s">
        <v>28</v>
      </c>
      <c r="AJ76" s="39" t="s">
        <v>45</v>
      </c>
      <c r="AK76" s="39" t="s">
        <v>287</v>
      </c>
      <c r="AM76" s="39" t="s">
        <v>287</v>
      </c>
      <c r="AN76" s="39" t="s">
        <v>287</v>
      </c>
      <c r="AO76" s="39" t="b">
        <v>0</v>
      </c>
      <c r="AP76" s="39" t="s">
        <v>288</v>
      </c>
      <c r="AQ76" s="39" t="s">
        <v>289</v>
      </c>
      <c r="AR76" s="39" t="s">
        <v>119</v>
      </c>
      <c r="AS76" s="39" t="s">
        <v>32</v>
      </c>
      <c r="AU76" s="44">
        <v>62895634937759</v>
      </c>
      <c r="AX76" s="39" t="s">
        <v>290</v>
      </c>
      <c r="AY76" s="39" t="s">
        <v>291</v>
      </c>
      <c r="AZ76" s="39" t="s">
        <v>284</v>
      </c>
      <c r="BA76" s="39" t="s">
        <v>1902</v>
      </c>
      <c r="BB76" s="39" t="s">
        <v>285</v>
      </c>
      <c r="BC76" s="39" t="s">
        <v>1921</v>
      </c>
      <c r="BD76" s="39" t="b">
        <v>1</v>
      </c>
      <c r="BE76" s="39" t="b">
        <v>1</v>
      </c>
      <c r="BF76" s="39">
        <v>2613052261</v>
      </c>
      <c r="BG76" s="39" t="s">
        <v>286</v>
      </c>
      <c r="BH76" s="39" t="s">
        <v>2068</v>
      </c>
      <c r="BI76" s="39" t="s">
        <v>2069</v>
      </c>
      <c r="BJ76" s="39" t="b">
        <v>1</v>
      </c>
      <c r="BK76" s="39" t="b">
        <v>1</v>
      </c>
      <c r="BN76" s="39">
        <v>0</v>
      </c>
      <c r="BO76" s="39" t="s">
        <v>2777</v>
      </c>
      <c r="BP76" s="39" t="s">
        <v>2806</v>
      </c>
    </row>
    <row r="77" spans="1:68">
      <c r="A77" s="39" t="s">
        <v>20</v>
      </c>
      <c r="B77" s="39" t="s">
        <v>21</v>
      </c>
      <c r="C77" s="39" t="s">
        <v>2752</v>
      </c>
      <c r="D77" s="39" t="s">
        <v>282</v>
      </c>
      <c r="E77" s="39" t="s">
        <v>283</v>
      </c>
      <c r="F77" s="39" t="s">
        <v>284</v>
      </c>
      <c r="G77" s="39" t="s">
        <v>285</v>
      </c>
      <c r="H77" s="39" t="s">
        <v>63</v>
      </c>
      <c r="I77" s="39" t="b">
        <v>0</v>
      </c>
      <c r="J77" s="39" t="s">
        <v>63</v>
      </c>
      <c r="K77" s="39" t="b">
        <v>0</v>
      </c>
      <c r="L77" s="39" t="s">
        <v>669</v>
      </c>
      <c r="M77" s="39" t="s">
        <v>670</v>
      </c>
      <c r="N77" s="39" t="s">
        <v>2509</v>
      </c>
      <c r="P77" s="39" t="s">
        <v>2509</v>
      </c>
      <c r="R77" s="39" t="s">
        <v>285</v>
      </c>
      <c r="S77" s="39" t="b">
        <f t="shared" si="2"/>
        <v>1</v>
      </c>
      <c r="T77" s="39" t="s">
        <v>284</v>
      </c>
      <c r="U77" s="39" t="b">
        <f t="shared" si="3"/>
        <v>1</v>
      </c>
      <c r="V77" s="39" t="s">
        <v>2564</v>
      </c>
      <c r="W77" s="39" t="s">
        <v>2564</v>
      </c>
      <c r="X77" s="83" t="s">
        <v>669</v>
      </c>
      <c r="Y77" s="84" t="s">
        <v>670</v>
      </c>
      <c r="Z77" s="83" t="s">
        <v>2508</v>
      </c>
      <c r="AA77" s="84" t="s">
        <v>2508</v>
      </c>
      <c r="AB77" s="108"/>
      <c r="AC77" s="107"/>
      <c r="AD77" s="84"/>
      <c r="AE77" s="83"/>
      <c r="AF77" s="84"/>
      <c r="AG77" s="83"/>
      <c r="AH77" s="84"/>
      <c r="AI77" s="39" t="s">
        <v>28</v>
      </c>
      <c r="AJ77" s="39" t="s">
        <v>45</v>
      </c>
      <c r="AK77" s="39" t="s">
        <v>671</v>
      </c>
      <c r="AP77" s="39" t="s">
        <v>672</v>
      </c>
      <c r="AQ77" s="39" t="s">
        <v>673</v>
      </c>
      <c r="AR77" s="39" t="s">
        <v>68</v>
      </c>
      <c r="AS77" s="39" t="s">
        <v>32</v>
      </c>
      <c r="AU77" s="44">
        <v>6280086422501</v>
      </c>
      <c r="AX77" s="39" t="s">
        <v>674</v>
      </c>
      <c r="AZ77" s="39" t="s">
        <v>284</v>
      </c>
      <c r="BA77" s="39" t="s">
        <v>1902</v>
      </c>
      <c r="BB77" s="39" t="s">
        <v>285</v>
      </c>
      <c r="BC77" s="39" t="s">
        <v>1921</v>
      </c>
      <c r="BD77" s="39" t="b">
        <v>1</v>
      </c>
      <c r="BE77" s="39" t="b">
        <v>1</v>
      </c>
      <c r="BF77" s="39" t="s">
        <v>669</v>
      </c>
      <c r="BG77" s="39" t="s">
        <v>670</v>
      </c>
      <c r="BH77" s="39" t="s">
        <v>2164</v>
      </c>
      <c r="BI77" s="39" t="s">
        <v>2165</v>
      </c>
      <c r="BJ77" s="39" t="b">
        <v>1</v>
      </c>
      <c r="BK77" s="39" t="b">
        <v>1</v>
      </c>
      <c r="BN77" s="39" t="s">
        <v>2505</v>
      </c>
      <c r="BO77" s="39" t="s">
        <v>2777</v>
      </c>
      <c r="BP77" s="39" t="s">
        <v>2806</v>
      </c>
    </row>
    <row r="78" spans="1:68">
      <c r="A78" s="39" t="s">
        <v>20</v>
      </c>
      <c r="B78" s="39" t="s">
        <v>21</v>
      </c>
      <c r="C78" s="39" t="s">
        <v>2752</v>
      </c>
      <c r="D78" s="39" t="s">
        <v>282</v>
      </c>
      <c r="E78" s="39" t="s">
        <v>283</v>
      </c>
      <c r="F78" s="39" t="s">
        <v>284</v>
      </c>
      <c r="G78" s="39" t="s">
        <v>285</v>
      </c>
      <c r="H78" s="39" t="s">
        <v>63</v>
      </c>
      <c r="I78" s="39" t="b">
        <v>0</v>
      </c>
      <c r="J78" s="39" t="s">
        <v>63</v>
      </c>
      <c r="K78" s="39" t="b">
        <v>0</v>
      </c>
      <c r="L78" s="39" t="s">
        <v>718</v>
      </c>
      <c r="M78" s="39" t="s">
        <v>719</v>
      </c>
      <c r="N78" s="39" t="s">
        <v>2508</v>
      </c>
      <c r="P78" s="39" t="s">
        <v>2508</v>
      </c>
      <c r="R78" s="39" t="s">
        <v>285</v>
      </c>
      <c r="S78" s="39" t="b">
        <f t="shared" si="2"/>
        <v>1</v>
      </c>
      <c r="T78" s="39" t="s">
        <v>284</v>
      </c>
      <c r="U78" s="39" t="b">
        <f t="shared" si="3"/>
        <v>1</v>
      </c>
      <c r="V78" s="39" t="s">
        <v>2564</v>
      </c>
      <c r="W78" s="39" t="s">
        <v>2564</v>
      </c>
      <c r="X78" s="83" t="s">
        <v>718</v>
      </c>
      <c r="Y78" s="84" t="s">
        <v>719</v>
      </c>
      <c r="Z78" s="83" t="s">
        <v>2508</v>
      </c>
      <c r="AA78" s="84" t="s">
        <v>2508</v>
      </c>
      <c r="AB78" s="108"/>
      <c r="AC78" s="107"/>
      <c r="AD78" s="84"/>
      <c r="AE78" s="83"/>
      <c r="AF78" s="84"/>
      <c r="AG78" s="83"/>
      <c r="AH78" s="84"/>
      <c r="AI78" s="39" t="s">
        <v>28</v>
      </c>
      <c r="AJ78" s="39" t="s">
        <v>45</v>
      </c>
      <c r="AK78" s="39" t="s">
        <v>720</v>
      </c>
      <c r="AP78" s="39" t="s">
        <v>721</v>
      </c>
      <c r="AQ78" s="39" t="s">
        <v>722</v>
      </c>
      <c r="AR78" s="39" t="s">
        <v>68</v>
      </c>
      <c r="AS78" s="39" t="s">
        <v>32</v>
      </c>
      <c r="AU78" s="44">
        <v>6285810001998</v>
      </c>
      <c r="AX78" s="39" t="s">
        <v>723</v>
      </c>
      <c r="AZ78" s="39" t="s">
        <v>284</v>
      </c>
      <c r="BA78" s="39" t="s">
        <v>1902</v>
      </c>
      <c r="BB78" s="39" t="s">
        <v>285</v>
      </c>
      <c r="BC78" s="39" t="s">
        <v>1921</v>
      </c>
      <c r="BD78" s="39" t="b">
        <v>1</v>
      </c>
      <c r="BE78" s="39" t="b">
        <v>1</v>
      </c>
      <c r="BF78" s="39" t="s">
        <v>718</v>
      </c>
      <c r="BG78" s="39" t="s">
        <v>719</v>
      </c>
      <c r="BH78" s="39" t="s">
        <v>2172</v>
      </c>
      <c r="BI78" s="39" t="s">
        <v>2173</v>
      </c>
      <c r="BJ78" s="39" t="b">
        <v>1</v>
      </c>
      <c r="BK78" s="39" t="b">
        <v>1</v>
      </c>
      <c r="BN78" s="39" t="s">
        <v>2505</v>
      </c>
      <c r="BO78" s="39" t="s">
        <v>2777</v>
      </c>
      <c r="BP78" s="39" t="s">
        <v>2806</v>
      </c>
    </row>
    <row r="79" spans="1:68">
      <c r="A79" s="39" t="s">
        <v>20</v>
      </c>
      <c r="B79" s="39" t="s">
        <v>21</v>
      </c>
      <c r="C79" s="39" t="s">
        <v>2752</v>
      </c>
      <c r="D79" s="39" t="s">
        <v>282</v>
      </c>
      <c r="E79" s="39" t="s">
        <v>283</v>
      </c>
      <c r="F79" s="39" t="s">
        <v>284</v>
      </c>
      <c r="G79" s="39" t="s">
        <v>285</v>
      </c>
      <c r="H79" s="39" t="s">
        <v>63</v>
      </c>
      <c r="I79" s="39" t="b">
        <v>0</v>
      </c>
      <c r="J79" s="39" t="s">
        <v>63</v>
      </c>
      <c r="K79" s="39" t="b">
        <v>0</v>
      </c>
      <c r="L79" s="39" t="s">
        <v>1762</v>
      </c>
      <c r="M79" s="39" t="s">
        <v>1761</v>
      </c>
      <c r="N79" s="39" t="s">
        <v>2510</v>
      </c>
      <c r="P79" s="39" t="s">
        <v>2543</v>
      </c>
      <c r="Q79" s="39" t="s">
        <v>2538</v>
      </c>
      <c r="R79" s="39" t="s">
        <v>2538</v>
      </c>
      <c r="S79" s="39" t="b">
        <f t="shared" si="2"/>
        <v>0</v>
      </c>
      <c r="U79" s="39" t="b">
        <f t="shared" si="3"/>
        <v>0</v>
      </c>
      <c r="V79" s="39" t="s">
        <v>2562</v>
      </c>
      <c r="W79" s="39" t="s">
        <v>2561</v>
      </c>
      <c r="X79" s="83" t="s">
        <v>1762</v>
      </c>
      <c r="Y79" s="84" t="s">
        <v>1761</v>
      </c>
      <c r="Z79" s="83" t="s">
        <v>2510</v>
      </c>
      <c r="AA79" s="84" t="s">
        <v>2543</v>
      </c>
      <c r="AB79" s="108"/>
      <c r="AC79" s="107"/>
      <c r="AD79" s="83" t="s">
        <v>2763</v>
      </c>
      <c r="AE79" s="83"/>
      <c r="AF79" s="84"/>
      <c r="AG79" s="83"/>
      <c r="AH79" s="84"/>
      <c r="AI79" s="39" t="s">
        <v>28</v>
      </c>
      <c r="AJ79" s="39" t="s">
        <v>45</v>
      </c>
      <c r="AK79" s="39" t="s">
        <v>1763</v>
      </c>
      <c r="AP79" s="39" t="s">
        <v>1764</v>
      </c>
      <c r="AQ79" s="39" t="s">
        <v>1765</v>
      </c>
      <c r="AR79" s="39" t="s">
        <v>68</v>
      </c>
      <c r="AS79" s="39" t="s">
        <v>32</v>
      </c>
      <c r="AU79" s="44">
        <v>6289507336727</v>
      </c>
      <c r="AX79" s="39" t="s">
        <v>1766</v>
      </c>
      <c r="AZ79" s="39" t="s">
        <v>284</v>
      </c>
      <c r="BA79" s="39" t="s">
        <v>1902</v>
      </c>
      <c r="BB79" s="39" t="s">
        <v>285</v>
      </c>
      <c r="BC79" s="39" t="s">
        <v>1921</v>
      </c>
      <c r="BD79" s="39" t="b">
        <v>1</v>
      </c>
      <c r="BE79" s="39" t="b">
        <v>1</v>
      </c>
      <c r="BF79" s="39" t="s">
        <v>1762</v>
      </c>
      <c r="BG79" s="39" t="s">
        <v>1761</v>
      </c>
      <c r="BH79" s="39" t="s">
        <v>2462</v>
      </c>
      <c r="BI79" s="39" t="s">
        <v>2463</v>
      </c>
      <c r="BJ79" s="39" t="b">
        <v>1</v>
      </c>
      <c r="BK79" s="39" t="b">
        <v>1</v>
      </c>
      <c r="BN79" s="39" t="s">
        <v>2505</v>
      </c>
      <c r="BO79" s="39" t="s">
        <v>2777</v>
      </c>
      <c r="BP79" s="39" t="s">
        <v>2806</v>
      </c>
    </row>
    <row r="80" spans="1:68">
      <c r="A80" s="39" t="s">
        <v>20</v>
      </c>
      <c r="B80" s="39" t="s">
        <v>21</v>
      </c>
      <c r="C80" s="39" t="s">
        <v>2752</v>
      </c>
      <c r="D80" s="39" t="s">
        <v>282</v>
      </c>
      <c r="E80" s="39" t="s">
        <v>283</v>
      </c>
      <c r="F80" s="39" t="s">
        <v>284</v>
      </c>
      <c r="G80" s="39" t="s">
        <v>285</v>
      </c>
      <c r="H80" s="39" t="s">
        <v>63</v>
      </c>
      <c r="I80" s="39" t="b">
        <v>0</v>
      </c>
      <c r="J80" s="39" t="s">
        <v>63</v>
      </c>
      <c r="K80" s="39" t="b">
        <v>0</v>
      </c>
      <c r="L80" s="39" t="s">
        <v>1774</v>
      </c>
      <c r="M80" s="39" t="s">
        <v>1773</v>
      </c>
      <c r="N80" s="39" t="s">
        <v>2508</v>
      </c>
      <c r="P80" s="39" t="s">
        <v>2543</v>
      </c>
      <c r="Q80" s="39" t="s">
        <v>2539</v>
      </c>
      <c r="R80" s="39" t="s">
        <v>2539</v>
      </c>
      <c r="S80" s="39" t="b">
        <f t="shared" si="2"/>
        <v>0</v>
      </c>
      <c r="T80" s="39" t="s">
        <v>284</v>
      </c>
      <c r="U80" s="39" t="b">
        <f t="shared" si="3"/>
        <v>1</v>
      </c>
      <c r="V80" s="39" t="s">
        <v>2564</v>
      </c>
      <c r="W80" s="39" t="s">
        <v>2561</v>
      </c>
      <c r="X80" s="83" t="s">
        <v>1774</v>
      </c>
      <c r="Y80" s="84" t="s">
        <v>1773</v>
      </c>
      <c r="Z80" s="83" t="s">
        <v>2508</v>
      </c>
      <c r="AA80" s="84" t="s">
        <v>2543</v>
      </c>
      <c r="AB80" s="108"/>
      <c r="AC80" s="107"/>
      <c r="AD80" s="84"/>
      <c r="AE80" s="83"/>
      <c r="AF80" s="84"/>
      <c r="AG80" s="83"/>
      <c r="AH80" s="84"/>
      <c r="AI80" s="39" t="s">
        <v>28</v>
      </c>
      <c r="AJ80" s="39" t="s">
        <v>45</v>
      </c>
      <c r="AK80" s="39" t="s">
        <v>1775</v>
      </c>
      <c r="AP80" s="39" t="s">
        <v>1776</v>
      </c>
      <c r="AQ80" s="39" t="s">
        <v>1777</v>
      </c>
      <c r="AR80" s="39" t="s">
        <v>119</v>
      </c>
      <c r="AS80" s="39" t="s">
        <v>32</v>
      </c>
      <c r="AU80" s="44">
        <v>6289507363417</v>
      </c>
      <c r="AX80" s="39" t="s">
        <v>1778</v>
      </c>
      <c r="AZ80" s="39" t="s">
        <v>284</v>
      </c>
      <c r="BA80" s="39" t="s">
        <v>1902</v>
      </c>
      <c r="BB80" s="39" t="s">
        <v>285</v>
      </c>
      <c r="BC80" s="39" t="s">
        <v>1921</v>
      </c>
      <c r="BD80" s="39" t="b">
        <v>1</v>
      </c>
      <c r="BE80" s="39" t="b">
        <v>1</v>
      </c>
      <c r="BF80" s="39" t="s">
        <v>1774</v>
      </c>
      <c r="BG80" s="39" t="s">
        <v>1773</v>
      </c>
      <c r="BH80" s="39" t="s">
        <v>2464</v>
      </c>
      <c r="BI80" s="39" t="s">
        <v>2465</v>
      </c>
      <c r="BJ80" s="39" t="b">
        <v>1</v>
      </c>
      <c r="BK80" s="39" t="b">
        <v>1</v>
      </c>
      <c r="BN80" s="39" t="s">
        <v>2505</v>
      </c>
      <c r="BO80" s="39" t="s">
        <v>2777</v>
      </c>
      <c r="BP80" s="39" t="s">
        <v>2806</v>
      </c>
    </row>
    <row r="81" spans="1:68">
      <c r="A81" s="39" t="s">
        <v>20</v>
      </c>
      <c r="B81" s="39" t="s">
        <v>21</v>
      </c>
      <c r="C81" s="39" t="s">
        <v>2752</v>
      </c>
      <c r="D81" s="39" t="s">
        <v>282</v>
      </c>
      <c r="E81" s="39" t="s">
        <v>283</v>
      </c>
      <c r="F81" s="39" t="s">
        <v>284</v>
      </c>
      <c r="G81" s="39" t="s">
        <v>285</v>
      </c>
      <c r="H81" s="39" t="s">
        <v>63</v>
      </c>
      <c r="I81" s="39" t="b">
        <v>0</v>
      </c>
      <c r="J81" s="39" t="s">
        <v>63</v>
      </c>
      <c r="K81" s="39" t="b">
        <v>0</v>
      </c>
      <c r="L81" s="39" t="s">
        <v>1887</v>
      </c>
      <c r="M81" s="39" t="s">
        <v>1886</v>
      </c>
      <c r="N81" s="39" t="s">
        <v>2508</v>
      </c>
      <c r="P81" s="39" t="s">
        <v>2543</v>
      </c>
      <c r="Q81" s="39" t="s">
        <v>2539</v>
      </c>
      <c r="R81" s="39" t="s">
        <v>2539</v>
      </c>
      <c r="S81" s="39" t="b">
        <f t="shared" si="2"/>
        <v>0</v>
      </c>
      <c r="T81" s="39" t="s">
        <v>284</v>
      </c>
      <c r="U81" s="39" t="b">
        <f t="shared" si="3"/>
        <v>1</v>
      </c>
      <c r="V81" s="39" t="s">
        <v>2564</v>
      </c>
      <c r="W81" s="39" t="s">
        <v>2561</v>
      </c>
      <c r="X81" s="83" t="s">
        <v>1887</v>
      </c>
      <c r="Y81" s="84" t="s">
        <v>1886</v>
      </c>
      <c r="Z81" s="83" t="s">
        <v>2508</v>
      </c>
      <c r="AA81" s="84" t="s">
        <v>2543</v>
      </c>
      <c r="AB81" s="108"/>
      <c r="AC81" s="107"/>
      <c r="AD81" s="84"/>
      <c r="AE81" s="83"/>
      <c r="AF81" s="84"/>
      <c r="AG81" s="83"/>
      <c r="AH81" s="84"/>
      <c r="AI81" s="39" t="s">
        <v>28</v>
      </c>
      <c r="AJ81" s="39" t="s">
        <v>45</v>
      </c>
      <c r="AK81" s="39" t="s">
        <v>1888</v>
      </c>
      <c r="AP81" s="39" t="s">
        <v>1889</v>
      </c>
      <c r="AQ81" s="39" t="s">
        <v>1890</v>
      </c>
      <c r="AR81" s="39" t="s">
        <v>119</v>
      </c>
      <c r="AS81" s="39" t="s">
        <v>32</v>
      </c>
      <c r="AU81" s="44">
        <v>6289602777875</v>
      </c>
      <c r="AX81" s="39" t="s">
        <v>1891</v>
      </c>
      <c r="AZ81" s="39" t="s">
        <v>284</v>
      </c>
      <c r="BA81" s="39" t="s">
        <v>1902</v>
      </c>
      <c r="BB81" s="39" t="s">
        <v>285</v>
      </c>
      <c r="BC81" s="39" t="s">
        <v>1921</v>
      </c>
      <c r="BD81" s="39" t="b">
        <v>1</v>
      </c>
      <c r="BE81" s="39" t="b">
        <v>1</v>
      </c>
      <c r="BF81" s="39" t="s">
        <v>1887</v>
      </c>
      <c r="BG81" s="39" t="s">
        <v>1886</v>
      </c>
      <c r="BH81" s="39" t="s">
        <v>2502</v>
      </c>
      <c r="BI81" s="39" t="s">
        <v>2503</v>
      </c>
      <c r="BJ81" s="39" t="b">
        <v>1</v>
      </c>
      <c r="BK81" s="39" t="b">
        <v>1</v>
      </c>
      <c r="BN81" s="39" t="s">
        <v>2505</v>
      </c>
      <c r="BO81" s="39" t="s">
        <v>2777</v>
      </c>
      <c r="BP81" s="39" t="s">
        <v>2806</v>
      </c>
    </row>
    <row r="82" spans="1:68">
      <c r="A82" s="39" t="s">
        <v>20</v>
      </c>
      <c r="B82" s="39" t="s">
        <v>21</v>
      </c>
      <c r="C82" s="39" t="s">
        <v>2752</v>
      </c>
      <c r="D82" s="39" t="s">
        <v>691</v>
      </c>
      <c r="E82" s="39" t="s">
        <v>692</v>
      </c>
      <c r="F82" s="39" t="s">
        <v>693</v>
      </c>
      <c r="G82" s="39" t="s">
        <v>694</v>
      </c>
      <c r="H82" s="39" t="s">
        <v>695</v>
      </c>
      <c r="I82" s="39" t="b">
        <v>0</v>
      </c>
      <c r="J82" s="39" t="s">
        <v>695</v>
      </c>
      <c r="K82" s="39" t="b">
        <v>0</v>
      </c>
      <c r="L82" s="39" t="s">
        <v>696</v>
      </c>
      <c r="M82" s="39" t="s">
        <v>697</v>
      </c>
      <c r="N82" s="39" t="s">
        <v>2508</v>
      </c>
      <c r="P82" s="39" t="s">
        <v>2508</v>
      </c>
      <c r="R82" s="39" t="s">
        <v>694</v>
      </c>
      <c r="S82" s="39" t="b">
        <f t="shared" si="2"/>
        <v>1</v>
      </c>
      <c r="T82" s="39" t="s">
        <v>693</v>
      </c>
      <c r="U82" s="39" t="b">
        <f t="shared" si="3"/>
        <v>1</v>
      </c>
      <c r="V82" s="39" t="s">
        <v>2564</v>
      </c>
      <c r="W82" s="39" t="s">
        <v>2564</v>
      </c>
      <c r="X82" s="83" t="s">
        <v>696</v>
      </c>
      <c r="Y82" s="84" t="s">
        <v>697</v>
      </c>
      <c r="Z82" s="83" t="s">
        <v>2508</v>
      </c>
      <c r="AA82" s="84" t="s">
        <v>2508</v>
      </c>
      <c r="AB82" s="108"/>
      <c r="AC82" s="107"/>
      <c r="AD82" s="84"/>
      <c r="AE82" s="83"/>
      <c r="AF82" s="84"/>
      <c r="AG82" s="83"/>
      <c r="AH82" s="84"/>
      <c r="AI82" s="39" t="s">
        <v>28</v>
      </c>
      <c r="AJ82" s="39" t="s">
        <v>45</v>
      </c>
      <c r="AK82" s="39" t="s">
        <v>698</v>
      </c>
      <c r="AP82" s="39" t="s">
        <v>699</v>
      </c>
      <c r="AQ82" s="39" t="s">
        <v>700</v>
      </c>
      <c r="AR82" s="39" t="s">
        <v>119</v>
      </c>
      <c r="AS82" s="39" t="s">
        <v>32</v>
      </c>
      <c r="AU82" s="44">
        <v>6280086422505</v>
      </c>
      <c r="AX82" s="39" t="s">
        <v>701</v>
      </c>
      <c r="AZ82" s="39" t="s">
        <v>693</v>
      </c>
      <c r="BA82" s="39" t="s">
        <v>1909</v>
      </c>
      <c r="BB82" s="39" t="s">
        <v>694</v>
      </c>
      <c r="BC82" s="39" t="s">
        <v>1929</v>
      </c>
      <c r="BD82" s="39" t="b">
        <v>1</v>
      </c>
      <c r="BE82" s="39" t="b">
        <v>1</v>
      </c>
      <c r="BF82" s="39" t="s">
        <v>696</v>
      </c>
      <c r="BG82" s="39" t="s">
        <v>697</v>
      </c>
      <c r="BH82" s="39" t="s">
        <v>2166</v>
      </c>
      <c r="BI82" s="39" t="s">
        <v>2167</v>
      </c>
      <c r="BJ82" s="39" t="b">
        <v>1</v>
      </c>
      <c r="BK82" s="39" t="b">
        <v>1</v>
      </c>
      <c r="BN82" s="39">
        <v>0</v>
      </c>
      <c r="BO82" s="39" t="s">
        <v>2778</v>
      </c>
      <c r="BP82" s="39" t="s">
        <v>2806</v>
      </c>
    </row>
    <row r="83" spans="1:68">
      <c r="A83" s="39" t="s">
        <v>20</v>
      </c>
      <c r="B83" s="39" t="s">
        <v>21</v>
      </c>
      <c r="C83" s="39" t="s">
        <v>2752</v>
      </c>
      <c r="D83" s="39" t="s">
        <v>691</v>
      </c>
      <c r="E83" s="39" t="s">
        <v>692</v>
      </c>
      <c r="F83" s="39" t="s">
        <v>693</v>
      </c>
      <c r="G83" s="39" t="s">
        <v>694</v>
      </c>
      <c r="H83" s="39" t="s">
        <v>695</v>
      </c>
      <c r="I83" s="39" t="b">
        <v>0</v>
      </c>
      <c r="J83" s="39" t="s">
        <v>695</v>
      </c>
      <c r="K83" s="39" t="b">
        <v>0</v>
      </c>
      <c r="L83" s="39" t="s">
        <v>724</v>
      </c>
      <c r="M83" s="39" t="s">
        <v>725</v>
      </c>
      <c r="N83" s="39" t="s">
        <v>2508</v>
      </c>
      <c r="P83" s="39" t="s">
        <v>2508</v>
      </c>
      <c r="R83" s="39" t="s">
        <v>694</v>
      </c>
      <c r="S83" s="39" t="b">
        <f t="shared" si="2"/>
        <v>1</v>
      </c>
      <c r="T83" s="39" t="s">
        <v>693</v>
      </c>
      <c r="U83" s="39" t="b">
        <f t="shared" si="3"/>
        <v>1</v>
      </c>
      <c r="V83" s="39" t="s">
        <v>2564</v>
      </c>
      <c r="W83" s="39" t="s">
        <v>2564</v>
      </c>
      <c r="X83" s="83" t="s">
        <v>724</v>
      </c>
      <c r="Y83" s="84" t="s">
        <v>725</v>
      </c>
      <c r="Z83" s="83" t="s">
        <v>2508</v>
      </c>
      <c r="AA83" s="84" t="s">
        <v>2508</v>
      </c>
      <c r="AB83" s="108"/>
      <c r="AC83" s="107"/>
      <c r="AD83" s="84"/>
      <c r="AE83" s="83"/>
      <c r="AF83" s="84"/>
      <c r="AG83" s="83"/>
      <c r="AH83" s="84"/>
      <c r="AI83" s="39" t="s">
        <v>28</v>
      </c>
      <c r="AJ83" s="39" t="s">
        <v>45</v>
      </c>
      <c r="AK83" s="39" t="s">
        <v>726</v>
      </c>
      <c r="AP83" s="39" t="s">
        <v>727</v>
      </c>
      <c r="AQ83" s="39" t="s">
        <v>728</v>
      </c>
      <c r="AR83" s="39" t="s">
        <v>68</v>
      </c>
      <c r="AS83" s="39" t="s">
        <v>32</v>
      </c>
      <c r="AU83" s="44">
        <v>6285717020316</v>
      </c>
      <c r="AX83" s="39" t="s">
        <v>729</v>
      </c>
      <c r="AZ83" s="39" t="s">
        <v>693</v>
      </c>
      <c r="BA83" s="39" t="s">
        <v>1909</v>
      </c>
      <c r="BB83" s="39" t="s">
        <v>694</v>
      </c>
      <c r="BC83" s="39" t="s">
        <v>1929</v>
      </c>
      <c r="BD83" s="39" t="b">
        <v>1</v>
      </c>
      <c r="BE83" s="39" t="b">
        <v>1</v>
      </c>
      <c r="BF83" s="39" t="s">
        <v>724</v>
      </c>
      <c r="BG83" s="39" t="s">
        <v>725</v>
      </c>
      <c r="BH83" s="39" t="s">
        <v>2174</v>
      </c>
      <c r="BI83" s="39" t="s">
        <v>2175</v>
      </c>
      <c r="BJ83" s="39" t="b">
        <v>1</v>
      </c>
      <c r="BK83" s="39" t="b">
        <v>1</v>
      </c>
      <c r="BN83" s="39" t="s">
        <v>2505</v>
      </c>
      <c r="BO83" s="39" t="s">
        <v>2778</v>
      </c>
      <c r="BP83" s="39" t="s">
        <v>2806</v>
      </c>
    </row>
    <row r="84" spans="1:68">
      <c r="A84" s="39" t="s">
        <v>20</v>
      </c>
      <c r="B84" s="39" t="s">
        <v>21</v>
      </c>
      <c r="C84" s="39" t="s">
        <v>2752</v>
      </c>
      <c r="D84" s="39" t="s">
        <v>691</v>
      </c>
      <c r="E84" s="39" t="s">
        <v>692</v>
      </c>
      <c r="F84" s="39" t="s">
        <v>693</v>
      </c>
      <c r="G84" s="39" t="s">
        <v>694</v>
      </c>
      <c r="H84" s="39" t="s">
        <v>695</v>
      </c>
      <c r="I84" s="39" t="b">
        <v>0</v>
      </c>
      <c r="J84" s="39" t="s">
        <v>695</v>
      </c>
      <c r="K84" s="39" t="b">
        <v>0</v>
      </c>
      <c r="L84" s="39" t="s">
        <v>736</v>
      </c>
      <c r="M84" s="39" t="s">
        <v>737</v>
      </c>
      <c r="N84" s="39" t="s">
        <v>2508</v>
      </c>
      <c r="P84" s="39" t="s">
        <v>2508</v>
      </c>
      <c r="R84" s="39" t="s">
        <v>694</v>
      </c>
      <c r="S84" s="39" t="b">
        <f t="shared" si="2"/>
        <v>1</v>
      </c>
      <c r="T84" s="39" t="s">
        <v>693</v>
      </c>
      <c r="U84" s="39" t="b">
        <f t="shared" si="3"/>
        <v>1</v>
      </c>
      <c r="V84" s="39" t="s">
        <v>2564</v>
      </c>
      <c r="W84" s="39" t="s">
        <v>2564</v>
      </c>
      <c r="X84" s="83" t="s">
        <v>736</v>
      </c>
      <c r="Y84" s="84" t="s">
        <v>737</v>
      </c>
      <c r="Z84" s="83" t="s">
        <v>2508</v>
      </c>
      <c r="AA84" s="84" t="s">
        <v>2508</v>
      </c>
      <c r="AB84" s="108"/>
      <c r="AC84" s="107"/>
      <c r="AD84" s="84"/>
      <c r="AE84" s="83"/>
      <c r="AF84" s="84"/>
      <c r="AG84" s="83"/>
      <c r="AH84" s="84"/>
      <c r="AI84" s="39" t="s">
        <v>28</v>
      </c>
      <c r="AJ84" s="39" t="s">
        <v>45</v>
      </c>
      <c r="AK84" s="39" t="s">
        <v>738</v>
      </c>
      <c r="AP84" s="39" t="s">
        <v>739</v>
      </c>
      <c r="AQ84" s="39" t="s">
        <v>740</v>
      </c>
      <c r="AR84" s="39" t="s">
        <v>68</v>
      </c>
      <c r="AS84" s="39" t="s">
        <v>32</v>
      </c>
      <c r="AU84" s="44">
        <v>6285782385678</v>
      </c>
      <c r="AX84" s="39" t="s">
        <v>741</v>
      </c>
      <c r="AZ84" s="39" t="s">
        <v>693</v>
      </c>
      <c r="BA84" s="39" t="s">
        <v>1909</v>
      </c>
      <c r="BB84" s="39" t="s">
        <v>694</v>
      </c>
      <c r="BC84" s="39" t="s">
        <v>1929</v>
      </c>
      <c r="BD84" s="39" t="b">
        <v>1</v>
      </c>
      <c r="BE84" s="39" t="b">
        <v>1</v>
      </c>
      <c r="BF84" s="39" t="s">
        <v>736</v>
      </c>
      <c r="BG84" s="39" t="s">
        <v>737</v>
      </c>
      <c r="BH84" s="39" t="s">
        <v>2178</v>
      </c>
      <c r="BI84" s="39" t="s">
        <v>2179</v>
      </c>
      <c r="BJ84" s="39" t="b">
        <v>1</v>
      </c>
      <c r="BK84" s="39" t="b">
        <v>1</v>
      </c>
      <c r="BN84" s="39">
        <v>0</v>
      </c>
      <c r="BO84" s="39" t="s">
        <v>2778</v>
      </c>
      <c r="BP84" s="39" t="s">
        <v>2806</v>
      </c>
    </row>
    <row r="85" spans="1:68">
      <c r="A85" s="39" t="s">
        <v>20</v>
      </c>
      <c r="B85" s="39" t="s">
        <v>21</v>
      </c>
      <c r="C85" s="39" t="s">
        <v>2752</v>
      </c>
      <c r="D85" s="39" t="s">
        <v>691</v>
      </c>
      <c r="E85" s="39" t="s">
        <v>692</v>
      </c>
      <c r="F85" s="39" t="s">
        <v>693</v>
      </c>
      <c r="G85" s="39" t="s">
        <v>694</v>
      </c>
      <c r="H85" s="39" t="s">
        <v>695</v>
      </c>
      <c r="I85" s="39" t="b">
        <v>0</v>
      </c>
      <c r="J85" s="39" t="s">
        <v>695</v>
      </c>
      <c r="K85" s="39" t="b">
        <v>0</v>
      </c>
      <c r="L85" s="39" t="s">
        <v>748</v>
      </c>
      <c r="M85" s="39" t="s">
        <v>749</v>
      </c>
      <c r="N85" s="39" t="s">
        <v>2508</v>
      </c>
      <c r="P85" s="39" t="s">
        <v>2508</v>
      </c>
      <c r="R85" s="39" t="s">
        <v>694</v>
      </c>
      <c r="S85" s="39" t="b">
        <f t="shared" si="2"/>
        <v>1</v>
      </c>
      <c r="T85" s="39" t="s">
        <v>693</v>
      </c>
      <c r="U85" s="39" t="b">
        <f t="shared" si="3"/>
        <v>1</v>
      </c>
      <c r="V85" s="39" t="s">
        <v>2564</v>
      </c>
      <c r="W85" s="39" t="s">
        <v>2564</v>
      </c>
      <c r="X85" s="83" t="s">
        <v>748</v>
      </c>
      <c r="Y85" s="84" t="s">
        <v>749</v>
      </c>
      <c r="Z85" s="83" t="s">
        <v>2508</v>
      </c>
      <c r="AA85" s="84" t="s">
        <v>2508</v>
      </c>
      <c r="AB85" s="108"/>
      <c r="AC85" s="107"/>
      <c r="AD85" s="84"/>
      <c r="AE85" s="83"/>
      <c r="AF85" s="84"/>
      <c r="AG85" s="83"/>
      <c r="AH85" s="84"/>
      <c r="AI85" s="39" t="s">
        <v>28</v>
      </c>
      <c r="AJ85" s="39" t="s">
        <v>45</v>
      </c>
      <c r="AK85" s="39" t="s">
        <v>750</v>
      </c>
      <c r="AP85" s="39" t="s">
        <v>751</v>
      </c>
      <c r="AQ85" s="39" t="s">
        <v>752</v>
      </c>
      <c r="AR85" s="39" t="s">
        <v>119</v>
      </c>
      <c r="AS85" s="39" t="s">
        <v>32</v>
      </c>
      <c r="AU85" s="44">
        <v>62857160357947</v>
      </c>
      <c r="AX85" s="39" t="s">
        <v>753</v>
      </c>
      <c r="AZ85" s="39" t="s">
        <v>693</v>
      </c>
      <c r="BA85" s="39" t="s">
        <v>1909</v>
      </c>
      <c r="BB85" s="39" t="s">
        <v>694</v>
      </c>
      <c r="BC85" s="39" t="s">
        <v>1929</v>
      </c>
      <c r="BD85" s="39" t="b">
        <v>1</v>
      </c>
      <c r="BE85" s="39" t="b">
        <v>1</v>
      </c>
      <c r="BF85" s="39" t="s">
        <v>748</v>
      </c>
      <c r="BG85" s="39" t="s">
        <v>749</v>
      </c>
      <c r="BH85" s="39" t="s">
        <v>2182</v>
      </c>
      <c r="BI85" s="39" t="s">
        <v>2183</v>
      </c>
      <c r="BJ85" s="39" t="b">
        <v>1</v>
      </c>
      <c r="BK85" s="39" t="b">
        <v>1</v>
      </c>
      <c r="BN85" s="39">
        <v>0</v>
      </c>
      <c r="BO85" s="39" t="s">
        <v>2778</v>
      </c>
      <c r="BP85" s="39" t="s">
        <v>2806</v>
      </c>
    </row>
    <row r="86" spans="1:68">
      <c r="A86" s="39" t="s">
        <v>20</v>
      </c>
      <c r="B86" s="39" t="s">
        <v>21</v>
      </c>
      <c r="C86" s="39" t="s">
        <v>2752</v>
      </c>
      <c r="D86" s="39" t="s">
        <v>691</v>
      </c>
      <c r="E86" s="39" t="s">
        <v>692</v>
      </c>
      <c r="F86" s="39" t="s">
        <v>693</v>
      </c>
      <c r="G86" s="39" t="s">
        <v>694</v>
      </c>
      <c r="H86" s="39" t="s">
        <v>695</v>
      </c>
      <c r="I86" s="39" t="b">
        <v>0</v>
      </c>
      <c r="J86" s="39" t="s">
        <v>695</v>
      </c>
      <c r="K86" s="39" t="b">
        <v>0</v>
      </c>
      <c r="L86" s="39" t="s">
        <v>754</v>
      </c>
      <c r="M86" s="39" t="s">
        <v>755</v>
      </c>
      <c r="N86" s="39" t="s">
        <v>2512</v>
      </c>
      <c r="P86" s="39" t="s">
        <v>2508</v>
      </c>
      <c r="R86" s="39" t="s">
        <v>694</v>
      </c>
      <c r="S86" s="39" t="b">
        <f t="shared" si="2"/>
        <v>1</v>
      </c>
      <c r="T86" s="39" t="s">
        <v>2558</v>
      </c>
      <c r="U86" s="39" t="b">
        <f t="shared" si="3"/>
        <v>0</v>
      </c>
      <c r="V86" s="39" t="s">
        <v>2562</v>
      </c>
      <c r="W86" s="39" t="s">
        <v>2564</v>
      </c>
      <c r="X86" s="83" t="s">
        <v>754</v>
      </c>
      <c r="Y86" s="84" t="s">
        <v>755</v>
      </c>
      <c r="Z86" s="83" t="s">
        <v>2509</v>
      </c>
      <c r="AA86" s="84" t="s">
        <v>2508</v>
      </c>
      <c r="AB86" s="108">
        <v>62318000335</v>
      </c>
      <c r="AC86" s="107"/>
      <c r="AD86" s="84"/>
      <c r="AE86" s="83"/>
      <c r="AF86" s="84"/>
      <c r="AG86" s="83"/>
      <c r="AH86" s="84"/>
      <c r="AI86" s="39" t="s">
        <v>28</v>
      </c>
      <c r="AJ86" s="39" t="s">
        <v>45</v>
      </c>
      <c r="AK86" s="39" t="s">
        <v>756</v>
      </c>
      <c r="AP86" s="39" t="s">
        <v>757</v>
      </c>
      <c r="AQ86" s="39" t="s">
        <v>758</v>
      </c>
      <c r="AR86" s="39" t="s">
        <v>119</v>
      </c>
      <c r="AS86" s="39" t="s">
        <v>32</v>
      </c>
      <c r="AU86" s="44">
        <v>6281574929262</v>
      </c>
      <c r="AX86" s="39" t="s">
        <v>759</v>
      </c>
      <c r="AZ86" s="39" t="s">
        <v>693</v>
      </c>
      <c r="BA86" s="39" t="s">
        <v>1909</v>
      </c>
      <c r="BB86" s="39" t="s">
        <v>694</v>
      </c>
      <c r="BC86" s="39" t="s">
        <v>1929</v>
      </c>
      <c r="BD86" s="39" t="b">
        <v>1</v>
      </c>
      <c r="BE86" s="39" t="b">
        <v>1</v>
      </c>
      <c r="BF86" s="39" t="s">
        <v>754</v>
      </c>
      <c r="BG86" s="39" t="s">
        <v>755</v>
      </c>
      <c r="BH86" s="39" t="s">
        <v>2184</v>
      </c>
      <c r="BI86" s="39" t="s">
        <v>2185</v>
      </c>
      <c r="BJ86" s="39" t="b">
        <v>1</v>
      </c>
      <c r="BK86" s="39" t="b">
        <v>1</v>
      </c>
      <c r="BN86" s="39">
        <v>0</v>
      </c>
      <c r="BO86" s="39" t="s">
        <v>2778</v>
      </c>
      <c r="BP86" s="39" t="s">
        <v>2806</v>
      </c>
    </row>
    <row r="87" spans="1:68">
      <c r="A87" s="39" t="s">
        <v>20</v>
      </c>
      <c r="B87" s="39" t="s">
        <v>21</v>
      </c>
      <c r="C87" s="39" t="s">
        <v>2752</v>
      </c>
      <c r="D87" s="39" t="s">
        <v>691</v>
      </c>
      <c r="E87" s="39" t="s">
        <v>692</v>
      </c>
      <c r="F87" s="39" t="s">
        <v>693</v>
      </c>
      <c r="G87" s="39" t="s">
        <v>694</v>
      </c>
      <c r="H87" s="39" t="s">
        <v>695</v>
      </c>
      <c r="I87" s="39" t="b">
        <v>0</v>
      </c>
      <c r="J87" s="39" t="s">
        <v>695</v>
      </c>
      <c r="K87" s="39" t="b">
        <v>0</v>
      </c>
      <c r="L87" s="39" t="s">
        <v>766</v>
      </c>
      <c r="M87" s="39" t="s">
        <v>767</v>
      </c>
      <c r="N87" s="39" t="s">
        <v>2508</v>
      </c>
      <c r="P87" s="39" t="s">
        <v>2508</v>
      </c>
      <c r="R87" s="39" t="s">
        <v>694</v>
      </c>
      <c r="S87" s="39" t="b">
        <f t="shared" si="2"/>
        <v>1</v>
      </c>
      <c r="T87" s="39" t="s">
        <v>693</v>
      </c>
      <c r="U87" s="39" t="b">
        <f t="shared" si="3"/>
        <v>1</v>
      </c>
      <c r="V87" s="39" t="s">
        <v>2564</v>
      </c>
      <c r="W87" s="39" t="s">
        <v>2564</v>
      </c>
      <c r="X87" s="83" t="s">
        <v>766</v>
      </c>
      <c r="Y87" s="84" t="s">
        <v>767</v>
      </c>
      <c r="Z87" s="83" t="s">
        <v>2508</v>
      </c>
      <c r="AA87" s="84" t="s">
        <v>2508</v>
      </c>
      <c r="AB87" s="108"/>
      <c r="AC87" s="107"/>
      <c r="AD87" s="84"/>
      <c r="AE87" s="83"/>
      <c r="AF87" s="84"/>
      <c r="AG87" s="83"/>
      <c r="AH87" s="84"/>
      <c r="AI87" s="39" t="s">
        <v>28</v>
      </c>
      <c r="AJ87" s="39" t="s">
        <v>45</v>
      </c>
      <c r="AK87" s="39" t="s">
        <v>328</v>
      </c>
      <c r="AP87" s="39" t="s">
        <v>768</v>
      </c>
      <c r="AQ87" s="39" t="s">
        <v>769</v>
      </c>
      <c r="AR87" s="39" t="s">
        <v>68</v>
      </c>
      <c r="AS87" s="39" t="s">
        <v>32</v>
      </c>
      <c r="AU87" s="44">
        <v>6285719252307</v>
      </c>
      <c r="AX87" s="39" t="s">
        <v>770</v>
      </c>
      <c r="AZ87" s="39" t="s">
        <v>693</v>
      </c>
      <c r="BA87" s="39" t="s">
        <v>1909</v>
      </c>
      <c r="BB87" s="39" t="s">
        <v>694</v>
      </c>
      <c r="BC87" s="39" t="s">
        <v>1929</v>
      </c>
      <c r="BD87" s="39" t="b">
        <v>1</v>
      </c>
      <c r="BE87" s="39" t="b">
        <v>1</v>
      </c>
      <c r="BF87" s="39" t="s">
        <v>766</v>
      </c>
      <c r="BG87" s="39" t="s">
        <v>767</v>
      </c>
      <c r="BH87" s="39" t="s">
        <v>2188</v>
      </c>
      <c r="BI87" s="39" t="s">
        <v>2189</v>
      </c>
      <c r="BJ87" s="39" t="b">
        <v>1</v>
      </c>
      <c r="BK87" s="39" t="b">
        <v>1</v>
      </c>
      <c r="BN87" s="39">
        <v>0</v>
      </c>
      <c r="BO87" s="39" t="s">
        <v>2778</v>
      </c>
      <c r="BP87" s="39" t="s">
        <v>2806</v>
      </c>
    </row>
    <row r="88" spans="1:68">
      <c r="A88" s="39" t="s">
        <v>20</v>
      </c>
      <c r="B88" s="39" t="s">
        <v>21</v>
      </c>
      <c r="C88" s="39" t="s">
        <v>2752</v>
      </c>
      <c r="D88" s="39" t="s">
        <v>702</v>
      </c>
      <c r="E88" s="39" t="s">
        <v>703</v>
      </c>
      <c r="F88" s="39" t="s">
        <v>704</v>
      </c>
      <c r="G88" s="39" t="s">
        <v>705</v>
      </c>
      <c r="H88" s="39" t="s">
        <v>695</v>
      </c>
      <c r="I88" s="39" t="b">
        <v>0</v>
      </c>
      <c r="J88" s="39" t="s">
        <v>695</v>
      </c>
      <c r="K88" s="39" t="b">
        <v>0</v>
      </c>
      <c r="L88" s="39" t="s">
        <v>771</v>
      </c>
      <c r="M88" s="39" t="s">
        <v>772</v>
      </c>
      <c r="N88" s="39" t="s">
        <v>2508</v>
      </c>
      <c r="P88" s="39" t="s">
        <v>2510</v>
      </c>
      <c r="R88" s="39" t="s">
        <v>705</v>
      </c>
      <c r="S88" s="39" t="b">
        <f t="shared" si="2"/>
        <v>1</v>
      </c>
      <c r="T88" s="39" t="s">
        <v>704</v>
      </c>
      <c r="U88" s="39" t="b">
        <f t="shared" si="3"/>
        <v>1</v>
      </c>
      <c r="V88" s="39" t="s">
        <v>2564</v>
      </c>
      <c r="W88" s="39" t="s">
        <v>2564</v>
      </c>
      <c r="X88" s="83" t="s">
        <v>2568</v>
      </c>
      <c r="Y88" s="84" t="s">
        <v>2591</v>
      </c>
      <c r="Z88" s="83" t="s">
        <v>2508</v>
      </c>
      <c r="AA88" s="84" t="s">
        <v>2508</v>
      </c>
      <c r="AB88" s="108"/>
      <c r="AC88" s="107"/>
      <c r="AD88" s="84"/>
      <c r="AE88" s="83"/>
      <c r="AF88" s="84"/>
      <c r="AG88" s="83" t="s">
        <v>2735</v>
      </c>
      <c r="AH88" s="84" t="s">
        <v>2735</v>
      </c>
      <c r="AI88" s="39" t="s">
        <v>28</v>
      </c>
      <c r="AJ88" s="39" t="s">
        <v>45</v>
      </c>
      <c r="AK88" s="39" t="s">
        <v>773</v>
      </c>
      <c r="AP88" s="39" t="s">
        <v>774</v>
      </c>
      <c r="AQ88" s="39" t="s">
        <v>775</v>
      </c>
      <c r="AR88" s="39" t="s">
        <v>68</v>
      </c>
      <c r="AS88" s="39" t="s">
        <v>32</v>
      </c>
      <c r="AU88" s="44">
        <v>6289507348390</v>
      </c>
      <c r="AX88" s="39" t="s">
        <v>776</v>
      </c>
      <c r="AZ88" s="39" t="s">
        <v>704</v>
      </c>
      <c r="BA88" s="39" t="s">
        <v>1909</v>
      </c>
      <c r="BB88" s="39" t="s">
        <v>705</v>
      </c>
      <c r="BC88" s="39" t="s">
        <v>1929</v>
      </c>
      <c r="BD88" s="39" t="b">
        <v>1</v>
      </c>
      <c r="BE88" s="39" t="b">
        <v>1</v>
      </c>
      <c r="BF88" s="39" t="s">
        <v>771</v>
      </c>
      <c r="BG88" s="39" t="s">
        <v>772</v>
      </c>
      <c r="BH88" s="39" t="s">
        <v>2190</v>
      </c>
      <c r="BI88" s="39" t="s">
        <v>2191</v>
      </c>
      <c r="BJ88" s="39" t="b">
        <v>1</v>
      </c>
      <c r="BK88" s="39" t="b">
        <v>1</v>
      </c>
      <c r="BN88" s="39">
        <v>0</v>
      </c>
      <c r="BO88" s="39" t="s">
        <v>2779</v>
      </c>
      <c r="BP88" s="39" t="s">
        <v>2806</v>
      </c>
    </row>
    <row r="89" spans="1:68">
      <c r="A89" s="39" t="s">
        <v>20</v>
      </c>
      <c r="B89" s="39" t="s">
        <v>21</v>
      </c>
      <c r="C89" s="39" t="s">
        <v>2752</v>
      </c>
      <c r="D89" s="39" t="s">
        <v>702</v>
      </c>
      <c r="E89" s="39" t="s">
        <v>703</v>
      </c>
      <c r="F89" s="39" t="s">
        <v>704</v>
      </c>
      <c r="G89" s="39" t="s">
        <v>705</v>
      </c>
      <c r="H89" s="39" t="s">
        <v>695</v>
      </c>
      <c r="I89" s="39" t="b">
        <v>0</v>
      </c>
      <c r="J89" s="39" t="s">
        <v>695</v>
      </c>
      <c r="K89" s="39" t="b">
        <v>0</v>
      </c>
      <c r="L89" s="39" t="s">
        <v>706</v>
      </c>
      <c r="M89" s="39" t="s">
        <v>707</v>
      </c>
      <c r="N89" s="39" t="s">
        <v>2508</v>
      </c>
      <c r="P89" s="39" t="s">
        <v>2508</v>
      </c>
      <c r="R89" s="39" t="s">
        <v>705</v>
      </c>
      <c r="S89" s="39" t="b">
        <f t="shared" si="2"/>
        <v>1</v>
      </c>
      <c r="T89" s="39" t="s">
        <v>704</v>
      </c>
      <c r="U89" s="39" t="b">
        <f t="shared" si="3"/>
        <v>1</v>
      </c>
      <c r="V89" s="39" t="s">
        <v>2564</v>
      </c>
      <c r="W89" s="39" t="s">
        <v>2564</v>
      </c>
      <c r="X89" s="83" t="s">
        <v>706</v>
      </c>
      <c r="Y89" s="84" t="s">
        <v>707</v>
      </c>
      <c r="Z89" s="83" t="s">
        <v>2508</v>
      </c>
      <c r="AA89" s="84" t="s">
        <v>2508</v>
      </c>
      <c r="AB89" s="108"/>
      <c r="AC89" s="107"/>
      <c r="AD89" s="84"/>
      <c r="AE89" s="83"/>
      <c r="AF89" s="84"/>
      <c r="AG89" s="83"/>
      <c r="AH89" s="84"/>
      <c r="AI89" s="39" t="s">
        <v>28</v>
      </c>
      <c r="AJ89" s="39" t="s">
        <v>45</v>
      </c>
      <c r="AK89" s="39" t="s">
        <v>708</v>
      </c>
      <c r="AL89" s="39" t="s">
        <v>2546</v>
      </c>
      <c r="AP89" s="39" t="s">
        <v>709</v>
      </c>
      <c r="AQ89" s="39" t="s">
        <v>710</v>
      </c>
      <c r="AR89" s="39" t="s">
        <v>119</v>
      </c>
      <c r="AS89" s="39" t="s">
        <v>32</v>
      </c>
      <c r="AU89" s="44">
        <v>6280086422506</v>
      </c>
      <c r="AX89" s="39" t="s">
        <v>711</v>
      </c>
      <c r="AZ89" s="39" t="s">
        <v>704</v>
      </c>
      <c r="BA89" s="39" t="s">
        <v>1909</v>
      </c>
      <c r="BB89" s="39" t="s">
        <v>705</v>
      </c>
      <c r="BC89" s="39" t="s">
        <v>1929</v>
      </c>
      <c r="BD89" s="39" t="b">
        <v>1</v>
      </c>
      <c r="BE89" s="39" t="b">
        <v>1</v>
      </c>
      <c r="BF89" s="39" t="s">
        <v>706</v>
      </c>
      <c r="BG89" s="39" t="s">
        <v>707</v>
      </c>
      <c r="BH89" s="39" t="s">
        <v>2168</v>
      </c>
      <c r="BI89" s="39" t="s">
        <v>2169</v>
      </c>
      <c r="BJ89" s="39" t="b">
        <v>1</v>
      </c>
      <c r="BK89" s="39" t="b">
        <v>1</v>
      </c>
      <c r="BN89" s="39">
        <v>0</v>
      </c>
      <c r="BO89" s="39" t="s">
        <v>2779</v>
      </c>
      <c r="BP89" s="39" t="s">
        <v>2806</v>
      </c>
    </row>
    <row r="90" spans="1:68">
      <c r="A90" s="39" t="s">
        <v>20</v>
      </c>
      <c r="B90" s="39" t="s">
        <v>21</v>
      </c>
      <c r="C90" s="39" t="s">
        <v>2752</v>
      </c>
      <c r="D90" s="39" t="s">
        <v>702</v>
      </c>
      <c r="E90" s="39" t="s">
        <v>703</v>
      </c>
      <c r="F90" s="39" t="s">
        <v>704</v>
      </c>
      <c r="G90" s="39" t="s">
        <v>705</v>
      </c>
      <c r="H90" s="39" t="s">
        <v>695</v>
      </c>
      <c r="I90" s="39" t="b">
        <v>0</v>
      </c>
      <c r="J90" s="39" t="s">
        <v>695</v>
      </c>
      <c r="K90" s="39" t="b">
        <v>0</v>
      </c>
      <c r="L90" s="39" t="s">
        <v>712</v>
      </c>
      <c r="M90" s="39" t="s">
        <v>713</v>
      </c>
      <c r="N90" s="39" t="s">
        <v>2508</v>
      </c>
      <c r="P90" s="39" t="s">
        <v>2508</v>
      </c>
      <c r="R90" s="39" t="s">
        <v>705</v>
      </c>
      <c r="S90" s="39" t="b">
        <f t="shared" si="2"/>
        <v>1</v>
      </c>
      <c r="T90" s="39" t="s">
        <v>704</v>
      </c>
      <c r="U90" s="39" t="b">
        <f t="shared" si="3"/>
        <v>1</v>
      </c>
      <c r="V90" s="39" t="s">
        <v>2564</v>
      </c>
      <c r="W90" s="39" t="s">
        <v>2564</v>
      </c>
      <c r="X90" s="83" t="s">
        <v>712</v>
      </c>
      <c r="Y90" s="84" t="s">
        <v>713</v>
      </c>
      <c r="Z90" s="83" t="s">
        <v>2508</v>
      </c>
      <c r="AA90" s="84" t="s">
        <v>2508</v>
      </c>
      <c r="AB90" s="108"/>
      <c r="AC90" s="107"/>
      <c r="AD90" s="84"/>
      <c r="AE90" s="83"/>
      <c r="AF90" s="84"/>
      <c r="AG90" s="83"/>
      <c r="AH90" s="84"/>
      <c r="AI90" s="39" t="s">
        <v>28</v>
      </c>
      <c r="AJ90" s="39" t="s">
        <v>45</v>
      </c>
      <c r="AK90" s="39" t="s">
        <v>714</v>
      </c>
      <c r="AP90" s="39" t="s">
        <v>715</v>
      </c>
      <c r="AQ90" s="39" t="s">
        <v>716</v>
      </c>
      <c r="AR90" s="39" t="s">
        <v>119</v>
      </c>
      <c r="AS90" s="39" t="s">
        <v>32</v>
      </c>
      <c r="AU90" s="44">
        <v>6280086422507</v>
      </c>
      <c r="AX90" s="39" t="s">
        <v>717</v>
      </c>
      <c r="AZ90" s="39" t="s">
        <v>704</v>
      </c>
      <c r="BA90" s="39" t="s">
        <v>1909</v>
      </c>
      <c r="BB90" s="39" t="s">
        <v>705</v>
      </c>
      <c r="BC90" s="39" t="s">
        <v>1929</v>
      </c>
      <c r="BD90" s="39" t="b">
        <v>1</v>
      </c>
      <c r="BE90" s="39" t="b">
        <v>1</v>
      </c>
      <c r="BF90" s="39" t="s">
        <v>712</v>
      </c>
      <c r="BG90" s="39" t="s">
        <v>713</v>
      </c>
      <c r="BH90" s="39" t="s">
        <v>2170</v>
      </c>
      <c r="BI90" s="39" t="s">
        <v>2171</v>
      </c>
      <c r="BJ90" s="39" t="b">
        <v>1</v>
      </c>
      <c r="BK90" s="39" t="b">
        <v>1</v>
      </c>
      <c r="BN90" s="39">
        <v>0</v>
      </c>
      <c r="BO90" s="39" t="s">
        <v>2779</v>
      </c>
      <c r="BP90" s="39" t="s">
        <v>2806</v>
      </c>
    </row>
    <row r="91" spans="1:68">
      <c r="A91" s="39" t="s">
        <v>20</v>
      </c>
      <c r="B91" s="39" t="s">
        <v>21</v>
      </c>
      <c r="C91" s="39" t="s">
        <v>2752</v>
      </c>
      <c r="D91" s="39" t="s">
        <v>702</v>
      </c>
      <c r="E91" s="39" t="s">
        <v>703</v>
      </c>
      <c r="F91" s="39" t="s">
        <v>704</v>
      </c>
      <c r="G91" s="39" t="s">
        <v>705</v>
      </c>
      <c r="H91" s="39" t="s">
        <v>695</v>
      </c>
      <c r="I91" s="39" t="b">
        <v>0</v>
      </c>
      <c r="J91" s="39" t="s">
        <v>695</v>
      </c>
      <c r="K91" s="39" t="b">
        <v>0</v>
      </c>
      <c r="L91" s="39" t="s">
        <v>730</v>
      </c>
      <c r="M91" s="39" t="s">
        <v>731</v>
      </c>
      <c r="N91" s="39" t="s">
        <v>2511</v>
      </c>
      <c r="P91" s="39" t="s">
        <v>2543</v>
      </c>
      <c r="Q91" s="39" t="s">
        <v>694</v>
      </c>
      <c r="R91" s="39" t="s">
        <v>705</v>
      </c>
      <c r="S91" s="39" t="b">
        <f t="shared" si="2"/>
        <v>1</v>
      </c>
      <c r="T91" s="39" t="s">
        <v>704</v>
      </c>
      <c r="U91" s="39" t="b">
        <f t="shared" si="3"/>
        <v>1</v>
      </c>
      <c r="V91" s="39" t="s">
        <v>2562</v>
      </c>
      <c r="W91" s="39" t="s">
        <v>2564</v>
      </c>
      <c r="X91" s="83" t="s">
        <v>2569</v>
      </c>
      <c r="Y91" s="84" t="s">
        <v>2592</v>
      </c>
      <c r="Z91" s="83" t="s">
        <v>2508</v>
      </c>
      <c r="AA91" s="84" t="s">
        <v>2508</v>
      </c>
      <c r="AB91" s="108"/>
      <c r="AC91" s="107"/>
      <c r="AD91" s="84"/>
      <c r="AE91" s="83"/>
      <c r="AF91" s="84"/>
      <c r="AG91" s="83"/>
      <c r="AH91" s="84"/>
      <c r="AI91" s="39" t="s">
        <v>28</v>
      </c>
      <c r="AJ91" s="39" t="s">
        <v>45</v>
      </c>
      <c r="AK91" s="39" t="s">
        <v>732</v>
      </c>
      <c r="AP91" s="39" t="s">
        <v>733</v>
      </c>
      <c r="AQ91" s="39" t="s">
        <v>734</v>
      </c>
      <c r="AR91" s="39" t="s">
        <v>119</v>
      </c>
      <c r="AS91" s="39" t="s">
        <v>32</v>
      </c>
      <c r="AU91" s="44">
        <v>6285779999546</v>
      </c>
      <c r="AX91" s="39" t="s">
        <v>735</v>
      </c>
      <c r="AZ91" s="39" t="s">
        <v>704</v>
      </c>
      <c r="BA91" s="39" t="s">
        <v>1909</v>
      </c>
      <c r="BB91" s="39" t="s">
        <v>705</v>
      </c>
      <c r="BC91" s="39" t="s">
        <v>1929</v>
      </c>
      <c r="BD91" s="39" t="b">
        <v>1</v>
      </c>
      <c r="BE91" s="39" t="b">
        <v>1</v>
      </c>
      <c r="BF91" s="39" t="s">
        <v>730</v>
      </c>
      <c r="BG91" s="39" t="s">
        <v>731</v>
      </c>
      <c r="BH91" s="39" t="s">
        <v>2176</v>
      </c>
      <c r="BI91" s="39" t="s">
        <v>2177</v>
      </c>
      <c r="BJ91" s="39" t="b">
        <v>1</v>
      </c>
      <c r="BK91" s="39" t="b">
        <v>1</v>
      </c>
      <c r="BN91" s="39">
        <v>0</v>
      </c>
      <c r="BO91" s="39" t="s">
        <v>2779</v>
      </c>
      <c r="BP91" s="39" t="s">
        <v>2806</v>
      </c>
    </row>
    <row r="92" spans="1:68">
      <c r="A92" s="39" t="s">
        <v>20</v>
      </c>
      <c r="B92" s="39" t="s">
        <v>21</v>
      </c>
      <c r="C92" s="39" t="s">
        <v>2752</v>
      </c>
      <c r="D92" s="39" t="s">
        <v>702</v>
      </c>
      <c r="E92" s="39" t="s">
        <v>703</v>
      </c>
      <c r="F92" s="39" t="s">
        <v>704</v>
      </c>
      <c r="G92" s="39" t="s">
        <v>705</v>
      </c>
      <c r="H92" s="39" t="s">
        <v>695</v>
      </c>
      <c r="I92" s="39" t="b">
        <v>0</v>
      </c>
      <c r="J92" s="39" t="s">
        <v>695</v>
      </c>
      <c r="K92" s="39" t="b">
        <v>0</v>
      </c>
      <c r="L92" s="39" t="s">
        <v>742</v>
      </c>
      <c r="M92" s="39" t="s">
        <v>743</v>
      </c>
      <c r="N92" s="39" t="s">
        <v>2508</v>
      </c>
      <c r="P92" s="39" t="s">
        <v>2508</v>
      </c>
      <c r="R92" s="39" t="s">
        <v>705</v>
      </c>
      <c r="S92" s="39" t="b">
        <f t="shared" si="2"/>
        <v>1</v>
      </c>
      <c r="T92" s="39" t="s">
        <v>704</v>
      </c>
      <c r="U92" s="39" t="b">
        <f t="shared" si="3"/>
        <v>1</v>
      </c>
      <c r="V92" s="39" t="s">
        <v>2564</v>
      </c>
      <c r="W92" s="39" t="s">
        <v>2564</v>
      </c>
      <c r="X92" s="83" t="s">
        <v>742</v>
      </c>
      <c r="Y92" s="84" t="s">
        <v>743</v>
      </c>
      <c r="Z92" s="83" t="s">
        <v>2508</v>
      </c>
      <c r="AA92" s="84" t="s">
        <v>2508</v>
      </c>
      <c r="AB92" s="108"/>
      <c r="AC92" s="107"/>
      <c r="AD92" s="84"/>
      <c r="AE92" s="83"/>
      <c r="AF92" s="84"/>
      <c r="AG92" s="83"/>
      <c r="AH92" s="84"/>
      <c r="AI92" s="39" t="s">
        <v>28</v>
      </c>
      <c r="AJ92" s="39" t="s">
        <v>45</v>
      </c>
      <c r="AK92" s="39" t="s">
        <v>744</v>
      </c>
      <c r="AP92" s="39" t="s">
        <v>745</v>
      </c>
      <c r="AQ92" s="39" t="s">
        <v>746</v>
      </c>
      <c r="AR92" s="39" t="s">
        <v>68</v>
      </c>
      <c r="AS92" s="39" t="s">
        <v>32</v>
      </c>
      <c r="AU92" s="44">
        <v>62856956664997</v>
      </c>
      <c r="AX92" s="39" t="s">
        <v>747</v>
      </c>
      <c r="AZ92" s="39" t="s">
        <v>704</v>
      </c>
      <c r="BA92" s="39" t="s">
        <v>1909</v>
      </c>
      <c r="BB92" s="39" t="s">
        <v>705</v>
      </c>
      <c r="BC92" s="39" t="s">
        <v>1929</v>
      </c>
      <c r="BD92" s="39" t="b">
        <v>1</v>
      </c>
      <c r="BE92" s="39" t="b">
        <v>1</v>
      </c>
      <c r="BF92" s="39" t="s">
        <v>742</v>
      </c>
      <c r="BG92" s="39" t="s">
        <v>743</v>
      </c>
      <c r="BH92" s="39" t="s">
        <v>2180</v>
      </c>
      <c r="BI92" s="39" t="s">
        <v>2181</v>
      </c>
      <c r="BJ92" s="39" t="b">
        <v>1</v>
      </c>
      <c r="BK92" s="39" t="b">
        <v>1</v>
      </c>
      <c r="BN92" s="39">
        <v>0</v>
      </c>
      <c r="BO92" s="39" t="s">
        <v>2779</v>
      </c>
      <c r="BP92" s="39" t="s">
        <v>2806</v>
      </c>
    </row>
    <row r="93" spans="1:68">
      <c r="A93" s="39" t="s">
        <v>20</v>
      </c>
      <c r="B93" s="39" t="s">
        <v>21</v>
      </c>
      <c r="C93" s="39" t="s">
        <v>2752</v>
      </c>
      <c r="D93" s="39" t="s">
        <v>702</v>
      </c>
      <c r="E93" s="39" t="s">
        <v>703</v>
      </c>
      <c r="F93" s="39" t="s">
        <v>704</v>
      </c>
      <c r="G93" s="39" t="s">
        <v>705</v>
      </c>
      <c r="H93" s="39" t="s">
        <v>695</v>
      </c>
      <c r="I93" s="39" t="b">
        <v>0</v>
      </c>
      <c r="J93" s="39" t="s">
        <v>695</v>
      </c>
      <c r="K93" s="39" t="b">
        <v>0</v>
      </c>
      <c r="L93" s="39" t="s">
        <v>760</v>
      </c>
      <c r="M93" s="39" t="s">
        <v>761</v>
      </c>
      <c r="N93" s="39" t="s">
        <v>2512</v>
      </c>
      <c r="P93" s="39" t="s">
        <v>2508</v>
      </c>
      <c r="R93" s="39" t="s">
        <v>705</v>
      </c>
      <c r="S93" s="39" t="b">
        <f t="shared" si="2"/>
        <v>1</v>
      </c>
      <c r="U93" s="39" t="b">
        <f t="shared" si="3"/>
        <v>0</v>
      </c>
      <c r="V93" s="39" t="s">
        <v>2562</v>
      </c>
      <c r="W93" s="39" t="s">
        <v>2564</v>
      </c>
      <c r="X93" s="83" t="s">
        <v>760</v>
      </c>
      <c r="Y93" s="84" t="s">
        <v>761</v>
      </c>
      <c r="Z93" s="83" t="s">
        <v>2508</v>
      </c>
      <c r="AA93" s="84" t="s">
        <v>2508</v>
      </c>
      <c r="AB93" s="108"/>
      <c r="AC93" s="107"/>
      <c r="AD93" s="84"/>
      <c r="AE93" s="83"/>
      <c r="AF93" s="84"/>
      <c r="AG93" s="83"/>
      <c r="AH93" s="84"/>
      <c r="AI93" s="39" t="s">
        <v>28</v>
      </c>
      <c r="AJ93" s="39" t="s">
        <v>45</v>
      </c>
      <c r="AK93" s="39" t="s">
        <v>762</v>
      </c>
      <c r="AP93" s="39" t="s">
        <v>763</v>
      </c>
      <c r="AQ93" s="39" t="s">
        <v>764</v>
      </c>
      <c r="AR93" s="39" t="s">
        <v>119</v>
      </c>
      <c r="AS93" s="39" t="s">
        <v>32</v>
      </c>
      <c r="AU93" s="44">
        <v>6285781633357</v>
      </c>
      <c r="AX93" s="39" t="s">
        <v>765</v>
      </c>
      <c r="AZ93" s="39" t="s">
        <v>704</v>
      </c>
      <c r="BA93" s="39" t="s">
        <v>1909</v>
      </c>
      <c r="BB93" s="39" t="s">
        <v>705</v>
      </c>
      <c r="BC93" s="39" t="s">
        <v>1929</v>
      </c>
      <c r="BD93" s="39" t="b">
        <v>1</v>
      </c>
      <c r="BE93" s="39" t="b">
        <v>1</v>
      </c>
      <c r="BF93" s="39" t="s">
        <v>760</v>
      </c>
      <c r="BG93" s="39" t="s">
        <v>761</v>
      </c>
      <c r="BH93" s="39" t="s">
        <v>2186</v>
      </c>
      <c r="BI93" s="39" t="s">
        <v>2187</v>
      </c>
      <c r="BJ93" s="39" t="b">
        <v>1</v>
      </c>
      <c r="BK93" s="39" t="b">
        <v>1</v>
      </c>
      <c r="BN93" s="39">
        <v>0</v>
      </c>
      <c r="BO93" s="39" t="s">
        <v>2779</v>
      </c>
      <c r="BP93" s="39" t="s">
        <v>2806</v>
      </c>
    </row>
    <row r="94" spans="1:68">
      <c r="A94" s="39" t="s">
        <v>20</v>
      </c>
      <c r="B94" s="39" t="s">
        <v>21</v>
      </c>
      <c r="C94" s="39" t="s">
        <v>2752</v>
      </c>
      <c r="D94" s="39" t="s">
        <v>702</v>
      </c>
      <c r="E94" s="39" t="s">
        <v>703</v>
      </c>
      <c r="F94" s="39" t="s">
        <v>704</v>
      </c>
      <c r="G94" s="39" t="s">
        <v>705</v>
      </c>
      <c r="H94" s="39" t="s">
        <v>695</v>
      </c>
      <c r="I94" s="39" t="b">
        <v>0</v>
      </c>
      <c r="J94" s="39" t="s">
        <v>695</v>
      </c>
      <c r="K94" s="39" t="b">
        <v>0</v>
      </c>
      <c r="L94" s="39" t="s">
        <v>777</v>
      </c>
      <c r="M94" s="39" t="s">
        <v>778</v>
      </c>
      <c r="N94" s="39" t="s">
        <v>2508</v>
      </c>
      <c r="P94" s="39" t="s">
        <v>2508</v>
      </c>
      <c r="R94" s="39" t="s">
        <v>705</v>
      </c>
      <c r="S94" s="39" t="b">
        <f t="shared" si="2"/>
        <v>1</v>
      </c>
      <c r="T94" s="39" t="s">
        <v>704</v>
      </c>
      <c r="U94" s="39" t="b">
        <f t="shared" si="3"/>
        <v>1</v>
      </c>
      <c r="V94" s="39" t="s">
        <v>2564</v>
      </c>
      <c r="W94" s="39" t="s">
        <v>2564</v>
      </c>
      <c r="X94" s="83" t="s">
        <v>777</v>
      </c>
      <c r="Y94" s="84" t="s">
        <v>778</v>
      </c>
      <c r="Z94" s="83" t="s">
        <v>2508</v>
      </c>
      <c r="AA94" s="84" t="s">
        <v>2508</v>
      </c>
      <c r="AB94" s="108"/>
      <c r="AC94" s="107"/>
      <c r="AD94" s="84"/>
      <c r="AE94" s="83"/>
      <c r="AF94" s="84"/>
      <c r="AG94" s="83"/>
      <c r="AH94" s="84"/>
      <c r="AI94" s="39" t="s">
        <v>28</v>
      </c>
      <c r="AJ94" s="39" t="s">
        <v>45</v>
      </c>
      <c r="AK94" s="39" t="s">
        <v>779</v>
      </c>
      <c r="AP94" s="39" t="s">
        <v>780</v>
      </c>
      <c r="AQ94" s="39" t="s">
        <v>781</v>
      </c>
      <c r="AR94" s="39" t="s">
        <v>119</v>
      </c>
      <c r="AS94" s="39" t="s">
        <v>32</v>
      </c>
      <c r="AU94" s="44">
        <v>62857743726347</v>
      </c>
      <c r="AX94" s="39" t="s">
        <v>782</v>
      </c>
      <c r="AZ94" s="39" t="s">
        <v>704</v>
      </c>
      <c r="BA94" s="39" t="s">
        <v>1909</v>
      </c>
      <c r="BB94" s="39" t="s">
        <v>705</v>
      </c>
      <c r="BC94" s="39" t="s">
        <v>1929</v>
      </c>
      <c r="BD94" s="39" t="b">
        <v>1</v>
      </c>
      <c r="BE94" s="39" t="b">
        <v>1</v>
      </c>
      <c r="BF94" s="39" t="s">
        <v>777</v>
      </c>
      <c r="BG94" s="39" t="s">
        <v>778</v>
      </c>
      <c r="BH94" s="39" t="s">
        <v>2192</v>
      </c>
      <c r="BI94" s="39" t="s">
        <v>2193</v>
      </c>
      <c r="BJ94" s="39" t="b">
        <v>1</v>
      </c>
      <c r="BK94" s="39" t="b">
        <v>1</v>
      </c>
      <c r="BN94" s="39">
        <v>0</v>
      </c>
      <c r="BO94" s="39" t="s">
        <v>2779</v>
      </c>
      <c r="BP94" s="39" t="s">
        <v>2806</v>
      </c>
    </row>
    <row r="95" spans="1:68">
      <c r="A95" s="39" t="s">
        <v>20</v>
      </c>
      <c r="B95" s="39" t="s">
        <v>21</v>
      </c>
      <c r="C95" s="39" t="s">
        <v>2752</v>
      </c>
      <c r="D95" s="39" t="s">
        <v>702</v>
      </c>
      <c r="E95" s="39" t="s">
        <v>703</v>
      </c>
      <c r="F95" s="39" t="s">
        <v>704</v>
      </c>
      <c r="G95" s="39" t="s">
        <v>705</v>
      </c>
      <c r="H95" s="39" t="s">
        <v>695</v>
      </c>
      <c r="I95" s="39" t="b">
        <v>0</v>
      </c>
      <c r="J95" s="39" t="s">
        <v>695</v>
      </c>
      <c r="K95" s="39" t="b">
        <v>0</v>
      </c>
      <c r="L95" s="39" t="s">
        <v>1720</v>
      </c>
      <c r="M95" s="39" t="s">
        <v>1719</v>
      </c>
      <c r="N95" s="39" t="s">
        <v>2508</v>
      </c>
      <c r="P95" s="39" t="s">
        <v>2543</v>
      </c>
      <c r="Q95" s="39" t="s">
        <v>2540</v>
      </c>
      <c r="R95" s="39" t="s">
        <v>2540</v>
      </c>
      <c r="S95" s="39" t="b">
        <f t="shared" si="2"/>
        <v>0</v>
      </c>
      <c r="T95" s="39" t="s">
        <v>704</v>
      </c>
      <c r="U95" s="39" t="b">
        <f t="shared" si="3"/>
        <v>1</v>
      </c>
      <c r="V95" s="39" t="s">
        <v>2564</v>
      </c>
      <c r="W95" s="39" t="s">
        <v>2561</v>
      </c>
      <c r="X95" s="83" t="s">
        <v>1720</v>
      </c>
      <c r="Y95" s="84" t="s">
        <v>1719</v>
      </c>
      <c r="Z95" s="83" t="s">
        <v>2508</v>
      </c>
      <c r="AA95" s="84" t="s">
        <v>2508</v>
      </c>
      <c r="AB95" s="108"/>
      <c r="AC95" s="107"/>
      <c r="AD95" s="84"/>
      <c r="AE95" s="83"/>
      <c r="AF95" s="84"/>
      <c r="AG95" s="83"/>
      <c r="AH95" s="84"/>
      <c r="AI95" s="39" t="s">
        <v>28</v>
      </c>
      <c r="AJ95" s="39" t="s">
        <v>45</v>
      </c>
      <c r="AK95" s="39" t="s">
        <v>1721</v>
      </c>
      <c r="AP95" s="39" t="s">
        <v>1722</v>
      </c>
      <c r="AQ95" s="39" t="s">
        <v>1723</v>
      </c>
      <c r="AR95" s="39" t="s">
        <v>68</v>
      </c>
      <c r="AS95" s="39" t="s">
        <v>32</v>
      </c>
      <c r="AU95" s="44">
        <v>62895386577171</v>
      </c>
      <c r="AX95" s="39" t="s">
        <v>1724</v>
      </c>
      <c r="AZ95" s="39" t="s">
        <v>704</v>
      </c>
      <c r="BA95" s="39" t="s">
        <v>1909</v>
      </c>
      <c r="BB95" s="39" t="s">
        <v>705</v>
      </c>
      <c r="BC95" s="39" t="s">
        <v>1929</v>
      </c>
      <c r="BD95" s="39" t="b">
        <v>1</v>
      </c>
      <c r="BE95" s="39" t="b">
        <v>1</v>
      </c>
      <c r="BF95" s="39" t="s">
        <v>1720</v>
      </c>
      <c r="BG95" s="39" t="s">
        <v>1719</v>
      </c>
      <c r="BH95" s="39" t="s">
        <v>2450</v>
      </c>
      <c r="BI95" s="39" t="s">
        <v>2451</v>
      </c>
      <c r="BJ95" s="39" t="b">
        <v>1</v>
      </c>
      <c r="BK95" s="39" t="b">
        <v>1</v>
      </c>
      <c r="BN95" s="39">
        <v>0</v>
      </c>
      <c r="BO95" s="39" t="s">
        <v>2779</v>
      </c>
      <c r="BP95" s="39" t="s">
        <v>2806</v>
      </c>
    </row>
    <row r="96" spans="1:68">
      <c r="A96" s="39" t="s">
        <v>20</v>
      </c>
      <c r="B96" s="39" t="s">
        <v>21</v>
      </c>
      <c r="C96" s="39" t="s">
        <v>2752</v>
      </c>
      <c r="D96" s="39" t="s">
        <v>675</v>
      </c>
      <c r="E96" s="39" t="s">
        <v>676</v>
      </c>
      <c r="F96" s="39" t="s">
        <v>677</v>
      </c>
      <c r="G96" s="39" t="s">
        <v>678</v>
      </c>
      <c r="H96" s="39" t="s">
        <v>63</v>
      </c>
      <c r="I96" s="39" t="b">
        <v>0</v>
      </c>
      <c r="J96" s="39" t="s">
        <v>63</v>
      </c>
      <c r="K96" s="39" t="b">
        <v>0</v>
      </c>
      <c r="L96" s="39" t="s">
        <v>679</v>
      </c>
      <c r="M96" s="39" t="s">
        <v>680</v>
      </c>
      <c r="N96" s="39" t="s">
        <v>2508</v>
      </c>
      <c r="P96" s="39" t="s">
        <v>2508</v>
      </c>
      <c r="R96" s="39" t="s">
        <v>678</v>
      </c>
      <c r="S96" s="39" t="b">
        <f t="shared" si="2"/>
        <v>1</v>
      </c>
      <c r="T96" s="39" t="s">
        <v>677</v>
      </c>
      <c r="U96" s="39" t="b">
        <f t="shared" si="3"/>
        <v>1</v>
      </c>
      <c r="V96" s="39" t="s">
        <v>2564</v>
      </c>
      <c r="W96" s="39" t="s">
        <v>2564</v>
      </c>
      <c r="X96" s="83" t="s">
        <v>679</v>
      </c>
      <c r="Y96" s="84" t="s">
        <v>680</v>
      </c>
      <c r="Z96" s="83" t="s">
        <v>2508</v>
      </c>
      <c r="AA96" s="84" t="s">
        <v>2508</v>
      </c>
      <c r="AB96" s="108"/>
      <c r="AC96" s="107"/>
      <c r="AD96" s="84"/>
      <c r="AE96" s="83"/>
      <c r="AF96" s="84"/>
      <c r="AG96" s="83"/>
      <c r="AH96" s="84"/>
      <c r="AI96" s="39" t="s">
        <v>28</v>
      </c>
      <c r="AJ96" s="39" t="s">
        <v>45</v>
      </c>
      <c r="AK96" s="39" t="s">
        <v>681</v>
      </c>
      <c r="AP96" s="39" t="s">
        <v>682</v>
      </c>
      <c r="AQ96" s="39" t="s">
        <v>683</v>
      </c>
      <c r="AR96" s="39" t="s">
        <v>68</v>
      </c>
      <c r="AS96" s="39" t="s">
        <v>32</v>
      </c>
      <c r="AU96" s="44">
        <v>6285880815199</v>
      </c>
      <c r="AX96" s="39" t="s">
        <v>684</v>
      </c>
      <c r="AZ96" s="39" t="s">
        <v>677</v>
      </c>
      <c r="BA96" s="39" t="s">
        <v>1902</v>
      </c>
      <c r="BB96" s="39" t="s">
        <v>678</v>
      </c>
      <c r="BC96" s="39" t="s">
        <v>1921</v>
      </c>
      <c r="BD96" s="39" t="b">
        <v>1</v>
      </c>
      <c r="BE96" s="39" t="b">
        <v>1</v>
      </c>
      <c r="BF96" s="39" t="s">
        <v>679</v>
      </c>
      <c r="BG96" s="39" t="s">
        <v>680</v>
      </c>
      <c r="BH96" s="39" t="s">
        <v>1994</v>
      </c>
      <c r="BI96" s="39" t="s">
        <v>1995</v>
      </c>
      <c r="BJ96" s="39" t="b">
        <v>1</v>
      </c>
      <c r="BK96" s="39" t="b">
        <v>1</v>
      </c>
      <c r="BN96" s="39">
        <v>0</v>
      </c>
      <c r="BO96" s="39" t="s">
        <v>2780</v>
      </c>
      <c r="BP96" s="39" t="s">
        <v>2806</v>
      </c>
    </row>
    <row r="97" spans="1:68">
      <c r="A97" s="39" t="s">
        <v>20</v>
      </c>
      <c r="B97" s="39" t="s">
        <v>21</v>
      </c>
      <c r="C97" s="39" t="s">
        <v>2752</v>
      </c>
      <c r="D97" s="39" t="s">
        <v>675</v>
      </c>
      <c r="E97" s="39" t="s">
        <v>676</v>
      </c>
      <c r="F97" s="39" t="s">
        <v>677</v>
      </c>
      <c r="G97" s="39" t="s">
        <v>678</v>
      </c>
      <c r="H97" s="39" t="s">
        <v>63</v>
      </c>
      <c r="I97" s="39" t="b">
        <v>0</v>
      </c>
      <c r="J97" s="39" t="s">
        <v>63</v>
      </c>
      <c r="K97" s="39" t="b">
        <v>0</v>
      </c>
      <c r="L97" s="39" t="s">
        <v>685</v>
      </c>
      <c r="M97" s="39" t="s">
        <v>686</v>
      </c>
      <c r="N97" s="39" t="s">
        <v>2509</v>
      </c>
      <c r="P97" s="39" t="s">
        <v>2508</v>
      </c>
      <c r="R97" s="39" t="s">
        <v>678</v>
      </c>
      <c r="S97" s="39" t="b">
        <f t="shared" si="2"/>
        <v>1</v>
      </c>
      <c r="T97" s="39" t="s">
        <v>677</v>
      </c>
      <c r="U97" s="39" t="b">
        <f t="shared" si="3"/>
        <v>1</v>
      </c>
      <c r="V97" s="39" t="s">
        <v>2564</v>
      </c>
      <c r="W97" s="39" t="s">
        <v>2564</v>
      </c>
      <c r="X97" s="83" t="s">
        <v>685</v>
      </c>
      <c r="Y97" s="84" t="s">
        <v>686</v>
      </c>
      <c r="Z97" s="83" t="s">
        <v>2508</v>
      </c>
      <c r="AA97" s="84" t="s">
        <v>2508</v>
      </c>
      <c r="AB97" s="108"/>
      <c r="AC97" s="107"/>
      <c r="AD97" s="84"/>
      <c r="AE97" s="83"/>
      <c r="AF97" s="84"/>
      <c r="AG97" s="83"/>
      <c r="AH97" s="84"/>
      <c r="AI97" s="39" t="s">
        <v>28</v>
      </c>
      <c r="AJ97" s="39" t="s">
        <v>45</v>
      </c>
      <c r="AK97" s="39" t="s">
        <v>687</v>
      </c>
      <c r="AP97" s="39" t="s">
        <v>688</v>
      </c>
      <c r="AQ97" s="39" t="s">
        <v>689</v>
      </c>
      <c r="AR97" s="39" t="s">
        <v>68</v>
      </c>
      <c r="AS97" s="39" t="s">
        <v>32</v>
      </c>
      <c r="AU97" s="44">
        <v>6280086422502</v>
      </c>
      <c r="AX97" s="39" t="s">
        <v>690</v>
      </c>
      <c r="AZ97" s="39" t="s">
        <v>677</v>
      </c>
      <c r="BA97" s="39" t="s">
        <v>1902</v>
      </c>
      <c r="BB97" s="39" t="s">
        <v>678</v>
      </c>
      <c r="BC97" s="39" t="s">
        <v>1921</v>
      </c>
      <c r="BD97" s="39" t="b">
        <v>1</v>
      </c>
      <c r="BE97" s="39" t="b">
        <v>1</v>
      </c>
      <c r="BF97" s="39" t="s">
        <v>685</v>
      </c>
      <c r="BG97" s="39" t="s">
        <v>686</v>
      </c>
      <c r="BH97" s="39" t="s">
        <v>1996</v>
      </c>
      <c r="BI97" s="39" t="s">
        <v>1997</v>
      </c>
      <c r="BJ97" s="39" t="b">
        <v>1</v>
      </c>
      <c r="BK97" s="39" t="b">
        <v>1</v>
      </c>
      <c r="BN97" s="39">
        <v>0</v>
      </c>
      <c r="BO97" s="39" t="s">
        <v>2780</v>
      </c>
      <c r="BP97" s="39" t="s">
        <v>2806</v>
      </c>
    </row>
    <row r="98" spans="1:68">
      <c r="A98" s="39" t="s">
        <v>20</v>
      </c>
      <c r="B98" s="39" t="s">
        <v>21</v>
      </c>
      <c r="C98" s="39" t="s">
        <v>2752</v>
      </c>
      <c r="D98" s="39" t="s">
        <v>675</v>
      </c>
      <c r="E98" s="39" t="s">
        <v>676</v>
      </c>
      <c r="F98" s="39" t="s">
        <v>677</v>
      </c>
      <c r="G98" s="39" t="s">
        <v>678</v>
      </c>
      <c r="H98" s="39" t="s">
        <v>63</v>
      </c>
      <c r="I98" s="39" t="b">
        <v>0</v>
      </c>
      <c r="J98" s="39" t="s">
        <v>63</v>
      </c>
      <c r="K98" s="39" t="b">
        <v>0</v>
      </c>
      <c r="L98" s="39" t="s">
        <v>1756</v>
      </c>
      <c r="M98" s="39" t="s">
        <v>1755</v>
      </c>
      <c r="N98" s="39" t="s">
        <v>2508</v>
      </c>
      <c r="P98" s="39" t="s">
        <v>2543</v>
      </c>
      <c r="Q98" s="39" t="s">
        <v>2539</v>
      </c>
      <c r="R98" s="39" t="s">
        <v>2539</v>
      </c>
      <c r="S98" s="39" t="b">
        <f t="shared" si="2"/>
        <v>0</v>
      </c>
      <c r="T98" s="39" t="s">
        <v>677</v>
      </c>
      <c r="U98" s="39" t="b">
        <f t="shared" si="3"/>
        <v>1</v>
      </c>
      <c r="V98" s="39" t="s">
        <v>2564</v>
      </c>
      <c r="W98" s="39" t="s">
        <v>2561</v>
      </c>
      <c r="X98" s="83" t="s">
        <v>1756</v>
      </c>
      <c r="Y98" s="84" t="s">
        <v>1755</v>
      </c>
      <c r="Z98" s="83" t="s">
        <v>2508</v>
      </c>
      <c r="AA98" s="84" t="s">
        <v>2508</v>
      </c>
      <c r="AB98" s="108"/>
      <c r="AC98" s="107"/>
      <c r="AD98" s="84"/>
      <c r="AE98" s="83"/>
      <c r="AF98" s="84"/>
      <c r="AG98" s="83"/>
      <c r="AH98" s="84"/>
      <c r="AI98" s="39" t="s">
        <v>28</v>
      </c>
      <c r="AJ98" s="39" t="s">
        <v>45</v>
      </c>
      <c r="AK98" s="39" t="s">
        <v>1757</v>
      </c>
      <c r="AP98" s="39" t="s">
        <v>1758</v>
      </c>
      <c r="AQ98" s="39" t="s">
        <v>1759</v>
      </c>
      <c r="AR98" s="39" t="s">
        <v>68</v>
      </c>
      <c r="AS98" s="39" t="s">
        <v>32</v>
      </c>
      <c r="AU98" s="44">
        <v>6289507343824</v>
      </c>
      <c r="AX98" s="39" t="s">
        <v>1760</v>
      </c>
      <c r="AZ98" s="39" t="s">
        <v>677</v>
      </c>
      <c r="BA98" s="39" t="s">
        <v>1902</v>
      </c>
      <c r="BB98" s="39" t="s">
        <v>678</v>
      </c>
      <c r="BC98" s="39" t="s">
        <v>1921</v>
      </c>
      <c r="BD98" s="39" t="b">
        <v>1</v>
      </c>
      <c r="BE98" s="39" t="b">
        <v>1</v>
      </c>
      <c r="BF98" s="39" t="s">
        <v>1756</v>
      </c>
      <c r="BG98" s="39" t="s">
        <v>1755</v>
      </c>
      <c r="BH98" s="39" t="s">
        <v>1998</v>
      </c>
      <c r="BI98" s="39" t="s">
        <v>1999</v>
      </c>
      <c r="BJ98" s="39" t="b">
        <v>1</v>
      </c>
      <c r="BK98" s="39" t="b">
        <v>1</v>
      </c>
      <c r="BN98" s="39">
        <v>0</v>
      </c>
      <c r="BO98" s="39" t="s">
        <v>2780</v>
      </c>
      <c r="BP98" s="39" t="s">
        <v>2806</v>
      </c>
    </row>
    <row r="99" spans="1:68">
      <c r="A99" s="39" t="s">
        <v>20</v>
      </c>
      <c r="B99" s="39" t="s">
        <v>21</v>
      </c>
      <c r="C99" s="39" t="s">
        <v>2752</v>
      </c>
      <c r="D99" s="39" t="s">
        <v>675</v>
      </c>
      <c r="E99" s="39" t="s">
        <v>676</v>
      </c>
      <c r="F99" s="39" t="s">
        <v>677</v>
      </c>
      <c r="G99" s="39" t="s">
        <v>678</v>
      </c>
      <c r="H99" s="39" t="s">
        <v>63</v>
      </c>
      <c r="I99" s="39" t="b">
        <v>0</v>
      </c>
      <c r="J99" s="39" t="s">
        <v>63</v>
      </c>
      <c r="K99" s="39" t="b">
        <v>0</v>
      </c>
      <c r="L99" s="39" t="s">
        <v>1768</v>
      </c>
      <c r="M99" s="39" t="s">
        <v>1767</v>
      </c>
      <c r="N99" s="39" t="s">
        <v>2508</v>
      </c>
      <c r="P99" s="39" t="s">
        <v>2543</v>
      </c>
      <c r="Q99" s="39" t="s">
        <v>2539</v>
      </c>
      <c r="R99" s="39" t="s">
        <v>2539</v>
      </c>
      <c r="S99" s="39" t="b">
        <f t="shared" si="2"/>
        <v>0</v>
      </c>
      <c r="T99" s="39" t="s">
        <v>677</v>
      </c>
      <c r="U99" s="39" t="b">
        <f t="shared" si="3"/>
        <v>1</v>
      </c>
      <c r="V99" s="39" t="s">
        <v>2564</v>
      </c>
      <c r="W99" s="39" t="s">
        <v>2561</v>
      </c>
      <c r="X99" s="83" t="s">
        <v>1768</v>
      </c>
      <c r="Y99" s="84" t="s">
        <v>1767</v>
      </c>
      <c r="Z99" s="83" t="s">
        <v>2508</v>
      </c>
      <c r="AA99" s="84" t="s">
        <v>2509</v>
      </c>
      <c r="AB99" s="108"/>
      <c r="AC99" s="107"/>
      <c r="AD99" s="84"/>
      <c r="AE99" s="83"/>
      <c r="AF99" s="84"/>
      <c r="AG99" s="83"/>
      <c r="AH99" s="84"/>
      <c r="AI99" s="39" t="s">
        <v>28</v>
      </c>
      <c r="AJ99" s="39" t="s">
        <v>45</v>
      </c>
      <c r="AK99" s="39" t="s">
        <v>1769</v>
      </c>
      <c r="AP99" s="39" t="s">
        <v>1770</v>
      </c>
      <c r="AQ99" s="39" t="s">
        <v>1771</v>
      </c>
      <c r="AR99" s="39" t="s">
        <v>68</v>
      </c>
      <c r="AS99" s="39" t="s">
        <v>32</v>
      </c>
      <c r="AU99" s="44">
        <v>6289507363485</v>
      </c>
      <c r="AX99" s="39" t="s">
        <v>1772</v>
      </c>
      <c r="AZ99" s="39" t="s">
        <v>677</v>
      </c>
      <c r="BA99" s="39" t="s">
        <v>1902</v>
      </c>
      <c r="BB99" s="39" t="s">
        <v>678</v>
      </c>
      <c r="BC99" s="39" t="s">
        <v>1921</v>
      </c>
      <c r="BD99" s="39" t="b">
        <v>1</v>
      </c>
      <c r="BE99" s="39" t="b">
        <v>1</v>
      </c>
      <c r="BF99" s="39" t="s">
        <v>1768</v>
      </c>
      <c r="BG99" s="39" t="s">
        <v>1767</v>
      </c>
      <c r="BH99" s="39" t="s">
        <v>2000</v>
      </c>
      <c r="BI99" s="39" t="s">
        <v>2001</v>
      </c>
      <c r="BJ99" s="39" t="b">
        <v>1</v>
      </c>
      <c r="BK99" s="39" t="b">
        <v>1</v>
      </c>
      <c r="BN99" s="39">
        <v>0</v>
      </c>
      <c r="BO99" s="39" t="s">
        <v>2780</v>
      </c>
      <c r="BP99" s="39" t="s">
        <v>2806</v>
      </c>
    </row>
    <row r="100" spans="1:68">
      <c r="A100" s="39" t="s">
        <v>20</v>
      </c>
      <c r="B100" s="39" t="s">
        <v>21</v>
      </c>
      <c r="C100" s="39" t="s">
        <v>2752</v>
      </c>
      <c r="D100" s="39" t="s">
        <v>675</v>
      </c>
      <c r="E100" s="39" t="s">
        <v>676</v>
      </c>
      <c r="F100" s="39" t="s">
        <v>677</v>
      </c>
      <c r="G100" s="39" t="s">
        <v>678</v>
      </c>
      <c r="H100" s="39" t="s">
        <v>63</v>
      </c>
      <c r="I100" s="39" t="b">
        <v>0</v>
      </c>
      <c r="J100" s="39" t="s">
        <v>63</v>
      </c>
      <c r="K100" s="39" t="b">
        <v>0</v>
      </c>
      <c r="L100" s="39" t="s">
        <v>1893</v>
      </c>
      <c r="M100" s="39" t="s">
        <v>1892</v>
      </c>
      <c r="N100" s="39" t="s">
        <v>2508</v>
      </c>
      <c r="P100" s="39" t="s">
        <v>2543</v>
      </c>
      <c r="Q100" s="39" t="s">
        <v>2539</v>
      </c>
      <c r="R100" s="39" t="s">
        <v>2539</v>
      </c>
      <c r="S100" s="39" t="b">
        <f t="shared" si="2"/>
        <v>0</v>
      </c>
      <c r="T100" s="39" t="s">
        <v>677</v>
      </c>
      <c r="U100" s="39" t="b">
        <f t="shared" si="3"/>
        <v>1</v>
      </c>
      <c r="V100" s="39" t="s">
        <v>2564</v>
      </c>
      <c r="W100" s="39" t="s">
        <v>2561</v>
      </c>
      <c r="X100" s="83" t="s">
        <v>1893</v>
      </c>
      <c r="Y100" s="84" t="s">
        <v>1892</v>
      </c>
      <c r="Z100" s="83" t="s">
        <v>2508</v>
      </c>
      <c r="AA100" s="84" t="s">
        <v>2508</v>
      </c>
      <c r="AB100" s="108"/>
      <c r="AC100" s="107"/>
      <c r="AD100" s="84"/>
      <c r="AE100" s="83"/>
      <c r="AF100" s="84"/>
      <c r="AG100" s="83"/>
      <c r="AH100" s="84"/>
      <c r="AI100" s="39" t="s">
        <v>28</v>
      </c>
      <c r="AJ100" s="39" t="s">
        <v>45</v>
      </c>
      <c r="AK100" s="39" t="s">
        <v>1894</v>
      </c>
      <c r="AP100" s="39" t="s">
        <v>1895</v>
      </c>
      <c r="AQ100" s="39" t="s">
        <v>1896</v>
      </c>
      <c r="AR100" s="39" t="s">
        <v>68</v>
      </c>
      <c r="AS100" s="39" t="s">
        <v>32</v>
      </c>
      <c r="AU100" s="44">
        <v>6289602777880</v>
      </c>
      <c r="AX100" s="39" t="s">
        <v>1897</v>
      </c>
      <c r="AZ100" s="39" t="s">
        <v>677</v>
      </c>
      <c r="BA100" s="39" t="s">
        <v>1902</v>
      </c>
      <c r="BB100" s="39" t="s">
        <v>678</v>
      </c>
      <c r="BC100" s="39" t="s">
        <v>1921</v>
      </c>
      <c r="BD100" s="39" t="b">
        <v>1</v>
      </c>
      <c r="BE100" s="39" t="b">
        <v>1</v>
      </c>
      <c r="BF100" s="39" t="s">
        <v>1893</v>
      </c>
      <c r="BG100" s="39" t="s">
        <v>1892</v>
      </c>
      <c r="BH100" s="39" t="s">
        <v>2002</v>
      </c>
      <c r="BI100" s="39" t="s">
        <v>2003</v>
      </c>
      <c r="BJ100" s="39" t="b">
        <v>1</v>
      </c>
      <c r="BK100" s="39" t="b">
        <v>1</v>
      </c>
      <c r="BN100" s="39">
        <v>0</v>
      </c>
      <c r="BO100" s="39" t="s">
        <v>2780</v>
      </c>
      <c r="BP100" s="39" t="s">
        <v>2806</v>
      </c>
    </row>
    <row r="101" spans="1:68">
      <c r="A101" s="39" t="s">
        <v>20</v>
      </c>
      <c r="B101" s="39" t="s">
        <v>21</v>
      </c>
      <c r="C101" s="39" t="s">
        <v>58</v>
      </c>
      <c r="D101" s="39" t="s">
        <v>1097</v>
      </c>
      <c r="E101" s="39" t="s">
        <v>1098</v>
      </c>
      <c r="F101" s="39" t="s">
        <v>1099</v>
      </c>
      <c r="G101" s="39" t="s">
        <v>1100</v>
      </c>
      <c r="H101" s="39" t="s">
        <v>1101</v>
      </c>
      <c r="I101" s="39" t="b">
        <v>0</v>
      </c>
      <c r="J101" s="39" t="s">
        <v>1101</v>
      </c>
      <c r="K101" s="39" t="b">
        <v>0</v>
      </c>
      <c r="L101" s="39" t="s">
        <v>1102</v>
      </c>
      <c r="M101" s="39" t="s">
        <v>1103</v>
      </c>
      <c r="N101" s="39" t="s">
        <v>2508</v>
      </c>
      <c r="P101" s="39" t="s">
        <v>2508</v>
      </c>
      <c r="R101" s="39" t="s">
        <v>1100</v>
      </c>
      <c r="S101" s="39" t="b">
        <f t="shared" si="2"/>
        <v>1</v>
      </c>
      <c r="T101" s="39" t="s">
        <v>1099</v>
      </c>
      <c r="U101" s="39" t="b">
        <f t="shared" si="3"/>
        <v>1</v>
      </c>
      <c r="V101" s="39" t="s">
        <v>2564</v>
      </c>
      <c r="W101" s="39" t="s">
        <v>2564</v>
      </c>
      <c r="X101" s="83" t="s">
        <v>1102</v>
      </c>
      <c r="Y101" s="84" t="s">
        <v>1103</v>
      </c>
      <c r="Z101" s="83" t="s">
        <v>2508</v>
      </c>
      <c r="AA101" s="84" t="s">
        <v>2508</v>
      </c>
      <c r="AB101" s="108"/>
      <c r="AC101" s="107"/>
      <c r="AD101" s="84"/>
      <c r="AE101" s="83"/>
      <c r="AF101" s="84"/>
      <c r="AG101" s="83"/>
      <c r="AH101" s="84"/>
      <c r="AI101" s="39" t="s">
        <v>28</v>
      </c>
      <c r="AJ101" s="39" t="s">
        <v>45</v>
      </c>
      <c r="AK101" s="39" t="s">
        <v>1104</v>
      </c>
      <c r="AP101" s="39" t="s">
        <v>1105</v>
      </c>
      <c r="AQ101" s="39" t="s">
        <v>1106</v>
      </c>
      <c r="AR101" s="39" t="s">
        <v>68</v>
      </c>
      <c r="AS101" s="39" t="s">
        <v>32</v>
      </c>
      <c r="AU101" s="44">
        <v>6285792000083</v>
      </c>
      <c r="AX101" s="39" t="s">
        <v>1107</v>
      </c>
      <c r="AZ101" s="39" t="s">
        <v>1099</v>
      </c>
      <c r="BA101" s="39" t="s">
        <v>1910</v>
      </c>
      <c r="BB101" s="39" t="s">
        <v>1100</v>
      </c>
      <c r="BC101" s="39" t="s">
        <v>1935</v>
      </c>
      <c r="BD101" s="39" t="b">
        <v>1</v>
      </c>
      <c r="BE101" s="39" t="b">
        <v>1</v>
      </c>
      <c r="BF101" s="39" t="s">
        <v>1102</v>
      </c>
      <c r="BG101" s="39" t="s">
        <v>1103</v>
      </c>
      <c r="BH101" s="39" t="s">
        <v>2280</v>
      </c>
      <c r="BI101" s="39" t="s">
        <v>2281</v>
      </c>
      <c r="BJ101" s="39" t="b">
        <v>1</v>
      </c>
      <c r="BK101" s="39" t="b">
        <v>1</v>
      </c>
      <c r="BN101" s="39">
        <v>0</v>
      </c>
      <c r="BO101" s="39" t="s">
        <v>2781</v>
      </c>
      <c r="BP101" s="39" t="s">
        <v>2807</v>
      </c>
    </row>
    <row r="102" spans="1:68">
      <c r="A102" s="39" t="s">
        <v>20</v>
      </c>
      <c r="B102" s="39" t="s">
        <v>21</v>
      </c>
      <c r="C102" s="39" t="s">
        <v>58</v>
      </c>
      <c r="D102" s="39" t="s">
        <v>1097</v>
      </c>
      <c r="E102" s="39" t="s">
        <v>1098</v>
      </c>
      <c r="F102" s="39" t="s">
        <v>1099</v>
      </c>
      <c r="G102" s="39" t="s">
        <v>1100</v>
      </c>
      <c r="H102" s="39" t="s">
        <v>1101</v>
      </c>
      <c r="I102" s="39" t="b">
        <v>0</v>
      </c>
      <c r="J102" s="39" t="s">
        <v>1101</v>
      </c>
      <c r="K102" s="39" t="b">
        <v>0</v>
      </c>
      <c r="L102" s="39" t="s">
        <v>1108</v>
      </c>
      <c r="M102" s="39" t="s">
        <v>1109</v>
      </c>
      <c r="N102" s="39" t="s">
        <v>2508</v>
      </c>
      <c r="P102" s="39" t="s">
        <v>2508</v>
      </c>
      <c r="R102" s="39" t="s">
        <v>1100</v>
      </c>
      <c r="S102" s="39" t="b">
        <f t="shared" si="2"/>
        <v>1</v>
      </c>
      <c r="T102" s="39" t="s">
        <v>1099</v>
      </c>
      <c r="U102" s="39" t="b">
        <f t="shared" si="3"/>
        <v>1</v>
      </c>
      <c r="V102" s="39" t="s">
        <v>2564</v>
      </c>
      <c r="W102" s="39" t="s">
        <v>2564</v>
      </c>
      <c r="X102" s="83" t="s">
        <v>1108</v>
      </c>
      <c r="Y102" s="84" t="s">
        <v>1109</v>
      </c>
      <c r="Z102" s="83" t="s">
        <v>2508</v>
      </c>
      <c r="AA102" s="84" t="s">
        <v>2508</v>
      </c>
      <c r="AB102" s="108"/>
      <c r="AC102" s="107"/>
      <c r="AD102" s="84"/>
      <c r="AE102" s="83"/>
      <c r="AF102" s="84"/>
      <c r="AG102" s="83"/>
      <c r="AH102" s="84"/>
      <c r="AI102" s="39" t="s">
        <v>28</v>
      </c>
      <c r="AJ102" s="39" t="s">
        <v>45</v>
      </c>
      <c r="AK102" s="39" t="s">
        <v>1110</v>
      </c>
      <c r="AP102" s="39" t="s">
        <v>1111</v>
      </c>
      <c r="AQ102" s="39" t="s">
        <v>1112</v>
      </c>
      <c r="AR102" s="39" t="s">
        <v>68</v>
      </c>
      <c r="AS102" s="39" t="s">
        <v>32</v>
      </c>
      <c r="AU102" s="44">
        <v>6285710911929</v>
      </c>
      <c r="AX102" s="39" t="s">
        <v>1113</v>
      </c>
      <c r="AZ102" s="39" t="s">
        <v>1099</v>
      </c>
      <c r="BA102" s="39" t="s">
        <v>1910</v>
      </c>
      <c r="BB102" s="39" t="s">
        <v>1100</v>
      </c>
      <c r="BC102" s="39" t="s">
        <v>1935</v>
      </c>
      <c r="BD102" s="39" t="b">
        <v>1</v>
      </c>
      <c r="BE102" s="39" t="b">
        <v>1</v>
      </c>
      <c r="BF102" s="39" t="s">
        <v>1108</v>
      </c>
      <c r="BG102" s="39" t="s">
        <v>1109</v>
      </c>
      <c r="BH102" s="39" t="s">
        <v>2282</v>
      </c>
      <c r="BI102" s="39" t="s">
        <v>2283</v>
      </c>
      <c r="BJ102" s="39" t="b">
        <v>1</v>
      </c>
      <c r="BK102" s="39" t="b">
        <v>1</v>
      </c>
      <c r="BN102" s="39">
        <v>0</v>
      </c>
      <c r="BO102" s="39" t="s">
        <v>2781</v>
      </c>
      <c r="BP102" s="39" t="s">
        <v>2807</v>
      </c>
    </row>
    <row r="103" spans="1:68">
      <c r="A103" s="39" t="s">
        <v>20</v>
      </c>
      <c r="B103" s="39" t="s">
        <v>21</v>
      </c>
      <c r="C103" s="39" t="s">
        <v>58</v>
      </c>
      <c r="D103" s="39" t="s">
        <v>1097</v>
      </c>
      <c r="E103" s="39" t="s">
        <v>1098</v>
      </c>
      <c r="F103" s="39" t="s">
        <v>1099</v>
      </c>
      <c r="G103" s="39" t="s">
        <v>1100</v>
      </c>
      <c r="H103" s="39" t="s">
        <v>1101</v>
      </c>
      <c r="I103" s="39" t="b">
        <v>0</v>
      </c>
      <c r="J103" s="39" t="s">
        <v>1101</v>
      </c>
      <c r="K103" s="39" t="b">
        <v>0</v>
      </c>
      <c r="L103" s="39" t="s">
        <v>1114</v>
      </c>
      <c r="M103" s="39" t="s">
        <v>1115</v>
      </c>
      <c r="N103" s="39" t="s">
        <v>2509</v>
      </c>
      <c r="P103" s="39" t="s">
        <v>2508</v>
      </c>
      <c r="R103" s="39" t="s">
        <v>1100</v>
      </c>
      <c r="S103" s="39" t="b">
        <f t="shared" si="2"/>
        <v>1</v>
      </c>
      <c r="T103" s="39" t="s">
        <v>1099</v>
      </c>
      <c r="U103" s="39" t="b">
        <f t="shared" si="3"/>
        <v>1</v>
      </c>
      <c r="V103" s="39" t="s">
        <v>2564</v>
      </c>
      <c r="W103" s="39" t="s">
        <v>2564</v>
      </c>
      <c r="X103" s="83" t="s">
        <v>1114</v>
      </c>
      <c r="Y103" s="84" t="s">
        <v>1115</v>
      </c>
      <c r="Z103" s="83" t="s">
        <v>2508</v>
      </c>
      <c r="AA103" s="84" t="s">
        <v>2508</v>
      </c>
      <c r="AB103" s="108"/>
      <c r="AC103" s="107"/>
      <c r="AD103" s="84"/>
      <c r="AE103" s="83"/>
      <c r="AF103" s="84"/>
      <c r="AG103" s="83"/>
      <c r="AH103" s="84"/>
      <c r="AI103" s="39" t="s">
        <v>28</v>
      </c>
      <c r="AJ103" s="39" t="s">
        <v>45</v>
      </c>
      <c r="AK103" s="39" t="s">
        <v>1116</v>
      </c>
      <c r="AP103" s="39" t="s">
        <v>1117</v>
      </c>
      <c r="AQ103" s="39" t="s">
        <v>1118</v>
      </c>
      <c r="AR103" s="39" t="s">
        <v>68</v>
      </c>
      <c r="AS103" s="39" t="s">
        <v>32</v>
      </c>
      <c r="AU103" s="44">
        <v>6285775999311</v>
      </c>
      <c r="AX103" s="39" t="s">
        <v>1119</v>
      </c>
      <c r="AZ103" s="39" t="s">
        <v>1099</v>
      </c>
      <c r="BA103" s="39" t="s">
        <v>1910</v>
      </c>
      <c r="BB103" s="39" t="s">
        <v>1100</v>
      </c>
      <c r="BC103" s="39" t="s">
        <v>1935</v>
      </c>
      <c r="BD103" s="39" t="b">
        <v>1</v>
      </c>
      <c r="BE103" s="39" t="b">
        <v>1</v>
      </c>
      <c r="BF103" s="39" t="s">
        <v>1114</v>
      </c>
      <c r="BG103" s="39" t="s">
        <v>1115</v>
      </c>
      <c r="BH103" s="39" t="s">
        <v>2284</v>
      </c>
      <c r="BI103" s="39" t="s">
        <v>2285</v>
      </c>
      <c r="BJ103" s="39" t="b">
        <v>1</v>
      </c>
      <c r="BK103" s="39" t="b">
        <v>1</v>
      </c>
      <c r="BN103" s="39">
        <v>0</v>
      </c>
      <c r="BO103" s="39" t="s">
        <v>2781</v>
      </c>
      <c r="BP103" s="39" t="s">
        <v>2807</v>
      </c>
    </row>
    <row r="104" spans="1:68">
      <c r="A104" s="39" t="s">
        <v>20</v>
      </c>
      <c r="B104" s="39" t="s">
        <v>21</v>
      </c>
      <c r="C104" s="39" t="s">
        <v>58</v>
      </c>
      <c r="D104" s="39" t="s">
        <v>1097</v>
      </c>
      <c r="E104" s="39" t="s">
        <v>1098</v>
      </c>
      <c r="F104" s="39" t="s">
        <v>1099</v>
      </c>
      <c r="G104" s="39" t="s">
        <v>1100</v>
      </c>
      <c r="H104" s="39" t="s">
        <v>1101</v>
      </c>
      <c r="I104" s="39" t="b">
        <v>0</v>
      </c>
      <c r="J104" s="39" t="s">
        <v>1101</v>
      </c>
      <c r="K104" s="39" t="b">
        <v>0</v>
      </c>
      <c r="L104" s="39" t="s">
        <v>1120</v>
      </c>
      <c r="M104" s="39" t="s">
        <v>1121</v>
      </c>
      <c r="N104" s="39" t="s">
        <v>2508</v>
      </c>
      <c r="P104" s="39" t="s">
        <v>2508</v>
      </c>
      <c r="R104" s="39" t="s">
        <v>1100</v>
      </c>
      <c r="S104" s="39" t="b">
        <f t="shared" si="2"/>
        <v>1</v>
      </c>
      <c r="T104" s="39" t="s">
        <v>1099</v>
      </c>
      <c r="U104" s="39" t="b">
        <f t="shared" si="3"/>
        <v>1</v>
      </c>
      <c r="V104" s="39" t="s">
        <v>2564</v>
      </c>
      <c r="W104" s="39" t="s">
        <v>2564</v>
      </c>
      <c r="X104" s="83" t="s">
        <v>1120</v>
      </c>
      <c r="Y104" s="84" t="s">
        <v>1121</v>
      </c>
      <c r="Z104" s="83" t="s">
        <v>2508</v>
      </c>
      <c r="AA104" s="84" t="s">
        <v>2508</v>
      </c>
      <c r="AB104" s="108"/>
      <c r="AC104" s="107"/>
      <c r="AD104" s="84"/>
      <c r="AE104" s="83"/>
      <c r="AF104" s="84"/>
      <c r="AG104" s="83"/>
      <c r="AH104" s="84"/>
      <c r="AI104" s="39" t="s">
        <v>28</v>
      </c>
      <c r="AJ104" s="39" t="s">
        <v>45</v>
      </c>
      <c r="AK104" s="39" t="s">
        <v>1122</v>
      </c>
      <c r="AP104" s="39" t="s">
        <v>1123</v>
      </c>
      <c r="AQ104" s="39" t="s">
        <v>1124</v>
      </c>
      <c r="AR104" s="39" t="s">
        <v>68</v>
      </c>
      <c r="AS104" s="39" t="s">
        <v>32</v>
      </c>
      <c r="AU104" s="44">
        <v>6285697352707</v>
      </c>
      <c r="AX104" s="39" t="s">
        <v>1125</v>
      </c>
      <c r="AZ104" s="39" t="s">
        <v>1099</v>
      </c>
      <c r="BA104" s="39" t="s">
        <v>1910</v>
      </c>
      <c r="BB104" s="39" t="s">
        <v>1100</v>
      </c>
      <c r="BC104" s="39" t="s">
        <v>1935</v>
      </c>
      <c r="BD104" s="39" t="b">
        <v>1</v>
      </c>
      <c r="BE104" s="39" t="b">
        <v>1</v>
      </c>
      <c r="BF104" s="39" t="s">
        <v>1120</v>
      </c>
      <c r="BG104" s="39" t="s">
        <v>1121</v>
      </c>
      <c r="BH104" s="39" t="s">
        <v>2286</v>
      </c>
      <c r="BI104" s="39" t="s">
        <v>2287</v>
      </c>
      <c r="BJ104" s="39" t="b">
        <v>1</v>
      </c>
      <c r="BK104" s="39" t="b">
        <v>1</v>
      </c>
      <c r="BN104" s="39">
        <v>0</v>
      </c>
      <c r="BO104" s="39" t="s">
        <v>2781</v>
      </c>
      <c r="BP104" s="39" t="s">
        <v>2807</v>
      </c>
    </row>
    <row r="105" spans="1:68">
      <c r="A105" s="39" t="s">
        <v>20</v>
      </c>
      <c r="B105" s="39" t="s">
        <v>21</v>
      </c>
      <c r="C105" s="39" t="s">
        <v>58</v>
      </c>
      <c r="D105" s="39" t="s">
        <v>1097</v>
      </c>
      <c r="E105" s="39" t="s">
        <v>1098</v>
      </c>
      <c r="F105" s="39" t="s">
        <v>1099</v>
      </c>
      <c r="G105" s="39" t="s">
        <v>1100</v>
      </c>
      <c r="H105" s="39" t="s">
        <v>1101</v>
      </c>
      <c r="I105" s="39" t="b">
        <v>0</v>
      </c>
      <c r="J105" s="39" t="s">
        <v>1101</v>
      </c>
      <c r="K105" s="39" t="b">
        <v>0</v>
      </c>
      <c r="L105" s="39" t="s">
        <v>1126</v>
      </c>
      <c r="M105" s="39" t="s">
        <v>1127</v>
      </c>
      <c r="N105" s="39" t="s">
        <v>2508</v>
      </c>
      <c r="P105" s="39" t="s">
        <v>2509</v>
      </c>
      <c r="R105" s="39" t="s">
        <v>1100</v>
      </c>
      <c r="S105" s="39" t="b">
        <f t="shared" si="2"/>
        <v>1</v>
      </c>
      <c r="T105" s="39" t="s">
        <v>1099</v>
      </c>
      <c r="U105" s="39" t="b">
        <f t="shared" si="3"/>
        <v>1</v>
      </c>
      <c r="V105" s="39" t="s">
        <v>2564</v>
      </c>
      <c r="W105" s="39" t="s">
        <v>2564</v>
      </c>
      <c r="X105" s="83" t="s">
        <v>1126</v>
      </c>
      <c r="Y105" s="84" t="s">
        <v>1127</v>
      </c>
      <c r="Z105" s="83" t="s">
        <v>2508</v>
      </c>
      <c r="AA105" s="84" t="s">
        <v>2509</v>
      </c>
      <c r="AB105" s="108"/>
      <c r="AC105" s="107"/>
      <c r="AD105" s="84"/>
      <c r="AE105" s="83"/>
      <c r="AF105" s="84"/>
      <c r="AG105" s="83"/>
      <c r="AH105" s="84"/>
      <c r="AI105" s="39" t="s">
        <v>28</v>
      </c>
      <c r="AJ105" s="39" t="s">
        <v>45</v>
      </c>
      <c r="AK105" s="39" t="s">
        <v>1128</v>
      </c>
      <c r="AP105" s="39" t="s">
        <v>1129</v>
      </c>
      <c r="AQ105" s="39" t="s">
        <v>1130</v>
      </c>
      <c r="AR105" s="39" t="s">
        <v>68</v>
      </c>
      <c r="AS105" s="39" t="s">
        <v>32</v>
      </c>
      <c r="AU105" s="44">
        <v>6285697351957</v>
      </c>
      <c r="AX105" s="39" t="s">
        <v>1131</v>
      </c>
      <c r="AZ105" s="39" t="s">
        <v>1099</v>
      </c>
      <c r="BA105" s="39" t="s">
        <v>1910</v>
      </c>
      <c r="BB105" s="39" t="s">
        <v>1100</v>
      </c>
      <c r="BC105" s="39" t="s">
        <v>1935</v>
      </c>
      <c r="BD105" s="39" t="b">
        <v>1</v>
      </c>
      <c r="BE105" s="39" t="b">
        <v>1</v>
      </c>
      <c r="BF105" s="39" t="s">
        <v>1126</v>
      </c>
      <c r="BG105" s="39" t="s">
        <v>1127</v>
      </c>
      <c r="BH105" s="39" t="s">
        <v>2288</v>
      </c>
      <c r="BI105" s="39" t="s">
        <v>2289</v>
      </c>
      <c r="BJ105" s="39" t="b">
        <v>1</v>
      </c>
      <c r="BK105" s="39" t="b">
        <v>1</v>
      </c>
      <c r="BN105" s="39">
        <v>0</v>
      </c>
      <c r="BO105" s="39" t="s">
        <v>2781</v>
      </c>
      <c r="BP105" s="39" t="s">
        <v>2807</v>
      </c>
    </row>
    <row r="106" spans="1:68">
      <c r="A106" s="39" t="s">
        <v>20</v>
      </c>
      <c r="B106" s="39" t="s">
        <v>21</v>
      </c>
      <c r="C106" s="39" t="s">
        <v>58</v>
      </c>
      <c r="D106" s="39" t="s">
        <v>1097</v>
      </c>
      <c r="E106" s="39" t="s">
        <v>1098</v>
      </c>
      <c r="F106" s="39" t="s">
        <v>1099</v>
      </c>
      <c r="G106" s="39" t="s">
        <v>1100</v>
      </c>
      <c r="H106" s="39" t="s">
        <v>1101</v>
      </c>
      <c r="I106" s="39" t="b">
        <v>0</v>
      </c>
      <c r="J106" s="39" t="s">
        <v>1101</v>
      </c>
      <c r="K106" s="39" t="b">
        <v>0</v>
      </c>
      <c r="L106" s="39" t="s">
        <v>1816</v>
      </c>
      <c r="M106" s="39" t="s">
        <v>1815</v>
      </c>
      <c r="N106" s="39" t="s">
        <v>2508</v>
      </c>
      <c r="P106" s="39" t="s">
        <v>2508</v>
      </c>
      <c r="R106" s="39" t="s">
        <v>1100</v>
      </c>
      <c r="S106" s="39" t="b">
        <f t="shared" si="2"/>
        <v>1</v>
      </c>
      <c r="T106" s="39" t="s">
        <v>1099</v>
      </c>
      <c r="U106" s="39" t="b">
        <f t="shared" si="3"/>
        <v>1</v>
      </c>
      <c r="V106" s="39" t="s">
        <v>2564</v>
      </c>
      <c r="W106" s="39" t="s">
        <v>2564</v>
      </c>
      <c r="X106" s="83" t="s">
        <v>1816</v>
      </c>
      <c r="Y106" s="84" t="s">
        <v>1815</v>
      </c>
      <c r="Z106" s="83" t="s">
        <v>2508</v>
      </c>
      <c r="AA106" s="84" t="s">
        <v>2508</v>
      </c>
      <c r="AB106" s="108"/>
      <c r="AC106" s="107"/>
      <c r="AD106" s="84"/>
      <c r="AE106" s="83"/>
      <c r="AF106" s="84"/>
      <c r="AG106" s="83"/>
      <c r="AH106" s="84"/>
      <c r="AI106" s="39" t="s">
        <v>28</v>
      </c>
      <c r="AJ106" s="39" t="s">
        <v>45</v>
      </c>
      <c r="AK106" s="39" t="s">
        <v>1817</v>
      </c>
      <c r="AP106" s="39" t="s">
        <v>1818</v>
      </c>
      <c r="AQ106" s="39" t="s">
        <v>1819</v>
      </c>
      <c r="AR106" s="39" t="s">
        <v>119</v>
      </c>
      <c r="AS106" s="39" t="s">
        <v>32</v>
      </c>
      <c r="AU106" s="44">
        <v>6289602778003</v>
      </c>
      <c r="AX106" s="39" t="s">
        <v>1820</v>
      </c>
      <c r="AZ106" s="39" t="s">
        <v>1099</v>
      </c>
      <c r="BA106" s="39" t="s">
        <v>1910</v>
      </c>
      <c r="BB106" s="39" t="s">
        <v>1100</v>
      </c>
      <c r="BC106" s="39" t="s">
        <v>1935</v>
      </c>
      <c r="BD106" s="39" t="b">
        <v>1</v>
      </c>
      <c r="BE106" s="39" t="b">
        <v>1</v>
      </c>
      <c r="BF106" s="39" t="s">
        <v>1816</v>
      </c>
      <c r="BG106" s="39" t="s">
        <v>1815</v>
      </c>
      <c r="BH106" s="39" t="s">
        <v>2478</v>
      </c>
      <c r="BI106" s="39" t="s">
        <v>2479</v>
      </c>
      <c r="BJ106" s="39" t="b">
        <v>1</v>
      </c>
      <c r="BK106" s="39" t="b">
        <v>1</v>
      </c>
      <c r="BN106" s="39">
        <v>0</v>
      </c>
      <c r="BO106" s="39" t="s">
        <v>2781</v>
      </c>
      <c r="BP106" s="39" t="s">
        <v>2807</v>
      </c>
    </row>
    <row r="107" spans="1:68">
      <c r="A107" s="39" t="s">
        <v>20</v>
      </c>
      <c r="B107" s="39" t="s">
        <v>21</v>
      </c>
      <c r="C107" s="39" t="s">
        <v>58</v>
      </c>
      <c r="D107" s="39" t="s">
        <v>1097</v>
      </c>
      <c r="E107" s="39" t="s">
        <v>1098</v>
      </c>
      <c r="F107" s="39" t="s">
        <v>1099</v>
      </c>
      <c r="G107" s="39" t="s">
        <v>1100</v>
      </c>
      <c r="H107" s="39" t="s">
        <v>1101</v>
      </c>
      <c r="I107" s="39" t="b">
        <v>0</v>
      </c>
      <c r="J107" s="39" t="s">
        <v>1101</v>
      </c>
      <c r="K107" s="39" t="b">
        <v>0</v>
      </c>
      <c r="L107" s="39" t="s">
        <v>1822</v>
      </c>
      <c r="M107" s="39" t="s">
        <v>1821</v>
      </c>
      <c r="N107" s="39" t="s">
        <v>2508</v>
      </c>
      <c r="P107" s="39" t="s">
        <v>2508</v>
      </c>
      <c r="R107" s="39" t="s">
        <v>1100</v>
      </c>
      <c r="S107" s="39" t="b">
        <f t="shared" si="2"/>
        <v>1</v>
      </c>
      <c r="T107" s="39" t="s">
        <v>1099</v>
      </c>
      <c r="U107" s="39" t="b">
        <f t="shared" si="3"/>
        <v>1</v>
      </c>
      <c r="V107" s="39" t="s">
        <v>2564</v>
      </c>
      <c r="W107" s="39" t="s">
        <v>2564</v>
      </c>
      <c r="X107" s="83" t="s">
        <v>1822</v>
      </c>
      <c r="Y107" s="84" t="s">
        <v>1821</v>
      </c>
      <c r="Z107" s="83" t="s">
        <v>2508</v>
      </c>
      <c r="AA107" s="84" t="s">
        <v>2508</v>
      </c>
      <c r="AB107" s="108"/>
      <c r="AC107" s="107"/>
      <c r="AD107" s="84"/>
      <c r="AE107" s="83"/>
      <c r="AF107" s="84"/>
      <c r="AG107" s="83"/>
      <c r="AH107" s="84"/>
      <c r="AI107" s="39" t="s">
        <v>28</v>
      </c>
      <c r="AJ107" s="39" t="s">
        <v>45</v>
      </c>
      <c r="AK107" s="39" t="s">
        <v>1823</v>
      </c>
      <c r="AP107" s="39" t="s">
        <v>1824</v>
      </c>
      <c r="AQ107" s="39" t="s">
        <v>1825</v>
      </c>
      <c r="AR107" s="39" t="s">
        <v>68</v>
      </c>
      <c r="AS107" s="39" t="s">
        <v>32</v>
      </c>
      <c r="AU107" s="44">
        <v>6289602778005</v>
      </c>
      <c r="AX107" s="39" t="s">
        <v>1826</v>
      </c>
      <c r="AZ107" s="39" t="s">
        <v>1099</v>
      </c>
      <c r="BA107" s="39" t="s">
        <v>1910</v>
      </c>
      <c r="BB107" s="39" t="s">
        <v>1100</v>
      </c>
      <c r="BC107" s="39" t="s">
        <v>1935</v>
      </c>
      <c r="BD107" s="39" t="b">
        <v>1</v>
      </c>
      <c r="BE107" s="39" t="b">
        <v>1</v>
      </c>
      <c r="BF107" s="39" t="s">
        <v>1822</v>
      </c>
      <c r="BG107" s="39" t="s">
        <v>1821</v>
      </c>
      <c r="BH107" s="39" t="s">
        <v>2480</v>
      </c>
      <c r="BI107" s="39" t="s">
        <v>2481</v>
      </c>
      <c r="BJ107" s="39" t="b">
        <v>1</v>
      </c>
      <c r="BK107" s="39" t="b">
        <v>1</v>
      </c>
      <c r="BN107" s="39">
        <v>0</v>
      </c>
      <c r="BO107" s="39" t="s">
        <v>2781</v>
      </c>
      <c r="BP107" s="39" t="s">
        <v>2807</v>
      </c>
    </row>
    <row r="108" spans="1:68">
      <c r="A108" s="39" t="s">
        <v>20</v>
      </c>
      <c r="B108" s="39" t="s">
        <v>21</v>
      </c>
      <c r="C108" s="39" t="s">
        <v>58</v>
      </c>
      <c r="D108" s="39" t="s">
        <v>1097</v>
      </c>
      <c r="E108" s="39" t="s">
        <v>1098</v>
      </c>
      <c r="F108" s="39" t="s">
        <v>1099</v>
      </c>
      <c r="G108" s="39" t="s">
        <v>1100</v>
      </c>
      <c r="H108" s="39" t="s">
        <v>1101</v>
      </c>
      <c r="I108" s="39" t="b">
        <v>0</v>
      </c>
      <c r="J108" s="39" t="s">
        <v>1101</v>
      </c>
      <c r="K108" s="39" t="b">
        <v>0</v>
      </c>
      <c r="L108" s="39" t="s">
        <v>1834</v>
      </c>
      <c r="M108" s="39" t="s">
        <v>1833</v>
      </c>
      <c r="N108" s="39" t="s">
        <v>2508</v>
      </c>
      <c r="P108" s="39" t="s">
        <v>2508</v>
      </c>
      <c r="R108" s="39" t="s">
        <v>1100</v>
      </c>
      <c r="S108" s="39" t="b">
        <f t="shared" si="2"/>
        <v>1</v>
      </c>
      <c r="T108" s="39" t="s">
        <v>1099</v>
      </c>
      <c r="U108" s="39" t="b">
        <f t="shared" si="3"/>
        <v>1</v>
      </c>
      <c r="V108" s="39" t="s">
        <v>2564</v>
      </c>
      <c r="W108" s="39" t="s">
        <v>2564</v>
      </c>
      <c r="X108" s="83" t="s">
        <v>1834</v>
      </c>
      <c r="Y108" s="84" t="s">
        <v>1833</v>
      </c>
      <c r="Z108" s="83" t="s">
        <v>2508</v>
      </c>
      <c r="AA108" s="84" t="s">
        <v>2508</v>
      </c>
      <c r="AB108" s="108"/>
      <c r="AC108" s="107"/>
      <c r="AD108" s="84"/>
      <c r="AE108" s="83"/>
      <c r="AF108" s="84"/>
      <c r="AG108" s="83"/>
      <c r="AH108" s="84"/>
      <c r="AI108" s="39" t="s">
        <v>28</v>
      </c>
      <c r="AJ108" s="39" t="s">
        <v>45</v>
      </c>
      <c r="AK108" s="39" t="s">
        <v>1835</v>
      </c>
      <c r="AP108" s="39" t="s">
        <v>1836</v>
      </c>
      <c r="AQ108" s="39" t="s">
        <v>1837</v>
      </c>
      <c r="AR108" s="39" t="s">
        <v>68</v>
      </c>
      <c r="AS108" s="39" t="s">
        <v>32</v>
      </c>
      <c r="AU108" s="44">
        <v>6289602778007</v>
      </c>
      <c r="AX108" s="39" t="s">
        <v>1838</v>
      </c>
      <c r="AZ108" s="39" t="s">
        <v>1099</v>
      </c>
      <c r="BA108" s="39" t="s">
        <v>1910</v>
      </c>
      <c r="BB108" s="39" t="s">
        <v>1100</v>
      </c>
      <c r="BC108" s="39" t="s">
        <v>1935</v>
      </c>
      <c r="BD108" s="39" t="b">
        <v>1</v>
      </c>
      <c r="BE108" s="39" t="b">
        <v>1</v>
      </c>
      <c r="BF108" s="39" t="s">
        <v>1834</v>
      </c>
      <c r="BG108" s="39" t="s">
        <v>1833</v>
      </c>
      <c r="BH108" s="39" t="s">
        <v>2484</v>
      </c>
      <c r="BI108" s="39" t="s">
        <v>2485</v>
      </c>
      <c r="BJ108" s="39" t="b">
        <v>1</v>
      </c>
      <c r="BK108" s="39" t="b">
        <v>1</v>
      </c>
      <c r="BN108" s="39">
        <v>0</v>
      </c>
      <c r="BO108" s="39" t="s">
        <v>2781</v>
      </c>
      <c r="BP108" s="39" t="s">
        <v>2807</v>
      </c>
    </row>
    <row r="109" spans="1:68">
      <c r="A109" s="39" t="s">
        <v>20</v>
      </c>
      <c r="B109" s="39" t="s">
        <v>21</v>
      </c>
      <c r="C109" s="39" t="s">
        <v>58</v>
      </c>
      <c r="D109" s="39" t="s">
        <v>1097</v>
      </c>
      <c r="E109" s="39" t="s">
        <v>1098</v>
      </c>
      <c r="F109" s="39" t="s">
        <v>1099</v>
      </c>
      <c r="G109" s="39" t="s">
        <v>1100</v>
      </c>
      <c r="H109" s="39" t="s">
        <v>1101</v>
      </c>
      <c r="I109" s="39" t="b">
        <v>0</v>
      </c>
      <c r="J109" s="39" t="s">
        <v>1101</v>
      </c>
      <c r="K109" s="39" t="b">
        <v>0</v>
      </c>
      <c r="L109" s="39" t="s">
        <v>1857</v>
      </c>
      <c r="M109" s="39" t="s">
        <v>1856</v>
      </c>
      <c r="N109" s="39" t="s">
        <v>2508</v>
      </c>
      <c r="P109" s="39" t="s">
        <v>2508</v>
      </c>
      <c r="R109" s="39" t="s">
        <v>1100</v>
      </c>
      <c r="S109" s="39" t="b">
        <f t="shared" si="2"/>
        <v>1</v>
      </c>
      <c r="T109" s="39" t="s">
        <v>1099</v>
      </c>
      <c r="U109" s="39" t="b">
        <f t="shared" si="3"/>
        <v>1</v>
      </c>
      <c r="V109" s="39" t="s">
        <v>2564</v>
      </c>
      <c r="W109" s="39" t="s">
        <v>2564</v>
      </c>
      <c r="X109" s="83" t="s">
        <v>1857</v>
      </c>
      <c r="Y109" s="84" t="s">
        <v>1856</v>
      </c>
      <c r="Z109" s="83" t="s">
        <v>2508</v>
      </c>
      <c r="AA109" s="84" t="s">
        <v>2508</v>
      </c>
      <c r="AB109" s="108"/>
      <c r="AC109" s="107"/>
      <c r="AD109" s="84"/>
      <c r="AE109" s="83"/>
      <c r="AF109" s="84"/>
      <c r="AG109" s="83"/>
      <c r="AH109" s="84"/>
      <c r="AI109" s="39" t="s">
        <v>28</v>
      </c>
      <c r="AJ109" s="39" t="s">
        <v>45</v>
      </c>
      <c r="AK109" s="39" t="s">
        <v>1858</v>
      </c>
      <c r="AP109" s="39" t="s">
        <v>1859</v>
      </c>
      <c r="AQ109" s="39" t="s">
        <v>1860</v>
      </c>
      <c r="AR109" s="39" t="s">
        <v>68</v>
      </c>
      <c r="AS109" s="39" t="s">
        <v>32</v>
      </c>
      <c r="AU109" s="44">
        <v>6289602778015</v>
      </c>
      <c r="AX109" s="39" t="s">
        <v>1861</v>
      </c>
      <c r="AZ109" s="39" t="s">
        <v>1099</v>
      </c>
      <c r="BA109" s="39" t="s">
        <v>1910</v>
      </c>
      <c r="BB109" s="39" t="s">
        <v>1100</v>
      </c>
      <c r="BC109" s="39" t="s">
        <v>1935</v>
      </c>
      <c r="BD109" s="39" t="b">
        <v>1</v>
      </c>
      <c r="BE109" s="39" t="b">
        <v>1</v>
      </c>
      <c r="BF109" s="39" t="s">
        <v>1857</v>
      </c>
      <c r="BG109" s="39" t="s">
        <v>1856</v>
      </c>
      <c r="BH109" s="39" t="s">
        <v>2492</v>
      </c>
      <c r="BI109" s="39" t="s">
        <v>2493</v>
      </c>
      <c r="BJ109" s="39" t="b">
        <v>1</v>
      </c>
      <c r="BK109" s="39" t="b">
        <v>1</v>
      </c>
      <c r="BN109" s="39">
        <v>0</v>
      </c>
      <c r="BO109" s="39" t="s">
        <v>2781</v>
      </c>
      <c r="BP109" s="39" t="s">
        <v>2807</v>
      </c>
    </row>
    <row r="110" spans="1:68">
      <c r="A110" s="39" t="s">
        <v>20</v>
      </c>
      <c r="B110" s="39" t="s">
        <v>21</v>
      </c>
      <c r="C110" s="39" t="s">
        <v>58</v>
      </c>
      <c r="D110" s="39" t="s">
        <v>1097</v>
      </c>
      <c r="E110" s="39" t="s">
        <v>1098</v>
      </c>
      <c r="F110" s="39" t="s">
        <v>1099</v>
      </c>
      <c r="G110" s="39" t="s">
        <v>1100</v>
      </c>
      <c r="H110" s="39" t="s">
        <v>1101</v>
      </c>
      <c r="I110" s="39" t="b">
        <v>0</v>
      </c>
      <c r="J110" s="39" t="s">
        <v>1101</v>
      </c>
      <c r="K110" s="39" t="b">
        <v>0</v>
      </c>
      <c r="L110" s="39" t="s">
        <v>1863</v>
      </c>
      <c r="M110" s="39" t="s">
        <v>1862</v>
      </c>
      <c r="N110" s="39" t="s">
        <v>2508</v>
      </c>
      <c r="P110" s="39" t="s">
        <v>2508</v>
      </c>
      <c r="R110" s="39" t="s">
        <v>1100</v>
      </c>
      <c r="S110" s="39" t="b">
        <f t="shared" si="2"/>
        <v>1</v>
      </c>
      <c r="T110" s="39" t="s">
        <v>1099</v>
      </c>
      <c r="U110" s="39" t="b">
        <f t="shared" si="3"/>
        <v>1</v>
      </c>
      <c r="V110" s="39" t="s">
        <v>2564</v>
      </c>
      <c r="W110" s="39" t="s">
        <v>2564</v>
      </c>
      <c r="X110" s="83" t="s">
        <v>1863</v>
      </c>
      <c r="Y110" s="84" t="s">
        <v>1862</v>
      </c>
      <c r="Z110" s="83" t="s">
        <v>2508</v>
      </c>
      <c r="AA110" s="84" t="s">
        <v>2508</v>
      </c>
      <c r="AB110" s="108"/>
      <c r="AC110" s="107"/>
      <c r="AD110" s="84"/>
      <c r="AE110" s="83"/>
      <c r="AF110" s="84"/>
      <c r="AG110" s="83"/>
      <c r="AH110" s="84"/>
      <c r="AI110" s="39" t="s">
        <v>28</v>
      </c>
      <c r="AJ110" s="39" t="s">
        <v>45</v>
      </c>
      <c r="AK110" s="39" t="s">
        <v>1864</v>
      </c>
      <c r="AP110" s="39" t="s">
        <v>1865</v>
      </c>
      <c r="AQ110" s="39" t="s">
        <v>1866</v>
      </c>
      <c r="AR110" s="39" t="s">
        <v>68</v>
      </c>
      <c r="AS110" s="39" t="s">
        <v>32</v>
      </c>
      <c r="AU110" s="44">
        <v>62089687777050</v>
      </c>
      <c r="AX110" s="39" t="s">
        <v>1867</v>
      </c>
      <c r="AZ110" s="39" t="s">
        <v>1099</v>
      </c>
      <c r="BA110" s="39" t="s">
        <v>1910</v>
      </c>
      <c r="BB110" s="39" t="s">
        <v>1100</v>
      </c>
      <c r="BC110" s="39" t="s">
        <v>1935</v>
      </c>
      <c r="BD110" s="39" t="b">
        <v>1</v>
      </c>
      <c r="BE110" s="39" t="b">
        <v>1</v>
      </c>
      <c r="BF110" s="39" t="s">
        <v>1863</v>
      </c>
      <c r="BG110" s="39" t="s">
        <v>1862</v>
      </c>
      <c r="BH110" s="39" t="s">
        <v>2494</v>
      </c>
      <c r="BI110" s="39" t="s">
        <v>2495</v>
      </c>
      <c r="BJ110" s="39" t="b">
        <v>1</v>
      </c>
      <c r="BK110" s="39" t="b">
        <v>1</v>
      </c>
      <c r="BN110" s="39">
        <v>0</v>
      </c>
      <c r="BO110" s="39" t="s">
        <v>2781</v>
      </c>
      <c r="BP110" s="39" t="s">
        <v>2807</v>
      </c>
    </row>
    <row r="111" spans="1:68">
      <c r="A111" s="39" t="s">
        <v>20</v>
      </c>
      <c r="B111" s="39" t="s">
        <v>21</v>
      </c>
      <c r="C111" s="39" t="s">
        <v>58</v>
      </c>
      <c r="D111" s="39" t="s">
        <v>1097</v>
      </c>
      <c r="E111" s="39" t="s">
        <v>1098</v>
      </c>
      <c r="F111" s="39" t="s">
        <v>1099</v>
      </c>
      <c r="G111" s="39" t="s">
        <v>1100</v>
      </c>
      <c r="H111" s="39" t="s">
        <v>1101</v>
      </c>
      <c r="I111" s="39" t="b">
        <v>0</v>
      </c>
      <c r="J111" s="39" t="s">
        <v>1101</v>
      </c>
      <c r="K111" s="39" t="b">
        <v>0</v>
      </c>
      <c r="L111" s="39" t="s">
        <v>1881</v>
      </c>
      <c r="M111" s="39" t="s">
        <v>1880</v>
      </c>
      <c r="N111" s="39" t="s">
        <v>2508</v>
      </c>
      <c r="P111" s="39" t="s">
        <v>2508</v>
      </c>
      <c r="R111" s="39" t="s">
        <v>1100</v>
      </c>
      <c r="S111" s="39" t="b">
        <f t="shared" si="2"/>
        <v>1</v>
      </c>
      <c r="T111" s="39" t="s">
        <v>1099</v>
      </c>
      <c r="U111" s="39" t="b">
        <f t="shared" si="3"/>
        <v>1</v>
      </c>
      <c r="V111" s="39" t="s">
        <v>2564</v>
      </c>
      <c r="W111" s="39" t="s">
        <v>2564</v>
      </c>
      <c r="X111" s="83" t="s">
        <v>1881</v>
      </c>
      <c r="Y111" s="84" t="s">
        <v>1880</v>
      </c>
      <c r="Z111" s="83" t="s">
        <v>2508</v>
      </c>
      <c r="AA111" s="84" t="s">
        <v>2508</v>
      </c>
      <c r="AB111" s="108"/>
      <c r="AC111" s="107"/>
      <c r="AD111" s="84"/>
      <c r="AE111" s="83"/>
      <c r="AF111" s="84"/>
      <c r="AG111" s="83"/>
      <c r="AH111" s="84"/>
      <c r="AI111" s="39" t="s">
        <v>28</v>
      </c>
      <c r="AJ111" s="39" t="s">
        <v>45</v>
      </c>
      <c r="AK111" s="39" t="s">
        <v>1882</v>
      </c>
      <c r="AP111" s="39" t="s">
        <v>1883</v>
      </c>
      <c r="AQ111" s="39" t="s">
        <v>1884</v>
      </c>
      <c r="AR111" s="39" t="s">
        <v>68</v>
      </c>
      <c r="AS111" s="39" t="s">
        <v>32</v>
      </c>
      <c r="AU111" s="44">
        <v>6289618181881</v>
      </c>
      <c r="AX111" s="39" t="s">
        <v>1885</v>
      </c>
      <c r="AZ111" s="39" t="s">
        <v>1099</v>
      </c>
      <c r="BA111" s="39" t="s">
        <v>1910</v>
      </c>
      <c r="BB111" s="39" t="s">
        <v>1100</v>
      </c>
      <c r="BC111" s="39" t="s">
        <v>1935</v>
      </c>
      <c r="BD111" s="39" t="b">
        <v>1</v>
      </c>
      <c r="BE111" s="39" t="b">
        <v>1</v>
      </c>
      <c r="BF111" s="39" t="s">
        <v>1881</v>
      </c>
      <c r="BG111" s="39" t="s">
        <v>1880</v>
      </c>
      <c r="BH111" s="39" t="s">
        <v>2500</v>
      </c>
      <c r="BI111" s="39" t="s">
        <v>2501</v>
      </c>
      <c r="BJ111" s="39" t="b">
        <v>1</v>
      </c>
      <c r="BK111" s="39" t="b">
        <v>1</v>
      </c>
      <c r="BN111" s="39" t="s">
        <v>2505</v>
      </c>
      <c r="BO111" s="39" t="s">
        <v>2781</v>
      </c>
      <c r="BP111" s="39" t="s">
        <v>2807</v>
      </c>
    </row>
    <row r="112" spans="1:68">
      <c r="A112" s="39" t="s">
        <v>20</v>
      </c>
      <c r="B112" s="39" t="s">
        <v>21</v>
      </c>
      <c r="C112" s="39" t="s">
        <v>58</v>
      </c>
      <c r="D112" s="39" t="s">
        <v>1097</v>
      </c>
      <c r="E112" s="39" t="s">
        <v>1098</v>
      </c>
      <c r="F112" s="39" t="s">
        <v>1099</v>
      </c>
      <c r="G112" s="39" t="s">
        <v>1100</v>
      </c>
      <c r="H112" s="39" t="s">
        <v>1101</v>
      </c>
      <c r="I112" s="39" t="b">
        <v>0</v>
      </c>
      <c r="J112" s="39" t="s">
        <v>1101</v>
      </c>
      <c r="K112" s="39" t="b">
        <v>0</v>
      </c>
      <c r="L112" s="39" t="s">
        <v>1210</v>
      </c>
      <c r="M112" s="39" t="s">
        <v>1211</v>
      </c>
      <c r="N112" s="39" t="s">
        <v>2509</v>
      </c>
      <c r="P112" s="39" t="s">
        <v>2509</v>
      </c>
      <c r="R112" s="39" t="s">
        <v>1100</v>
      </c>
      <c r="S112" s="39" t="b">
        <f t="shared" si="2"/>
        <v>1</v>
      </c>
      <c r="T112" s="39" t="s">
        <v>1099</v>
      </c>
      <c r="U112" s="39" t="b">
        <f t="shared" si="3"/>
        <v>1</v>
      </c>
      <c r="V112" s="39" t="s">
        <v>2564</v>
      </c>
      <c r="W112" s="39" t="s">
        <v>2564</v>
      </c>
      <c r="X112" s="83" t="s">
        <v>2570</v>
      </c>
      <c r="Y112" s="84" t="s">
        <v>2593</v>
      </c>
      <c r="Z112" s="83" t="s">
        <v>2510</v>
      </c>
      <c r="AA112" s="84" t="s">
        <v>2509</v>
      </c>
      <c r="AB112" s="108"/>
      <c r="AC112" s="107"/>
      <c r="AD112" s="83" t="s">
        <v>2763</v>
      </c>
      <c r="AE112" s="83"/>
      <c r="AF112" s="84"/>
      <c r="AG112" s="83"/>
      <c r="AH112" s="84"/>
      <c r="AI112" s="39" t="s">
        <v>28</v>
      </c>
      <c r="AJ112" s="39" t="s">
        <v>45</v>
      </c>
      <c r="AK112" s="39" t="s">
        <v>1212</v>
      </c>
      <c r="AP112" s="39" t="s">
        <v>1213</v>
      </c>
      <c r="AQ112" s="39" t="s">
        <v>1214</v>
      </c>
      <c r="AR112" s="39" t="s">
        <v>68</v>
      </c>
      <c r="AS112" s="39" t="s">
        <v>32</v>
      </c>
      <c r="AU112" s="44">
        <v>6285692581643</v>
      </c>
      <c r="AX112" s="39" t="s">
        <v>1215</v>
      </c>
      <c r="AZ112" s="39" t="s">
        <v>1099</v>
      </c>
      <c r="BA112" s="39" t="s">
        <v>1910</v>
      </c>
      <c r="BB112" s="39" t="s">
        <v>1100</v>
      </c>
      <c r="BC112" s="39" t="s">
        <v>1935</v>
      </c>
      <c r="BD112" s="39" t="b">
        <v>1</v>
      </c>
      <c r="BE112" s="39" t="b">
        <v>1</v>
      </c>
      <c r="BF112" s="39" t="s">
        <v>1210</v>
      </c>
      <c r="BG112" s="39" t="s">
        <v>1211</v>
      </c>
      <c r="BH112" s="39" t="s">
        <v>2316</v>
      </c>
      <c r="BI112" s="39" t="s">
        <v>2317</v>
      </c>
      <c r="BJ112" s="39" t="b">
        <v>1</v>
      </c>
      <c r="BK112" s="39" t="b">
        <v>1</v>
      </c>
      <c r="BN112" s="39">
        <v>0</v>
      </c>
      <c r="BO112" s="39" t="s">
        <v>2781</v>
      </c>
      <c r="BP112" s="39" t="s">
        <v>2807</v>
      </c>
    </row>
    <row r="113" spans="1:68">
      <c r="A113" s="39" t="s">
        <v>20</v>
      </c>
      <c r="B113" s="39" t="s">
        <v>21</v>
      </c>
      <c r="C113" s="39" t="s">
        <v>58</v>
      </c>
      <c r="D113" s="39" t="s">
        <v>93</v>
      </c>
      <c r="E113" s="39" t="s">
        <v>94</v>
      </c>
      <c r="F113" s="39" t="s">
        <v>95</v>
      </c>
      <c r="G113" s="39" t="s">
        <v>96</v>
      </c>
      <c r="H113" s="39" t="s">
        <v>63</v>
      </c>
      <c r="I113" s="39" t="b">
        <v>0</v>
      </c>
      <c r="J113" s="39" t="s">
        <v>63</v>
      </c>
      <c r="K113" s="39" t="b">
        <v>0</v>
      </c>
      <c r="L113" s="39">
        <v>2613050742</v>
      </c>
      <c r="M113" s="39" t="s">
        <v>97</v>
      </c>
      <c r="N113" s="39" t="s">
        <v>2508</v>
      </c>
      <c r="P113" s="39" t="s">
        <v>2508</v>
      </c>
      <c r="R113" s="39" t="s">
        <v>96</v>
      </c>
      <c r="S113" s="39" t="b">
        <f t="shared" si="2"/>
        <v>1</v>
      </c>
      <c r="T113" s="39" t="s">
        <v>95</v>
      </c>
      <c r="U113" s="39" t="b">
        <f t="shared" si="3"/>
        <v>1</v>
      </c>
      <c r="V113" s="39" t="s">
        <v>2564</v>
      </c>
      <c r="W113" s="39" t="s">
        <v>2564</v>
      </c>
      <c r="X113" s="83">
        <v>2613050742</v>
      </c>
      <c r="Y113" s="84" t="s">
        <v>97</v>
      </c>
      <c r="Z113" s="83" t="s">
        <v>2508</v>
      </c>
      <c r="AA113" s="84" t="s">
        <v>2508</v>
      </c>
      <c r="AB113" s="108"/>
      <c r="AC113" s="107"/>
      <c r="AD113" s="84"/>
      <c r="AE113" s="83"/>
      <c r="AF113" s="84"/>
      <c r="AG113" s="83"/>
      <c r="AH113" s="84"/>
      <c r="AI113" s="39" t="s">
        <v>28</v>
      </c>
      <c r="AJ113" s="39" t="s">
        <v>45</v>
      </c>
      <c r="AK113" s="39" t="s">
        <v>98</v>
      </c>
      <c r="AP113" s="39" t="s">
        <v>99</v>
      </c>
      <c r="AQ113" s="39" t="s">
        <v>100</v>
      </c>
      <c r="AR113" s="39" t="s">
        <v>68</v>
      </c>
      <c r="AS113" s="39" t="s">
        <v>32</v>
      </c>
      <c r="AU113" s="44">
        <v>6285781223500</v>
      </c>
      <c r="AX113" s="39" t="s">
        <v>101</v>
      </c>
      <c r="AZ113" s="39" t="s">
        <v>95</v>
      </c>
      <c r="BA113" s="39" t="s">
        <v>1902</v>
      </c>
      <c r="BB113" s="39" t="s">
        <v>96</v>
      </c>
      <c r="BC113" s="39" t="s">
        <v>1911</v>
      </c>
      <c r="BD113" s="39" t="b">
        <v>1</v>
      </c>
      <c r="BE113" s="39" t="b">
        <v>1</v>
      </c>
      <c r="BF113" s="39">
        <v>2613050742</v>
      </c>
      <c r="BG113" s="39" t="s">
        <v>97</v>
      </c>
      <c r="BH113" s="39" t="s">
        <v>2010</v>
      </c>
      <c r="BI113" s="39" t="s">
        <v>2011</v>
      </c>
      <c r="BJ113" s="39" t="b">
        <v>1</v>
      </c>
      <c r="BK113" s="39" t="b">
        <v>1</v>
      </c>
      <c r="BN113" s="39">
        <v>0</v>
      </c>
      <c r="BO113" s="39" t="s">
        <v>2782</v>
      </c>
      <c r="BP113" s="39" t="s">
        <v>2807</v>
      </c>
    </row>
    <row r="114" spans="1:68">
      <c r="A114" s="39" t="s">
        <v>20</v>
      </c>
      <c r="B114" s="39" t="s">
        <v>21</v>
      </c>
      <c r="C114" s="39" t="s">
        <v>58</v>
      </c>
      <c r="D114" s="39" t="s">
        <v>93</v>
      </c>
      <c r="E114" s="39" t="s">
        <v>94</v>
      </c>
      <c r="F114" s="39" t="s">
        <v>95</v>
      </c>
      <c r="G114" s="39" t="s">
        <v>96</v>
      </c>
      <c r="H114" s="39" t="s">
        <v>63</v>
      </c>
      <c r="I114" s="39" t="b">
        <v>0</v>
      </c>
      <c r="J114" s="39" t="s">
        <v>63</v>
      </c>
      <c r="K114" s="39" t="b">
        <v>0</v>
      </c>
      <c r="L114" s="39" t="s">
        <v>1037</v>
      </c>
      <c r="M114" s="39" t="s">
        <v>1038</v>
      </c>
      <c r="N114" s="39" t="s">
        <v>2508</v>
      </c>
      <c r="P114" s="39" t="s">
        <v>2508</v>
      </c>
      <c r="R114" s="39" t="s">
        <v>96</v>
      </c>
      <c r="S114" s="39" t="b">
        <f t="shared" si="2"/>
        <v>1</v>
      </c>
      <c r="T114" s="39" t="s">
        <v>95</v>
      </c>
      <c r="U114" s="39" t="b">
        <f t="shared" si="3"/>
        <v>1</v>
      </c>
      <c r="V114" s="39" t="s">
        <v>2564</v>
      </c>
      <c r="W114" s="39" t="s">
        <v>2564</v>
      </c>
      <c r="X114" s="83" t="s">
        <v>1037</v>
      </c>
      <c r="Y114" s="84" t="s">
        <v>1038</v>
      </c>
      <c r="Z114" s="83" t="s">
        <v>2508</v>
      </c>
      <c r="AA114" s="84" t="s">
        <v>2508</v>
      </c>
      <c r="AB114" s="108"/>
      <c r="AC114" s="107"/>
      <c r="AD114" s="84"/>
      <c r="AE114" s="83"/>
      <c r="AF114" s="84"/>
      <c r="AG114" s="83"/>
      <c r="AH114" s="84"/>
      <c r="AI114" s="39" t="s">
        <v>28</v>
      </c>
      <c r="AJ114" s="39" t="s">
        <v>45</v>
      </c>
      <c r="AK114" s="39" t="s">
        <v>1039</v>
      </c>
      <c r="AP114" s="39" t="s">
        <v>1040</v>
      </c>
      <c r="AQ114" s="39" t="s">
        <v>1041</v>
      </c>
      <c r="AR114" s="39" t="s">
        <v>68</v>
      </c>
      <c r="AS114" s="39" t="s">
        <v>32</v>
      </c>
      <c r="AU114" s="44">
        <v>6285711188480</v>
      </c>
      <c r="AX114" s="39" t="s">
        <v>1042</v>
      </c>
      <c r="AZ114" s="39" t="s">
        <v>95</v>
      </c>
      <c r="BA114" s="39" t="s">
        <v>1902</v>
      </c>
      <c r="BB114" s="39" t="s">
        <v>96</v>
      </c>
      <c r="BC114" s="39" t="s">
        <v>1911</v>
      </c>
      <c r="BD114" s="39" t="b">
        <v>1</v>
      </c>
      <c r="BE114" s="39" t="b">
        <v>1</v>
      </c>
      <c r="BF114" s="39" t="s">
        <v>1037</v>
      </c>
      <c r="BG114" s="39" t="s">
        <v>1038</v>
      </c>
      <c r="BH114" s="39" t="s">
        <v>2260</v>
      </c>
      <c r="BI114" s="39" t="s">
        <v>2261</v>
      </c>
      <c r="BJ114" s="39" t="b">
        <v>1</v>
      </c>
      <c r="BK114" s="39" t="b">
        <v>1</v>
      </c>
      <c r="BN114" s="39">
        <v>0</v>
      </c>
      <c r="BO114" s="39" t="s">
        <v>2782</v>
      </c>
      <c r="BP114" s="39" t="s">
        <v>2807</v>
      </c>
    </row>
    <row r="115" spans="1:68">
      <c r="A115" s="39" t="s">
        <v>20</v>
      </c>
      <c r="B115" s="39" t="s">
        <v>21</v>
      </c>
      <c r="C115" s="39" t="s">
        <v>58</v>
      </c>
      <c r="D115" s="39" t="s">
        <v>93</v>
      </c>
      <c r="E115" s="39" t="s">
        <v>94</v>
      </c>
      <c r="F115" s="39" t="s">
        <v>95</v>
      </c>
      <c r="G115" s="39" t="s">
        <v>96</v>
      </c>
      <c r="H115" s="39" t="s">
        <v>63</v>
      </c>
      <c r="I115" s="39" t="b">
        <v>0</v>
      </c>
      <c r="J115" s="39" t="s">
        <v>63</v>
      </c>
      <c r="K115" s="39" t="b">
        <v>0</v>
      </c>
      <c r="L115" s="39" t="s">
        <v>1043</v>
      </c>
      <c r="M115" s="39" t="s">
        <v>1044</v>
      </c>
      <c r="N115" s="39" t="s">
        <v>2509</v>
      </c>
      <c r="P115" s="39" t="s">
        <v>2508</v>
      </c>
      <c r="R115" s="39" t="s">
        <v>96</v>
      </c>
      <c r="S115" s="39" t="b">
        <f t="shared" si="2"/>
        <v>1</v>
      </c>
      <c r="T115" s="39" t="s">
        <v>95</v>
      </c>
      <c r="U115" s="39" t="b">
        <f t="shared" si="3"/>
        <v>1</v>
      </c>
      <c r="V115" s="39" t="s">
        <v>2564</v>
      </c>
      <c r="W115" s="39" t="s">
        <v>2564</v>
      </c>
      <c r="X115" s="83" t="s">
        <v>1043</v>
      </c>
      <c r="Y115" s="84" t="s">
        <v>1044</v>
      </c>
      <c r="Z115" s="83" t="s">
        <v>2509</v>
      </c>
      <c r="AA115" s="84" t="s">
        <v>2508</v>
      </c>
      <c r="AB115" s="108">
        <v>6285714266661</v>
      </c>
      <c r="AC115" s="107"/>
      <c r="AD115" s="84"/>
      <c r="AE115" s="83"/>
      <c r="AF115" s="84"/>
      <c r="AG115" s="83"/>
      <c r="AH115" s="84"/>
      <c r="AI115" s="39" t="s">
        <v>28</v>
      </c>
      <c r="AJ115" s="39" t="s">
        <v>45</v>
      </c>
      <c r="AK115" s="39" t="s">
        <v>1045</v>
      </c>
      <c r="AP115" s="39" t="s">
        <v>1046</v>
      </c>
      <c r="AQ115" s="39" t="s">
        <v>1047</v>
      </c>
      <c r="AR115" s="39" t="s">
        <v>68</v>
      </c>
      <c r="AS115" s="39" t="s">
        <v>32</v>
      </c>
      <c r="AU115" s="44">
        <v>62085714266661</v>
      </c>
      <c r="AX115" s="39" t="s">
        <v>1048</v>
      </c>
      <c r="AZ115" s="39" t="s">
        <v>95</v>
      </c>
      <c r="BA115" s="39" t="s">
        <v>1902</v>
      </c>
      <c r="BB115" s="39" t="s">
        <v>96</v>
      </c>
      <c r="BC115" s="39" t="s">
        <v>1911</v>
      </c>
      <c r="BD115" s="39" t="b">
        <v>1</v>
      </c>
      <c r="BE115" s="39" t="b">
        <v>1</v>
      </c>
      <c r="BF115" s="39" t="s">
        <v>1043</v>
      </c>
      <c r="BG115" s="39" t="s">
        <v>1044</v>
      </c>
      <c r="BH115" s="39" t="s">
        <v>2262</v>
      </c>
      <c r="BI115" s="39" t="s">
        <v>2263</v>
      </c>
      <c r="BJ115" s="39" t="b">
        <v>1</v>
      </c>
      <c r="BK115" s="39" t="b">
        <v>1</v>
      </c>
      <c r="BN115" s="39">
        <v>0</v>
      </c>
      <c r="BO115" s="39" t="s">
        <v>2782</v>
      </c>
      <c r="BP115" s="39" t="s">
        <v>2807</v>
      </c>
    </row>
    <row r="116" spans="1:68">
      <c r="A116" s="39" t="s">
        <v>20</v>
      </c>
      <c r="B116" s="39" t="s">
        <v>21</v>
      </c>
      <c r="C116" s="39" t="s">
        <v>58</v>
      </c>
      <c r="D116" s="39" t="s">
        <v>93</v>
      </c>
      <c r="E116" s="39" t="s">
        <v>94</v>
      </c>
      <c r="F116" s="39" t="s">
        <v>95</v>
      </c>
      <c r="G116" s="39" t="s">
        <v>96</v>
      </c>
      <c r="H116" s="39" t="s">
        <v>63</v>
      </c>
      <c r="I116" s="39" t="b">
        <v>0</v>
      </c>
      <c r="J116" s="39" t="s">
        <v>63</v>
      </c>
      <c r="K116" s="39" t="b">
        <v>0</v>
      </c>
      <c r="L116" s="39" t="s">
        <v>1049</v>
      </c>
      <c r="M116" s="39" t="s">
        <v>1050</v>
      </c>
      <c r="N116" s="39" t="s">
        <v>2508</v>
      </c>
      <c r="P116" s="39" t="s">
        <v>2508</v>
      </c>
      <c r="R116" s="39" t="s">
        <v>96</v>
      </c>
      <c r="S116" s="39" t="b">
        <f t="shared" si="2"/>
        <v>1</v>
      </c>
      <c r="T116" s="39" t="s">
        <v>95</v>
      </c>
      <c r="U116" s="39" t="b">
        <f t="shared" si="3"/>
        <v>1</v>
      </c>
      <c r="V116" s="39" t="s">
        <v>2564</v>
      </c>
      <c r="W116" s="39" t="s">
        <v>2564</v>
      </c>
      <c r="X116" s="83" t="s">
        <v>1049</v>
      </c>
      <c r="Y116" s="84" t="s">
        <v>1050</v>
      </c>
      <c r="Z116" s="83" t="s">
        <v>2508</v>
      </c>
      <c r="AA116" s="84" t="s">
        <v>2508</v>
      </c>
      <c r="AB116" s="108"/>
      <c r="AC116" s="107"/>
      <c r="AD116" s="84"/>
      <c r="AE116" s="83"/>
      <c r="AF116" s="84"/>
      <c r="AG116" s="83"/>
      <c r="AH116" s="84"/>
      <c r="AI116" s="39" t="s">
        <v>28</v>
      </c>
      <c r="AJ116" s="39" t="s">
        <v>45</v>
      </c>
      <c r="AK116" s="39" t="s">
        <v>1051</v>
      </c>
      <c r="AP116" s="39" t="s">
        <v>1052</v>
      </c>
      <c r="AQ116" s="39" t="s">
        <v>1053</v>
      </c>
      <c r="AR116" s="39" t="s">
        <v>68</v>
      </c>
      <c r="AS116" s="39" t="s">
        <v>32</v>
      </c>
      <c r="AU116" s="44">
        <v>6285711127998</v>
      </c>
      <c r="AX116" s="39" t="s">
        <v>1054</v>
      </c>
      <c r="AZ116" s="39" t="s">
        <v>95</v>
      </c>
      <c r="BA116" s="39" t="s">
        <v>1902</v>
      </c>
      <c r="BB116" s="39" t="s">
        <v>96</v>
      </c>
      <c r="BC116" s="39" t="s">
        <v>1911</v>
      </c>
      <c r="BD116" s="39" t="b">
        <v>1</v>
      </c>
      <c r="BE116" s="39" t="b">
        <v>1</v>
      </c>
      <c r="BF116" s="39" t="s">
        <v>1049</v>
      </c>
      <c r="BG116" s="39" t="s">
        <v>1050</v>
      </c>
      <c r="BH116" s="39" t="s">
        <v>2264</v>
      </c>
      <c r="BI116" s="39" t="s">
        <v>2265</v>
      </c>
      <c r="BJ116" s="39" t="b">
        <v>1</v>
      </c>
      <c r="BK116" s="39" t="b">
        <v>1</v>
      </c>
      <c r="BN116" s="39">
        <v>0</v>
      </c>
      <c r="BO116" s="39" t="s">
        <v>2782</v>
      </c>
      <c r="BP116" s="39" t="s">
        <v>2807</v>
      </c>
    </row>
    <row r="117" spans="1:68">
      <c r="A117" s="39" t="s">
        <v>20</v>
      </c>
      <c r="B117" s="39" t="s">
        <v>21</v>
      </c>
      <c r="C117" s="39" t="s">
        <v>58</v>
      </c>
      <c r="D117" s="39" t="s">
        <v>93</v>
      </c>
      <c r="E117" s="39" t="s">
        <v>94</v>
      </c>
      <c r="F117" s="39" t="s">
        <v>95</v>
      </c>
      <c r="G117" s="39" t="s">
        <v>96</v>
      </c>
      <c r="H117" s="39" t="s">
        <v>63</v>
      </c>
      <c r="I117" s="39" t="b">
        <v>0</v>
      </c>
      <c r="J117" s="39" t="s">
        <v>63</v>
      </c>
      <c r="K117" s="39" t="b">
        <v>0</v>
      </c>
      <c r="L117" s="39" t="s">
        <v>1055</v>
      </c>
      <c r="M117" s="39" t="s">
        <v>1056</v>
      </c>
      <c r="N117" s="39" t="s">
        <v>2508</v>
      </c>
      <c r="P117" s="39" t="s">
        <v>2510</v>
      </c>
      <c r="S117" s="39" t="b">
        <f t="shared" si="2"/>
        <v>0</v>
      </c>
      <c r="T117" s="39" t="s">
        <v>95</v>
      </c>
      <c r="U117" s="39" t="b">
        <f t="shared" si="3"/>
        <v>1</v>
      </c>
      <c r="V117" s="39" t="s">
        <v>2564</v>
      </c>
      <c r="W117" s="39" t="s">
        <v>2562</v>
      </c>
      <c r="X117" s="83" t="s">
        <v>1055</v>
      </c>
      <c r="Y117" s="84" t="s">
        <v>1056</v>
      </c>
      <c r="Z117" s="83" t="s">
        <v>2508</v>
      </c>
      <c r="AA117" s="84" t="s">
        <v>2510</v>
      </c>
      <c r="AB117" s="108"/>
      <c r="AC117" s="107"/>
      <c r="AD117" s="84" t="s">
        <v>2762</v>
      </c>
      <c r="AE117" s="83"/>
      <c r="AF117" s="84"/>
      <c r="AG117" s="83"/>
      <c r="AH117" s="84"/>
      <c r="AI117" s="39" t="s">
        <v>28</v>
      </c>
      <c r="AJ117" s="39" t="s">
        <v>45</v>
      </c>
      <c r="AK117" s="39" t="s">
        <v>1057</v>
      </c>
      <c r="AP117" s="39" t="s">
        <v>1058</v>
      </c>
      <c r="AQ117" s="39" t="s">
        <v>1059</v>
      </c>
      <c r="AR117" s="39" t="s">
        <v>68</v>
      </c>
      <c r="AS117" s="39" t="s">
        <v>32</v>
      </c>
      <c r="AU117" s="44">
        <v>6280086422494</v>
      </c>
      <c r="AX117" s="39" t="s">
        <v>1060</v>
      </c>
      <c r="AZ117" s="39" t="s">
        <v>95</v>
      </c>
      <c r="BA117" s="39" t="s">
        <v>1902</v>
      </c>
      <c r="BB117" s="39" t="s">
        <v>96</v>
      </c>
      <c r="BC117" s="39" t="s">
        <v>1911</v>
      </c>
      <c r="BD117" s="39" t="b">
        <v>1</v>
      </c>
      <c r="BE117" s="39" t="b">
        <v>1</v>
      </c>
      <c r="BF117" s="39" t="s">
        <v>1055</v>
      </c>
      <c r="BG117" s="39" t="s">
        <v>1056</v>
      </c>
      <c r="BH117" s="39" t="s">
        <v>2266</v>
      </c>
      <c r="BI117" s="39" t="s">
        <v>2267</v>
      </c>
      <c r="BJ117" s="39" t="b">
        <v>1</v>
      </c>
      <c r="BK117" s="39" t="b">
        <v>1</v>
      </c>
      <c r="BN117" s="39">
        <v>0</v>
      </c>
      <c r="BO117" s="39" t="s">
        <v>2782</v>
      </c>
      <c r="BP117" s="39" t="s">
        <v>2807</v>
      </c>
    </row>
    <row r="118" spans="1:68">
      <c r="A118" s="39" t="s">
        <v>20</v>
      </c>
      <c r="B118" s="39" t="s">
        <v>21</v>
      </c>
      <c r="C118" s="39" t="s">
        <v>58</v>
      </c>
      <c r="D118" s="39" t="s">
        <v>93</v>
      </c>
      <c r="E118" s="39" t="s">
        <v>94</v>
      </c>
      <c r="F118" s="39" t="s">
        <v>95</v>
      </c>
      <c r="G118" s="39" t="s">
        <v>96</v>
      </c>
      <c r="H118" s="39" t="s">
        <v>63</v>
      </c>
      <c r="I118" s="39" t="b">
        <v>0</v>
      </c>
      <c r="J118" s="39" t="s">
        <v>63</v>
      </c>
      <c r="K118" s="39" t="b">
        <v>0</v>
      </c>
      <c r="L118" s="39" t="s">
        <v>1732</v>
      </c>
      <c r="M118" s="39" t="s">
        <v>1731</v>
      </c>
      <c r="N118" s="39" t="s">
        <v>2508</v>
      </c>
      <c r="P118" s="39" t="s">
        <v>2508</v>
      </c>
      <c r="R118" s="39" t="s">
        <v>96</v>
      </c>
      <c r="S118" s="39" t="b">
        <f t="shared" si="2"/>
        <v>1</v>
      </c>
      <c r="T118" s="39" t="s">
        <v>95</v>
      </c>
      <c r="U118" s="39" t="b">
        <f t="shared" si="3"/>
        <v>1</v>
      </c>
      <c r="V118" s="39" t="s">
        <v>2564</v>
      </c>
      <c r="W118" s="39" t="s">
        <v>2564</v>
      </c>
      <c r="X118" s="83" t="s">
        <v>1732</v>
      </c>
      <c r="Y118" s="84" t="s">
        <v>1731</v>
      </c>
      <c r="Z118" s="83" t="s">
        <v>2508</v>
      </c>
      <c r="AA118" s="84" t="s">
        <v>2508</v>
      </c>
      <c r="AB118" s="108"/>
      <c r="AC118" s="107"/>
      <c r="AD118" s="84"/>
      <c r="AE118" s="83"/>
      <c r="AF118" s="84"/>
      <c r="AG118" s="83"/>
      <c r="AH118" s="84"/>
      <c r="AI118" s="39" t="s">
        <v>28</v>
      </c>
      <c r="AJ118" s="39" t="s">
        <v>45</v>
      </c>
      <c r="AK118" s="39" t="s">
        <v>1733</v>
      </c>
      <c r="AP118" s="39" t="s">
        <v>1734</v>
      </c>
      <c r="AQ118" s="39" t="s">
        <v>1735</v>
      </c>
      <c r="AR118" s="39" t="s">
        <v>68</v>
      </c>
      <c r="AS118" s="39" t="s">
        <v>32</v>
      </c>
      <c r="AU118" s="44">
        <v>62895386853434</v>
      </c>
      <c r="AX118" s="39" t="s">
        <v>1736</v>
      </c>
      <c r="AZ118" s="39" t="s">
        <v>95</v>
      </c>
      <c r="BA118" s="39" t="s">
        <v>1902</v>
      </c>
      <c r="BB118" s="39" t="s">
        <v>96</v>
      </c>
      <c r="BC118" s="39" t="s">
        <v>1911</v>
      </c>
      <c r="BD118" s="39" t="b">
        <v>1</v>
      </c>
      <c r="BE118" s="39" t="b">
        <v>1</v>
      </c>
      <c r="BF118" s="39" t="s">
        <v>1732</v>
      </c>
      <c r="BG118" s="39" t="s">
        <v>1731</v>
      </c>
      <c r="BH118" s="39" t="s">
        <v>2454</v>
      </c>
      <c r="BI118" s="39" t="s">
        <v>2455</v>
      </c>
      <c r="BJ118" s="39" t="b">
        <v>1</v>
      </c>
      <c r="BK118" s="39" t="b">
        <v>1</v>
      </c>
      <c r="BN118" s="39" t="s">
        <v>2505</v>
      </c>
      <c r="BO118" s="39" t="s">
        <v>2782</v>
      </c>
      <c r="BP118" s="39" t="s">
        <v>2807</v>
      </c>
    </row>
    <row r="119" spans="1:68">
      <c r="A119" s="39" t="s">
        <v>20</v>
      </c>
      <c r="B119" s="39" t="s">
        <v>21</v>
      </c>
      <c r="C119" s="39" t="s">
        <v>58</v>
      </c>
      <c r="D119" s="39" t="s">
        <v>93</v>
      </c>
      <c r="E119" s="39" t="s">
        <v>94</v>
      </c>
      <c r="F119" s="39" t="s">
        <v>95</v>
      </c>
      <c r="G119" s="39" t="s">
        <v>96</v>
      </c>
      <c r="H119" s="39" t="s">
        <v>63</v>
      </c>
      <c r="I119" s="39" t="b">
        <v>0</v>
      </c>
      <c r="J119" s="39" t="s">
        <v>63</v>
      </c>
      <c r="K119" s="39" t="b">
        <v>0</v>
      </c>
      <c r="L119" s="39" t="s">
        <v>1744</v>
      </c>
      <c r="M119" s="39" t="s">
        <v>1743</v>
      </c>
      <c r="N119" s="39" t="s">
        <v>2508</v>
      </c>
      <c r="P119" s="39" t="s">
        <v>2508</v>
      </c>
      <c r="R119" s="39" t="s">
        <v>96</v>
      </c>
      <c r="S119" s="39" t="b">
        <f t="shared" si="2"/>
        <v>1</v>
      </c>
      <c r="T119" s="39" t="s">
        <v>95</v>
      </c>
      <c r="U119" s="39" t="b">
        <f t="shared" si="3"/>
        <v>1</v>
      </c>
      <c r="V119" s="39" t="s">
        <v>2564</v>
      </c>
      <c r="W119" s="39" t="s">
        <v>2564</v>
      </c>
      <c r="X119" s="83" t="s">
        <v>1744</v>
      </c>
      <c r="Y119" s="84" t="s">
        <v>1743</v>
      </c>
      <c r="Z119" s="83" t="s">
        <v>2508</v>
      </c>
      <c r="AA119" s="84" t="s">
        <v>2508</v>
      </c>
      <c r="AB119" s="108"/>
      <c r="AC119" s="107"/>
      <c r="AD119" s="84"/>
      <c r="AE119" s="83"/>
      <c r="AF119" s="84"/>
      <c r="AG119" s="83"/>
      <c r="AH119" s="84"/>
      <c r="AI119" s="39" t="s">
        <v>28</v>
      </c>
      <c r="AJ119" s="39" t="s">
        <v>45</v>
      </c>
      <c r="AK119" s="39" t="s">
        <v>1745</v>
      </c>
      <c r="AP119" s="39" t="s">
        <v>1746</v>
      </c>
      <c r="AQ119" s="39" t="s">
        <v>1747</v>
      </c>
      <c r="AR119" s="39" t="s">
        <v>68</v>
      </c>
      <c r="AS119" s="39" t="s">
        <v>32</v>
      </c>
      <c r="AU119" s="44">
        <v>62895386859030</v>
      </c>
      <c r="AX119" s="39" t="s">
        <v>1748</v>
      </c>
      <c r="AZ119" s="39" t="s">
        <v>95</v>
      </c>
      <c r="BA119" s="39" t="s">
        <v>1902</v>
      </c>
      <c r="BB119" s="39" t="s">
        <v>96</v>
      </c>
      <c r="BC119" s="39" t="s">
        <v>1911</v>
      </c>
      <c r="BD119" s="39" t="b">
        <v>1</v>
      </c>
      <c r="BE119" s="39" t="b">
        <v>1</v>
      </c>
      <c r="BF119" s="39" t="s">
        <v>1744</v>
      </c>
      <c r="BG119" s="39" t="s">
        <v>1743</v>
      </c>
      <c r="BH119" s="39" t="s">
        <v>2458</v>
      </c>
      <c r="BI119" s="39" t="s">
        <v>2459</v>
      </c>
      <c r="BJ119" s="39" t="b">
        <v>1</v>
      </c>
      <c r="BK119" s="39" t="b">
        <v>1</v>
      </c>
      <c r="BN119" s="39">
        <v>0</v>
      </c>
      <c r="BO119" s="39" t="s">
        <v>2782</v>
      </c>
      <c r="BP119" s="39" t="s">
        <v>2807</v>
      </c>
    </row>
    <row r="120" spans="1:68">
      <c r="A120" s="39" t="s">
        <v>20</v>
      </c>
      <c r="B120" s="39" t="s">
        <v>21</v>
      </c>
      <c r="C120" s="39" t="s">
        <v>58</v>
      </c>
      <c r="D120" s="39" t="s">
        <v>93</v>
      </c>
      <c r="E120" s="39" t="s">
        <v>94</v>
      </c>
      <c r="F120" s="39" t="s">
        <v>95</v>
      </c>
      <c r="G120" s="39" t="s">
        <v>96</v>
      </c>
      <c r="H120" s="39" t="s">
        <v>63</v>
      </c>
      <c r="I120" s="39" t="b">
        <v>0</v>
      </c>
      <c r="J120" s="39" t="s">
        <v>63</v>
      </c>
      <c r="K120" s="39" t="b">
        <v>0</v>
      </c>
      <c r="L120" s="39" t="s">
        <v>1869</v>
      </c>
      <c r="M120" s="39" t="s">
        <v>1868</v>
      </c>
      <c r="N120" s="39" t="s">
        <v>2508</v>
      </c>
      <c r="P120" s="39" t="s">
        <v>2508</v>
      </c>
      <c r="R120" s="39" t="s">
        <v>96</v>
      </c>
      <c r="S120" s="39" t="b">
        <f t="shared" si="2"/>
        <v>1</v>
      </c>
      <c r="T120" s="39" t="s">
        <v>95</v>
      </c>
      <c r="U120" s="39" t="b">
        <f t="shared" si="3"/>
        <v>1</v>
      </c>
      <c r="V120" s="39" t="s">
        <v>2564</v>
      </c>
      <c r="W120" s="39" t="s">
        <v>2564</v>
      </c>
      <c r="X120" s="83" t="s">
        <v>1869</v>
      </c>
      <c r="Y120" s="84" t="s">
        <v>1868</v>
      </c>
      <c r="Z120" s="83" t="s">
        <v>2508</v>
      </c>
      <c r="AA120" s="84" t="s">
        <v>2508</v>
      </c>
      <c r="AB120" s="108"/>
      <c r="AC120" s="107"/>
      <c r="AD120" s="84"/>
      <c r="AE120" s="83"/>
      <c r="AF120" s="84"/>
      <c r="AG120" s="83"/>
      <c r="AH120" s="84"/>
      <c r="AI120" s="39" t="s">
        <v>28</v>
      </c>
      <c r="AJ120" s="39" t="s">
        <v>45</v>
      </c>
      <c r="AK120" s="39" t="s">
        <v>1870</v>
      </c>
      <c r="AP120" s="39" t="s">
        <v>1871</v>
      </c>
      <c r="AQ120" s="39" t="s">
        <v>1872</v>
      </c>
      <c r="AR120" s="39" t="s">
        <v>68</v>
      </c>
      <c r="AS120" s="39" t="s">
        <v>32</v>
      </c>
      <c r="AU120" s="44">
        <v>6289602778024</v>
      </c>
      <c r="AX120" s="39" t="s">
        <v>1873</v>
      </c>
      <c r="AZ120" s="39" t="s">
        <v>95</v>
      </c>
      <c r="BA120" s="39" t="s">
        <v>1902</v>
      </c>
      <c r="BB120" s="39" t="s">
        <v>96</v>
      </c>
      <c r="BC120" s="39" t="s">
        <v>1911</v>
      </c>
      <c r="BD120" s="39" t="b">
        <v>1</v>
      </c>
      <c r="BE120" s="39" t="b">
        <v>1</v>
      </c>
      <c r="BF120" s="39" t="s">
        <v>1869</v>
      </c>
      <c r="BG120" s="39" t="s">
        <v>1868</v>
      </c>
      <c r="BH120" s="39" t="s">
        <v>2496</v>
      </c>
      <c r="BI120" s="39" t="s">
        <v>2497</v>
      </c>
      <c r="BJ120" s="39" t="b">
        <v>1</v>
      </c>
      <c r="BK120" s="39" t="b">
        <v>1</v>
      </c>
      <c r="BN120" s="39">
        <v>0</v>
      </c>
      <c r="BO120" s="39" t="s">
        <v>2782</v>
      </c>
      <c r="BP120" s="39" t="s">
        <v>2807</v>
      </c>
    </row>
    <row r="121" spans="1:68">
      <c r="A121" s="39" t="s">
        <v>20</v>
      </c>
      <c r="B121" s="39" t="s">
        <v>21</v>
      </c>
      <c r="C121" s="39" t="s">
        <v>58</v>
      </c>
      <c r="D121" s="39" t="s">
        <v>93</v>
      </c>
      <c r="E121" s="39" t="s">
        <v>94</v>
      </c>
      <c r="F121" s="39" t="s">
        <v>95</v>
      </c>
      <c r="G121" s="39" t="s">
        <v>96</v>
      </c>
      <c r="H121" s="39" t="s">
        <v>63</v>
      </c>
      <c r="I121" s="39" t="b">
        <v>0</v>
      </c>
      <c r="J121" s="39" t="s">
        <v>63</v>
      </c>
      <c r="K121" s="39" t="b">
        <v>0</v>
      </c>
      <c r="L121" s="39" t="s">
        <v>1875</v>
      </c>
      <c r="M121" s="39" t="s">
        <v>1874</v>
      </c>
      <c r="N121" s="39" t="s">
        <v>2508</v>
      </c>
      <c r="P121" s="39" t="s">
        <v>2508</v>
      </c>
      <c r="R121" s="39" t="s">
        <v>96</v>
      </c>
      <c r="S121" s="39" t="b">
        <f t="shared" si="2"/>
        <v>1</v>
      </c>
      <c r="T121" s="39" t="s">
        <v>95</v>
      </c>
      <c r="U121" s="39" t="b">
        <f t="shared" si="3"/>
        <v>1</v>
      </c>
      <c r="V121" s="39" t="s">
        <v>2564</v>
      </c>
      <c r="W121" s="39" t="s">
        <v>2564</v>
      </c>
      <c r="X121" s="83" t="s">
        <v>1875</v>
      </c>
      <c r="Y121" s="84" t="s">
        <v>1874</v>
      </c>
      <c r="Z121" s="83" t="s">
        <v>2508</v>
      </c>
      <c r="AA121" s="84" t="s">
        <v>2508</v>
      </c>
      <c r="AB121" s="108"/>
      <c r="AC121" s="107"/>
      <c r="AD121" s="84"/>
      <c r="AE121" s="83"/>
      <c r="AF121" s="84"/>
      <c r="AG121" s="83"/>
      <c r="AH121" s="84"/>
      <c r="AI121" s="39" t="s">
        <v>28</v>
      </c>
      <c r="AJ121" s="39" t="s">
        <v>45</v>
      </c>
      <c r="AK121" s="39" t="s">
        <v>1876</v>
      </c>
      <c r="AP121" s="39" t="s">
        <v>1877</v>
      </c>
      <c r="AQ121" s="39" t="s">
        <v>1878</v>
      </c>
      <c r="AR121" s="39" t="s">
        <v>68</v>
      </c>
      <c r="AS121" s="39" t="s">
        <v>32</v>
      </c>
      <c r="AU121" s="44">
        <v>6289602778025</v>
      </c>
      <c r="AX121" s="39" t="s">
        <v>1879</v>
      </c>
      <c r="AZ121" s="39" t="s">
        <v>95</v>
      </c>
      <c r="BA121" s="39" t="s">
        <v>1902</v>
      </c>
      <c r="BB121" s="39" t="s">
        <v>96</v>
      </c>
      <c r="BC121" s="39" t="s">
        <v>1911</v>
      </c>
      <c r="BD121" s="39" t="b">
        <v>1</v>
      </c>
      <c r="BE121" s="39" t="b">
        <v>1</v>
      </c>
      <c r="BF121" s="39" t="s">
        <v>1875</v>
      </c>
      <c r="BG121" s="39" t="s">
        <v>1874</v>
      </c>
      <c r="BH121" s="39" t="s">
        <v>2498</v>
      </c>
      <c r="BI121" s="39" t="s">
        <v>2499</v>
      </c>
      <c r="BJ121" s="39" t="b">
        <v>1</v>
      </c>
      <c r="BK121" s="39" t="b">
        <v>1</v>
      </c>
      <c r="BN121" s="39">
        <v>0</v>
      </c>
      <c r="BO121" s="39" t="s">
        <v>2782</v>
      </c>
      <c r="BP121" s="39" t="s">
        <v>2807</v>
      </c>
    </row>
    <row r="122" spans="1:68">
      <c r="A122" s="39" t="s">
        <v>20</v>
      </c>
      <c r="B122" s="39" t="s">
        <v>21</v>
      </c>
      <c r="C122" s="39" t="s">
        <v>58</v>
      </c>
      <c r="D122" s="39" t="s">
        <v>59</v>
      </c>
      <c r="E122" s="39" t="s">
        <v>60</v>
      </c>
      <c r="F122" s="39" t="s">
        <v>61</v>
      </c>
      <c r="G122" s="39" t="s">
        <v>62</v>
      </c>
      <c r="H122" s="39" t="s">
        <v>63</v>
      </c>
      <c r="I122" s="39" t="b">
        <v>0</v>
      </c>
      <c r="J122" s="39" t="s">
        <v>63</v>
      </c>
      <c r="K122" s="39" t="b">
        <v>0</v>
      </c>
      <c r="L122" s="39">
        <v>2613050467</v>
      </c>
      <c r="M122" s="39" t="s">
        <v>64</v>
      </c>
      <c r="N122" s="39" t="s">
        <v>2508</v>
      </c>
      <c r="P122" s="39" t="s">
        <v>2508</v>
      </c>
      <c r="R122" s="39" t="s">
        <v>62</v>
      </c>
      <c r="S122" s="39" t="b">
        <f t="shared" si="2"/>
        <v>1</v>
      </c>
      <c r="T122" s="39" t="s">
        <v>95</v>
      </c>
      <c r="U122" s="39" t="b">
        <f t="shared" si="3"/>
        <v>0</v>
      </c>
      <c r="V122" s="39" t="s">
        <v>2561</v>
      </c>
      <c r="W122" s="39" t="s">
        <v>2564</v>
      </c>
      <c r="X122" s="83">
        <v>2613050467</v>
      </c>
      <c r="Y122" s="84" t="s">
        <v>64</v>
      </c>
      <c r="Z122" s="83" t="s">
        <v>2508</v>
      </c>
      <c r="AA122" s="84" t="s">
        <v>2508</v>
      </c>
      <c r="AB122" s="108"/>
      <c r="AC122" s="107"/>
      <c r="AD122" s="84"/>
      <c r="AE122" s="83"/>
      <c r="AF122" s="84"/>
      <c r="AG122" s="83"/>
      <c r="AH122" s="84"/>
      <c r="AI122" s="39" t="s">
        <v>28</v>
      </c>
      <c r="AJ122" s="39" t="s">
        <v>45</v>
      </c>
      <c r="AK122" s="39" t="s">
        <v>65</v>
      </c>
      <c r="AP122" s="39" t="s">
        <v>66</v>
      </c>
      <c r="AQ122" s="39" t="s">
        <v>67</v>
      </c>
      <c r="AR122" s="39" t="s">
        <v>68</v>
      </c>
      <c r="AS122" s="39" t="s">
        <v>32</v>
      </c>
      <c r="AU122" s="44">
        <v>6280086422493</v>
      </c>
      <c r="AX122" s="39" t="s">
        <v>69</v>
      </c>
      <c r="AZ122" s="39" t="s">
        <v>61</v>
      </c>
      <c r="BA122" s="39" t="s">
        <v>1902</v>
      </c>
      <c r="BB122" s="39" t="s">
        <v>62</v>
      </c>
      <c r="BC122" s="39" t="s">
        <v>1911</v>
      </c>
      <c r="BD122" s="39" t="b">
        <v>1</v>
      </c>
      <c r="BE122" s="39" t="b">
        <v>1</v>
      </c>
      <c r="BF122" s="39">
        <v>2613050467</v>
      </c>
      <c r="BG122" s="39" t="s">
        <v>64</v>
      </c>
      <c r="BH122" s="39" t="s">
        <v>2004</v>
      </c>
      <c r="BI122" s="39" t="s">
        <v>2005</v>
      </c>
      <c r="BJ122" s="39" t="b">
        <v>1</v>
      </c>
      <c r="BK122" s="39" t="b">
        <v>1</v>
      </c>
      <c r="BN122" s="39">
        <v>0</v>
      </c>
      <c r="BO122" s="39" t="s">
        <v>2783</v>
      </c>
      <c r="BP122" s="39" t="s">
        <v>2807</v>
      </c>
    </row>
    <row r="123" spans="1:68">
      <c r="A123" s="39" t="s">
        <v>20</v>
      </c>
      <c r="B123" s="39" t="s">
        <v>21</v>
      </c>
      <c r="C123" s="39" t="s">
        <v>58</v>
      </c>
      <c r="D123" s="39" t="s">
        <v>59</v>
      </c>
      <c r="E123" s="39" t="s">
        <v>60</v>
      </c>
      <c r="F123" s="39" t="s">
        <v>61</v>
      </c>
      <c r="G123" s="39" t="s">
        <v>62</v>
      </c>
      <c r="H123" s="39" t="s">
        <v>63</v>
      </c>
      <c r="I123" s="39" t="b">
        <v>0</v>
      </c>
      <c r="J123" s="39" t="s">
        <v>63</v>
      </c>
      <c r="K123" s="39" t="b">
        <v>0</v>
      </c>
      <c r="L123" s="39" t="s">
        <v>1516</v>
      </c>
      <c r="M123" s="39" t="s">
        <v>1515</v>
      </c>
      <c r="N123" s="39" t="s">
        <v>2508</v>
      </c>
      <c r="P123" s="39" t="s">
        <v>2543</v>
      </c>
      <c r="Q123" s="39" t="s">
        <v>1219</v>
      </c>
      <c r="R123" s="39" t="s">
        <v>1219</v>
      </c>
      <c r="S123" s="39" t="b">
        <f t="shared" si="2"/>
        <v>0</v>
      </c>
      <c r="T123" s="39" t="s">
        <v>61</v>
      </c>
      <c r="U123" s="39" t="b">
        <f t="shared" si="3"/>
        <v>1</v>
      </c>
      <c r="V123" s="39" t="s">
        <v>2564</v>
      </c>
      <c r="W123" s="39" t="s">
        <v>2561</v>
      </c>
      <c r="X123" s="83" t="s">
        <v>1516</v>
      </c>
      <c r="Y123" s="84" t="s">
        <v>1515</v>
      </c>
      <c r="Z123" s="83" t="s">
        <v>2508</v>
      </c>
      <c r="AA123" s="84" t="s">
        <v>2509</v>
      </c>
      <c r="AB123" s="108"/>
      <c r="AC123" s="107"/>
      <c r="AD123" s="84"/>
      <c r="AE123" s="83"/>
      <c r="AF123" s="84"/>
      <c r="AG123" s="83"/>
      <c r="AH123" s="84"/>
      <c r="AI123" s="39" t="s">
        <v>28</v>
      </c>
      <c r="AJ123" s="39" t="s">
        <v>45</v>
      </c>
      <c r="AK123" s="39" t="s">
        <v>1517</v>
      </c>
      <c r="AM123" s="39" t="s">
        <v>1517</v>
      </c>
      <c r="AN123" s="39" t="s">
        <v>1517</v>
      </c>
      <c r="AO123" s="39" t="b">
        <v>0</v>
      </c>
      <c r="AP123" s="39" t="s">
        <v>1518</v>
      </c>
      <c r="AQ123" s="39" t="s">
        <v>1519</v>
      </c>
      <c r="AR123" s="39" t="s">
        <v>68</v>
      </c>
      <c r="AS123" s="39" t="s">
        <v>32</v>
      </c>
      <c r="AU123" s="44">
        <v>62895386853131</v>
      </c>
      <c r="AX123" s="39" t="s">
        <v>1520</v>
      </c>
      <c r="AY123" s="39" t="s">
        <v>519</v>
      </c>
      <c r="AZ123" s="39" t="s">
        <v>61</v>
      </c>
      <c r="BA123" s="39" t="s">
        <v>1902</v>
      </c>
      <c r="BB123" s="39" t="s">
        <v>62</v>
      </c>
      <c r="BC123" s="39" t="s">
        <v>1911</v>
      </c>
      <c r="BD123" s="39" t="b">
        <v>1</v>
      </c>
      <c r="BE123" s="39" t="b">
        <v>1</v>
      </c>
      <c r="BF123" s="39" t="s">
        <v>1516</v>
      </c>
      <c r="BG123" s="39" t="s">
        <v>1515</v>
      </c>
      <c r="BH123" s="39" t="s">
        <v>2396</v>
      </c>
      <c r="BI123" s="39" t="s">
        <v>2397</v>
      </c>
      <c r="BJ123" s="39" t="b">
        <v>1</v>
      </c>
      <c r="BK123" s="39" t="b">
        <v>1</v>
      </c>
      <c r="BN123" s="39" t="s">
        <v>2505</v>
      </c>
      <c r="BO123" s="39" t="s">
        <v>2783</v>
      </c>
      <c r="BP123" s="39" t="s">
        <v>2807</v>
      </c>
    </row>
    <row r="124" spans="1:68">
      <c r="A124" s="39" t="s">
        <v>20</v>
      </c>
      <c r="B124" s="39" t="s">
        <v>21</v>
      </c>
      <c r="C124" s="39" t="s">
        <v>58</v>
      </c>
      <c r="D124" s="39" t="s">
        <v>59</v>
      </c>
      <c r="E124" s="39" t="s">
        <v>60</v>
      </c>
      <c r="F124" s="39" t="s">
        <v>61</v>
      </c>
      <c r="G124" s="39" t="s">
        <v>62</v>
      </c>
      <c r="H124" s="39" t="s">
        <v>63</v>
      </c>
      <c r="I124" s="39" t="b">
        <v>0</v>
      </c>
      <c r="J124" s="39" t="s">
        <v>63</v>
      </c>
      <c r="K124" s="39" t="b">
        <v>0</v>
      </c>
      <c r="L124" s="39" t="s">
        <v>1726</v>
      </c>
      <c r="M124" s="39" t="s">
        <v>1725</v>
      </c>
      <c r="N124" s="39" t="s">
        <v>2508</v>
      </c>
      <c r="P124" s="39" t="s">
        <v>2543</v>
      </c>
      <c r="Q124" s="39" t="s">
        <v>96</v>
      </c>
      <c r="R124" s="39" t="s">
        <v>96</v>
      </c>
      <c r="S124" s="39" t="b">
        <f t="shared" si="2"/>
        <v>0</v>
      </c>
      <c r="T124" s="39" t="s">
        <v>61</v>
      </c>
      <c r="U124" s="39" t="b">
        <f t="shared" si="3"/>
        <v>1</v>
      </c>
      <c r="V124" s="39" t="s">
        <v>2564</v>
      </c>
      <c r="W124" s="39" t="s">
        <v>2561</v>
      </c>
      <c r="X124" s="83" t="s">
        <v>1726</v>
      </c>
      <c r="Y124" s="84" t="s">
        <v>1725</v>
      </c>
      <c r="Z124" s="83" t="s">
        <v>2508</v>
      </c>
      <c r="AA124" s="84" t="s">
        <v>2509</v>
      </c>
      <c r="AB124" s="108"/>
      <c r="AC124" s="107"/>
      <c r="AD124" s="84"/>
      <c r="AE124" s="83"/>
      <c r="AF124" s="84"/>
      <c r="AG124" s="83"/>
      <c r="AH124" s="84"/>
      <c r="AI124" s="39" t="s">
        <v>28</v>
      </c>
      <c r="AJ124" s="39" t="s">
        <v>45</v>
      </c>
      <c r="AK124" s="39" t="s">
        <v>1727</v>
      </c>
      <c r="AP124" s="39" t="s">
        <v>1728</v>
      </c>
      <c r="AQ124" s="39" t="s">
        <v>1729</v>
      </c>
      <c r="AR124" s="39" t="s">
        <v>68</v>
      </c>
      <c r="AS124" s="39" t="s">
        <v>32</v>
      </c>
      <c r="AU124" s="44">
        <v>62895386584545</v>
      </c>
      <c r="AX124" s="39" t="s">
        <v>1730</v>
      </c>
      <c r="AZ124" s="39" t="s">
        <v>61</v>
      </c>
      <c r="BA124" s="39" t="s">
        <v>1902</v>
      </c>
      <c r="BB124" s="39" t="s">
        <v>62</v>
      </c>
      <c r="BC124" s="39" t="s">
        <v>1911</v>
      </c>
      <c r="BD124" s="39" t="b">
        <v>1</v>
      </c>
      <c r="BE124" s="39" t="b">
        <v>1</v>
      </c>
      <c r="BF124" s="39" t="s">
        <v>1726</v>
      </c>
      <c r="BG124" s="39" t="s">
        <v>1725</v>
      </c>
      <c r="BH124" s="39" t="s">
        <v>2452</v>
      </c>
      <c r="BI124" s="39" t="s">
        <v>2453</v>
      </c>
      <c r="BJ124" s="39" t="b">
        <v>1</v>
      </c>
      <c r="BK124" s="39" t="b">
        <v>1</v>
      </c>
      <c r="BN124" s="39" t="s">
        <v>2505</v>
      </c>
      <c r="BO124" s="39" t="s">
        <v>2783</v>
      </c>
      <c r="BP124" s="39" t="s">
        <v>2807</v>
      </c>
    </row>
    <row r="125" spans="1:68">
      <c r="A125" s="39" t="s">
        <v>20</v>
      </c>
      <c r="B125" s="39" t="s">
        <v>21</v>
      </c>
      <c r="C125" s="39" t="s">
        <v>58</v>
      </c>
      <c r="D125" s="39" t="s">
        <v>59</v>
      </c>
      <c r="E125" s="39" t="s">
        <v>60</v>
      </c>
      <c r="F125" s="39" t="s">
        <v>61</v>
      </c>
      <c r="G125" s="39" t="s">
        <v>62</v>
      </c>
      <c r="H125" s="39" t="s">
        <v>63</v>
      </c>
      <c r="I125" s="39" t="b">
        <v>0</v>
      </c>
      <c r="J125" s="39" t="s">
        <v>63</v>
      </c>
      <c r="K125" s="39" t="b">
        <v>0</v>
      </c>
      <c r="L125" s="39" t="s">
        <v>1738</v>
      </c>
      <c r="M125" s="39" t="s">
        <v>1737</v>
      </c>
      <c r="N125" s="39" t="s">
        <v>2508</v>
      </c>
      <c r="P125" s="39" t="s">
        <v>2543</v>
      </c>
      <c r="Q125" s="39" t="s">
        <v>96</v>
      </c>
      <c r="R125" s="39" t="s">
        <v>96</v>
      </c>
      <c r="S125" s="39" t="b">
        <f t="shared" si="2"/>
        <v>0</v>
      </c>
      <c r="T125" s="39" t="s">
        <v>61</v>
      </c>
      <c r="U125" s="39" t="b">
        <f t="shared" si="3"/>
        <v>1</v>
      </c>
      <c r="V125" s="39" t="s">
        <v>2564</v>
      </c>
      <c r="W125" s="39" t="s">
        <v>2561</v>
      </c>
      <c r="X125" s="83" t="s">
        <v>1738</v>
      </c>
      <c r="Y125" s="84" t="s">
        <v>1737</v>
      </c>
      <c r="Z125" s="83" t="s">
        <v>2508</v>
      </c>
      <c r="AA125" s="84" t="s">
        <v>2509</v>
      </c>
      <c r="AB125" s="108"/>
      <c r="AC125" s="107"/>
      <c r="AD125" s="84"/>
      <c r="AE125" s="83"/>
      <c r="AF125" s="84"/>
      <c r="AG125" s="83"/>
      <c r="AH125" s="84"/>
      <c r="AI125" s="39" t="s">
        <v>28</v>
      </c>
      <c r="AJ125" s="39" t="s">
        <v>45</v>
      </c>
      <c r="AK125" s="39" t="s">
        <v>1739</v>
      </c>
      <c r="AP125" s="39" t="s">
        <v>1740</v>
      </c>
      <c r="AQ125" s="39" t="s">
        <v>1741</v>
      </c>
      <c r="AR125" s="39" t="s">
        <v>119</v>
      </c>
      <c r="AS125" s="39" t="s">
        <v>32</v>
      </c>
      <c r="AU125" s="44">
        <v>62895386854646</v>
      </c>
      <c r="AX125" s="39" t="s">
        <v>1742</v>
      </c>
      <c r="AZ125" s="39" t="s">
        <v>61</v>
      </c>
      <c r="BA125" s="39" t="s">
        <v>1902</v>
      </c>
      <c r="BB125" s="39" t="s">
        <v>62</v>
      </c>
      <c r="BC125" s="39" t="s">
        <v>1911</v>
      </c>
      <c r="BD125" s="39" t="b">
        <v>1</v>
      </c>
      <c r="BE125" s="39" t="b">
        <v>1</v>
      </c>
      <c r="BF125" s="39" t="s">
        <v>1738</v>
      </c>
      <c r="BG125" s="39" t="s">
        <v>1737</v>
      </c>
      <c r="BH125" s="39" t="s">
        <v>2456</v>
      </c>
      <c r="BI125" s="39" t="s">
        <v>2457</v>
      </c>
      <c r="BJ125" s="39" t="b">
        <v>1</v>
      </c>
      <c r="BK125" s="39" t="b">
        <v>1</v>
      </c>
      <c r="BN125" s="39" t="s">
        <v>2505</v>
      </c>
      <c r="BO125" s="39" t="s">
        <v>2783</v>
      </c>
      <c r="BP125" s="39" t="s">
        <v>2807</v>
      </c>
    </row>
    <row r="126" spans="1:68">
      <c r="A126" s="39" t="s">
        <v>20</v>
      </c>
      <c r="B126" s="39" t="s">
        <v>21</v>
      </c>
      <c r="C126" s="39" t="s">
        <v>58</v>
      </c>
      <c r="D126" s="39" t="s">
        <v>59</v>
      </c>
      <c r="E126" s="39" t="s">
        <v>60</v>
      </c>
      <c r="F126" s="39" t="s">
        <v>61</v>
      </c>
      <c r="G126" s="39" t="s">
        <v>62</v>
      </c>
      <c r="H126" s="39" t="s">
        <v>63</v>
      </c>
      <c r="I126" s="39" t="b">
        <v>0</v>
      </c>
      <c r="J126" s="39" t="s">
        <v>63</v>
      </c>
      <c r="K126" s="39" t="b">
        <v>0</v>
      </c>
      <c r="L126" s="39" t="s">
        <v>1750</v>
      </c>
      <c r="M126" s="39" t="s">
        <v>1749</v>
      </c>
      <c r="N126" s="39" t="s">
        <v>2508</v>
      </c>
      <c r="P126" s="39" t="s">
        <v>2543</v>
      </c>
      <c r="Q126" s="39" t="s">
        <v>96</v>
      </c>
      <c r="R126" s="39" t="s">
        <v>96</v>
      </c>
      <c r="S126" s="39" t="b">
        <f t="shared" si="2"/>
        <v>0</v>
      </c>
      <c r="T126" s="39" t="s">
        <v>61</v>
      </c>
      <c r="U126" s="39" t="b">
        <f t="shared" si="3"/>
        <v>1</v>
      </c>
      <c r="V126" s="39" t="s">
        <v>2564</v>
      </c>
      <c r="W126" s="39" t="s">
        <v>2561</v>
      </c>
      <c r="X126" s="83" t="s">
        <v>1750</v>
      </c>
      <c r="Y126" s="84" t="s">
        <v>1749</v>
      </c>
      <c r="Z126" s="83" t="s">
        <v>2508</v>
      </c>
      <c r="AA126" s="84" t="s">
        <v>2509</v>
      </c>
      <c r="AB126" s="108"/>
      <c r="AC126" s="107"/>
      <c r="AD126" s="84"/>
      <c r="AE126" s="83"/>
      <c r="AF126" s="84"/>
      <c r="AG126" s="83"/>
      <c r="AH126" s="84"/>
      <c r="AI126" s="39" t="s">
        <v>28</v>
      </c>
      <c r="AJ126" s="39" t="s">
        <v>45</v>
      </c>
      <c r="AK126" s="39" t="s">
        <v>1751</v>
      </c>
      <c r="AP126" s="39" t="s">
        <v>1752</v>
      </c>
      <c r="AQ126" s="39" t="s">
        <v>1753</v>
      </c>
      <c r="AR126" s="39" t="s">
        <v>68</v>
      </c>
      <c r="AS126" s="39" t="s">
        <v>32</v>
      </c>
      <c r="AU126" s="44">
        <v>62895386870202</v>
      </c>
      <c r="AX126" s="39" t="s">
        <v>1754</v>
      </c>
      <c r="AZ126" s="39" t="s">
        <v>61</v>
      </c>
      <c r="BA126" s="39" t="s">
        <v>1902</v>
      </c>
      <c r="BB126" s="39" t="s">
        <v>62</v>
      </c>
      <c r="BC126" s="39" t="s">
        <v>1911</v>
      </c>
      <c r="BD126" s="39" t="b">
        <v>1</v>
      </c>
      <c r="BE126" s="39" t="b">
        <v>1</v>
      </c>
      <c r="BF126" s="39" t="s">
        <v>1750</v>
      </c>
      <c r="BG126" s="39" t="s">
        <v>1749</v>
      </c>
      <c r="BH126" s="39" t="s">
        <v>2460</v>
      </c>
      <c r="BI126" s="39" t="s">
        <v>2461</v>
      </c>
      <c r="BJ126" s="39" t="b">
        <v>1</v>
      </c>
      <c r="BK126" s="39" t="b">
        <v>1</v>
      </c>
      <c r="BN126" s="39" t="s">
        <v>2505</v>
      </c>
      <c r="BO126" s="39" t="s">
        <v>2783</v>
      </c>
      <c r="BP126" s="39" t="s">
        <v>2807</v>
      </c>
    </row>
    <row r="127" spans="1:68">
      <c r="A127" s="39" t="s">
        <v>20</v>
      </c>
      <c r="B127" s="39" t="s">
        <v>21</v>
      </c>
      <c r="C127" s="39" t="s">
        <v>58</v>
      </c>
      <c r="D127" s="39" t="s">
        <v>59</v>
      </c>
      <c r="E127" s="39" t="s">
        <v>60</v>
      </c>
      <c r="F127" s="39" t="s">
        <v>61</v>
      </c>
      <c r="G127" s="39" t="s">
        <v>62</v>
      </c>
      <c r="H127" s="39" t="s">
        <v>63</v>
      </c>
      <c r="I127" s="39" t="b">
        <v>0</v>
      </c>
      <c r="J127" s="39" t="s">
        <v>63</v>
      </c>
      <c r="K127" s="39" t="b">
        <v>0</v>
      </c>
      <c r="L127" s="39" t="s">
        <v>1232</v>
      </c>
      <c r="M127" s="39" t="s">
        <v>1233</v>
      </c>
      <c r="N127" s="39" t="s">
        <v>2508</v>
      </c>
      <c r="P127" s="39" t="s">
        <v>2508</v>
      </c>
      <c r="R127" s="39" t="s">
        <v>62</v>
      </c>
      <c r="S127" s="39" t="b">
        <f t="shared" si="2"/>
        <v>1</v>
      </c>
      <c r="T127" s="39" t="s">
        <v>61</v>
      </c>
      <c r="U127" s="39" t="b">
        <f t="shared" si="3"/>
        <v>1</v>
      </c>
      <c r="V127" s="39" t="s">
        <v>2564</v>
      </c>
      <c r="W127" s="39" t="s">
        <v>2564</v>
      </c>
      <c r="X127" s="83" t="s">
        <v>1232</v>
      </c>
      <c r="Y127" s="84" t="s">
        <v>1233</v>
      </c>
      <c r="Z127" s="83" t="s">
        <v>2508</v>
      </c>
      <c r="AA127" s="84" t="s">
        <v>2508</v>
      </c>
      <c r="AB127" s="108"/>
      <c r="AC127" s="107"/>
      <c r="AD127" s="84"/>
      <c r="AE127" s="83"/>
      <c r="AF127" s="84"/>
      <c r="AG127" s="83"/>
      <c r="AH127" s="84"/>
      <c r="AI127" s="39" t="s">
        <v>28</v>
      </c>
      <c r="AJ127" s="39" t="s">
        <v>45</v>
      </c>
      <c r="AK127" s="39" t="s">
        <v>1234</v>
      </c>
      <c r="AP127" s="39" t="s">
        <v>1235</v>
      </c>
      <c r="AQ127" s="39" t="s">
        <v>1236</v>
      </c>
      <c r="AR127" s="39" t="s">
        <v>68</v>
      </c>
      <c r="AS127" s="39" t="s">
        <v>32</v>
      </c>
      <c r="AU127" s="44">
        <v>6285691611168</v>
      </c>
      <c r="AX127" s="39" t="s">
        <v>1237</v>
      </c>
      <c r="AZ127" s="39" t="s">
        <v>61</v>
      </c>
      <c r="BA127" s="39" t="s">
        <v>1902</v>
      </c>
      <c r="BB127" s="39" t="s">
        <v>62</v>
      </c>
      <c r="BC127" s="39" t="s">
        <v>1911</v>
      </c>
      <c r="BD127" s="39" t="b">
        <v>1</v>
      </c>
      <c r="BE127" s="39" t="b">
        <v>1</v>
      </c>
      <c r="BF127" s="39" t="s">
        <v>1232</v>
      </c>
      <c r="BG127" s="39" t="s">
        <v>1233</v>
      </c>
      <c r="BH127" s="39" t="s">
        <v>2322</v>
      </c>
      <c r="BI127" s="39" t="s">
        <v>2323</v>
      </c>
      <c r="BJ127" s="39" t="b">
        <v>1</v>
      </c>
      <c r="BK127" s="39" t="b">
        <v>1</v>
      </c>
      <c r="BN127" s="39" t="s">
        <v>2505</v>
      </c>
      <c r="BO127" s="39" t="s">
        <v>2783</v>
      </c>
      <c r="BP127" s="39" t="s">
        <v>2807</v>
      </c>
    </row>
    <row r="128" spans="1:68">
      <c r="A128" s="39" t="s">
        <v>20</v>
      </c>
      <c r="B128" s="39" t="s">
        <v>21</v>
      </c>
      <c r="C128" s="39" t="s">
        <v>58</v>
      </c>
      <c r="D128" s="39" t="s">
        <v>59</v>
      </c>
      <c r="E128" s="39" t="s">
        <v>60</v>
      </c>
      <c r="F128" s="39" t="s">
        <v>61</v>
      </c>
      <c r="G128" s="39" t="s">
        <v>62</v>
      </c>
      <c r="H128" s="39" t="s">
        <v>63</v>
      </c>
      <c r="I128" s="39" t="b">
        <v>0</v>
      </c>
      <c r="J128" s="39" t="s">
        <v>63</v>
      </c>
      <c r="K128" s="39" t="b">
        <v>0</v>
      </c>
      <c r="L128" s="39" t="s">
        <v>1238</v>
      </c>
      <c r="M128" s="39" t="s">
        <v>1239</v>
      </c>
      <c r="N128" s="39" t="s">
        <v>2508</v>
      </c>
      <c r="P128" s="39" t="s">
        <v>2508</v>
      </c>
      <c r="R128" s="39" t="s">
        <v>62</v>
      </c>
      <c r="S128" s="39" t="b">
        <f t="shared" si="2"/>
        <v>1</v>
      </c>
      <c r="T128" s="39" t="s">
        <v>61</v>
      </c>
      <c r="U128" s="39" t="b">
        <f t="shared" si="3"/>
        <v>1</v>
      </c>
      <c r="V128" s="39" t="s">
        <v>2564</v>
      </c>
      <c r="W128" s="39" t="s">
        <v>2564</v>
      </c>
      <c r="X128" s="83" t="s">
        <v>1238</v>
      </c>
      <c r="Y128" s="84" t="s">
        <v>1239</v>
      </c>
      <c r="Z128" s="83" t="s">
        <v>2508</v>
      </c>
      <c r="AA128" s="84" t="s">
        <v>2508</v>
      </c>
      <c r="AB128" s="108"/>
      <c r="AC128" s="107"/>
      <c r="AD128" s="84"/>
      <c r="AE128" s="83"/>
      <c r="AF128" s="84"/>
      <c r="AG128" s="83"/>
      <c r="AH128" s="84"/>
      <c r="AI128" s="39" t="s">
        <v>28</v>
      </c>
      <c r="AJ128" s="39" t="s">
        <v>45</v>
      </c>
      <c r="AK128" s="39" t="s">
        <v>1240</v>
      </c>
      <c r="AP128" s="39" t="s">
        <v>1241</v>
      </c>
      <c r="AQ128" s="39" t="s">
        <v>1242</v>
      </c>
      <c r="AR128" s="39" t="s">
        <v>68</v>
      </c>
      <c r="AS128" s="39" t="s">
        <v>32</v>
      </c>
      <c r="AU128" s="44">
        <v>62085711111159</v>
      </c>
      <c r="AX128" s="39" t="s">
        <v>1243</v>
      </c>
      <c r="AZ128" s="39" t="s">
        <v>61</v>
      </c>
      <c r="BA128" s="39" t="s">
        <v>1902</v>
      </c>
      <c r="BB128" s="39" t="s">
        <v>62</v>
      </c>
      <c r="BC128" s="39" t="s">
        <v>1911</v>
      </c>
      <c r="BD128" s="39" t="b">
        <v>1</v>
      </c>
      <c r="BE128" s="39" t="b">
        <v>1</v>
      </c>
      <c r="BF128" s="39" t="s">
        <v>1238</v>
      </c>
      <c r="BG128" s="39" t="s">
        <v>1239</v>
      </c>
      <c r="BH128" s="39" t="s">
        <v>2324</v>
      </c>
      <c r="BI128" s="39" t="s">
        <v>2325</v>
      </c>
      <c r="BJ128" s="39" t="b">
        <v>1</v>
      </c>
      <c r="BK128" s="39" t="b">
        <v>1</v>
      </c>
      <c r="BN128" s="39" t="s">
        <v>2505</v>
      </c>
      <c r="BO128" s="39" t="s">
        <v>2783</v>
      </c>
      <c r="BP128" s="39" t="s">
        <v>2807</v>
      </c>
    </row>
    <row r="129" spans="1:68">
      <c r="A129" s="39" t="s">
        <v>20</v>
      </c>
      <c r="B129" s="39" t="s">
        <v>21</v>
      </c>
      <c r="C129" s="39" t="s">
        <v>58</v>
      </c>
      <c r="D129" s="39" t="s">
        <v>1216</v>
      </c>
      <c r="E129" s="39" t="s">
        <v>1217</v>
      </c>
      <c r="F129" s="39" t="s">
        <v>1218</v>
      </c>
      <c r="G129" s="39" t="s">
        <v>1219</v>
      </c>
      <c r="H129" s="39" t="s">
        <v>1101</v>
      </c>
      <c r="I129" s="39" t="b">
        <v>0</v>
      </c>
      <c r="J129" s="39" t="s">
        <v>1101</v>
      </c>
      <c r="K129" s="39" t="b">
        <v>0</v>
      </c>
      <c r="L129" s="39" t="s">
        <v>1828</v>
      </c>
      <c r="M129" s="39" t="s">
        <v>1827</v>
      </c>
      <c r="N129" s="39" t="s">
        <v>2508</v>
      </c>
      <c r="P129" s="39" t="s">
        <v>2508</v>
      </c>
      <c r="R129" s="39" t="s">
        <v>1219</v>
      </c>
      <c r="S129" s="39" t="b">
        <f t="shared" si="2"/>
        <v>1</v>
      </c>
      <c r="T129" s="39" t="s">
        <v>1218</v>
      </c>
      <c r="U129" s="39" t="b">
        <f t="shared" si="3"/>
        <v>1</v>
      </c>
      <c r="V129" s="39" t="s">
        <v>2564</v>
      </c>
      <c r="W129" s="39" t="s">
        <v>2564</v>
      </c>
      <c r="X129" s="83" t="s">
        <v>1828</v>
      </c>
      <c r="Y129" s="84" t="s">
        <v>1827</v>
      </c>
      <c r="Z129" s="83" t="s">
        <v>2508</v>
      </c>
      <c r="AA129" s="84" t="s">
        <v>2508</v>
      </c>
      <c r="AB129" s="108"/>
      <c r="AC129" s="107"/>
      <c r="AD129" s="84"/>
      <c r="AE129" s="83"/>
      <c r="AF129" s="84"/>
      <c r="AG129" s="83"/>
      <c r="AH129" s="84"/>
      <c r="AI129" s="39" t="s">
        <v>28</v>
      </c>
      <c r="AJ129" s="39" t="s">
        <v>45</v>
      </c>
      <c r="AK129" s="39" t="s">
        <v>1829</v>
      </c>
      <c r="AP129" s="39" t="s">
        <v>1830</v>
      </c>
      <c r="AQ129" s="39" t="s">
        <v>1831</v>
      </c>
      <c r="AR129" s="39" t="s">
        <v>68</v>
      </c>
      <c r="AS129" s="39" t="s">
        <v>32</v>
      </c>
      <c r="AU129" s="44">
        <v>6289602778006</v>
      </c>
      <c r="AX129" s="39" t="s">
        <v>1832</v>
      </c>
      <c r="AZ129" s="39" t="s">
        <v>1218</v>
      </c>
      <c r="BA129" s="39" t="s">
        <v>1910</v>
      </c>
      <c r="BB129" s="39" t="s">
        <v>1219</v>
      </c>
      <c r="BC129" s="39" t="s">
        <v>1936</v>
      </c>
      <c r="BD129" s="39" t="b">
        <v>1</v>
      </c>
      <c r="BE129" s="39" t="b">
        <v>1</v>
      </c>
      <c r="BF129" s="39" t="s">
        <v>1828</v>
      </c>
      <c r="BG129" s="39" t="s">
        <v>1827</v>
      </c>
      <c r="BH129" s="39" t="s">
        <v>2482</v>
      </c>
      <c r="BI129" s="39" t="s">
        <v>2483</v>
      </c>
      <c r="BJ129" s="39" t="b">
        <v>1</v>
      </c>
      <c r="BK129" s="39" t="b">
        <v>1</v>
      </c>
      <c r="BN129" s="39">
        <v>0</v>
      </c>
      <c r="BO129" s="39" t="s">
        <v>2784</v>
      </c>
      <c r="BP129" s="39" t="s">
        <v>2807</v>
      </c>
    </row>
    <row r="130" spans="1:68">
      <c r="A130" s="39" t="s">
        <v>20</v>
      </c>
      <c r="B130" s="39" t="s">
        <v>21</v>
      </c>
      <c r="C130" s="39" t="s">
        <v>58</v>
      </c>
      <c r="D130" s="39" t="s">
        <v>1216</v>
      </c>
      <c r="E130" s="39" t="s">
        <v>1217</v>
      </c>
      <c r="F130" s="39" t="s">
        <v>1218</v>
      </c>
      <c r="G130" s="39" t="s">
        <v>1219</v>
      </c>
      <c r="H130" s="39" t="s">
        <v>1101</v>
      </c>
      <c r="I130" s="39" t="b">
        <v>0</v>
      </c>
      <c r="J130" s="39" t="s">
        <v>1101</v>
      </c>
      <c r="K130" s="39" t="b">
        <v>0</v>
      </c>
      <c r="L130" s="39" t="s">
        <v>1840</v>
      </c>
      <c r="M130" s="39" t="s">
        <v>1839</v>
      </c>
      <c r="N130" s="39" t="s">
        <v>2508</v>
      </c>
      <c r="P130" s="39" t="s">
        <v>2508</v>
      </c>
      <c r="R130" s="39" t="s">
        <v>1219</v>
      </c>
      <c r="S130" s="39" t="b">
        <f t="shared" si="2"/>
        <v>1</v>
      </c>
      <c r="T130" s="39" t="s">
        <v>1218</v>
      </c>
      <c r="U130" s="39" t="b">
        <f t="shared" si="3"/>
        <v>1</v>
      </c>
      <c r="V130" s="39" t="s">
        <v>2564</v>
      </c>
      <c r="W130" s="39" t="s">
        <v>2564</v>
      </c>
      <c r="X130" s="83" t="s">
        <v>1840</v>
      </c>
      <c r="Y130" s="84" t="s">
        <v>1839</v>
      </c>
      <c r="Z130" s="83" t="s">
        <v>2508</v>
      </c>
      <c r="AA130" s="84" t="s">
        <v>2508</v>
      </c>
      <c r="AB130" s="108"/>
      <c r="AC130" s="107"/>
      <c r="AD130" s="84"/>
      <c r="AE130" s="83"/>
      <c r="AF130" s="84"/>
      <c r="AG130" s="83"/>
      <c r="AH130" s="84"/>
      <c r="AI130" s="39" t="s">
        <v>28</v>
      </c>
      <c r="AJ130" s="39" t="s">
        <v>45</v>
      </c>
      <c r="AK130" s="39" t="s">
        <v>1841</v>
      </c>
      <c r="AP130" s="39" t="s">
        <v>1842</v>
      </c>
      <c r="AQ130" s="39" t="s">
        <v>1843</v>
      </c>
      <c r="AR130" s="39" t="s">
        <v>68</v>
      </c>
      <c r="AS130" s="39" t="s">
        <v>32</v>
      </c>
      <c r="AU130" s="44">
        <v>6289602778008</v>
      </c>
      <c r="AX130" s="39" t="s">
        <v>1844</v>
      </c>
      <c r="AZ130" s="39" t="s">
        <v>1218</v>
      </c>
      <c r="BA130" s="39" t="s">
        <v>1910</v>
      </c>
      <c r="BB130" s="39" t="s">
        <v>1219</v>
      </c>
      <c r="BC130" s="39" t="s">
        <v>1936</v>
      </c>
      <c r="BD130" s="39" t="b">
        <v>1</v>
      </c>
      <c r="BE130" s="39" t="b">
        <v>1</v>
      </c>
      <c r="BF130" s="39" t="s">
        <v>1840</v>
      </c>
      <c r="BG130" s="39" t="s">
        <v>1839</v>
      </c>
      <c r="BH130" s="39" t="s">
        <v>2486</v>
      </c>
      <c r="BI130" s="39" t="s">
        <v>2487</v>
      </c>
      <c r="BJ130" s="39" t="b">
        <v>1</v>
      </c>
      <c r="BK130" s="39" t="b">
        <v>1</v>
      </c>
      <c r="BN130" s="39">
        <v>0</v>
      </c>
      <c r="BO130" s="39" t="s">
        <v>2784</v>
      </c>
      <c r="BP130" s="39" t="s">
        <v>2807</v>
      </c>
    </row>
    <row r="131" spans="1:68">
      <c r="A131" s="39" t="s">
        <v>20</v>
      </c>
      <c r="B131" s="39" t="s">
        <v>21</v>
      </c>
      <c r="C131" s="39" t="s">
        <v>58</v>
      </c>
      <c r="D131" s="39" t="s">
        <v>1216</v>
      </c>
      <c r="E131" s="39" t="s">
        <v>1217</v>
      </c>
      <c r="F131" s="39" t="s">
        <v>1218</v>
      </c>
      <c r="G131" s="39" t="s">
        <v>1219</v>
      </c>
      <c r="H131" s="39" t="s">
        <v>1101</v>
      </c>
      <c r="I131" s="39" t="b">
        <v>0</v>
      </c>
      <c r="J131" s="39" t="s">
        <v>1101</v>
      </c>
      <c r="K131" s="39" t="b">
        <v>0</v>
      </c>
      <c r="L131" s="39" t="s">
        <v>1846</v>
      </c>
      <c r="M131" s="39" t="s">
        <v>1845</v>
      </c>
      <c r="N131" s="39" t="s">
        <v>2508</v>
      </c>
      <c r="P131" s="39" t="s">
        <v>2508</v>
      </c>
      <c r="R131" s="39" t="s">
        <v>1219</v>
      </c>
      <c r="S131" s="39" t="b">
        <f t="shared" si="2"/>
        <v>1</v>
      </c>
      <c r="T131" s="39" t="s">
        <v>1218</v>
      </c>
      <c r="U131" s="39" t="b">
        <f t="shared" si="3"/>
        <v>1</v>
      </c>
      <c r="V131" s="39" t="s">
        <v>2564</v>
      </c>
      <c r="W131" s="39" t="s">
        <v>2564</v>
      </c>
      <c r="X131" s="83" t="s">
        <v>1846</v>
      </c>
      <c r="Y131" s="84" t="s">
        <v>1845</v>
      </c>
      <c r="Z131" s="83" t="s">
        <v>2508</v>
      </c>
      <c r="AA131" s="84" t="s">
        <v>2508</v>
      </c>
      <c r="AB131" s="108"/>
      <c r="AC131" s="107"/>
      <c r="AD131" s="84"/>
      <c r="AE131" s="83"/>
      <c r="AF131" s="84"/>
      <c r="AG131" s="83"/>
      <c r="AH131" s="84"/>
      <c r="AI131" s="39" t="s">
        <v>28</v>
      </c>
      <c r="AJ131" s="39" t="s">
        <v>45</v>
      </c>
      <c r="AK131" s="39" t="s">
        <v>1847</v>
      </c>
      <c r="AP131" s="39" t="s">
        <v>1848</v>
      </c>
      <c r="AQ131" s="39" t="s">
        <v>1849</v>
      </c>
      <c r="AR131" s="39" t="s">
        <v>68</v>
      </c>
      <c r="AS131" s="39" t="s">
        <v>32</v>
      </c>
      <c r="AU131" s="44">
        <v>6289602778009</v>
      </c>
      <c r="AX131" s="39" t="s">
        <v>1850</v>
      </c>
      <c r="AZ131" s="39" t="s">
        <v>1218</v>
      </c>
      <c r="BA131" s="39" t="s">
        <v>1910</v>
      </c>
      <c r="BB131" s="39" t="s">
        <v>1219</v>
      </c>
      <c r="BC131" s="39" t="s">
        <v>1936</v>
      </c>
      <c r="BD131" s="39" t="b">
        <v>1</v>
      </c>
      <c r="BE131" s="39" t="b">
        <v>1</v>
      </c>
      <c r="BF131" s="39" t="s">
        <v>1846</v>
      </c>
      <c r="BG131" s="39" t="s">
        <v>1845</v>
      </c>
      <c r="BH131" s="39" t="s">
        <v>2488</v>
      </c>
      <c r="BI131" s="39" t="s">
        <v>2489</v>
      </c>
      <c r="BJ131" s="39" t="b">
        <v>1</v>
      </c>
      <c r="BK131" s="39" t="b">
        <v>1</v>
      </c>
      <c r="BN131" s="39">
        <v>0</v>
      </c>
      <c r="BO131" s="39" t="s">
        <v>2784</v>
      </c>
      <c r="BP131" s="39" t="s">
        <v>2807</v>
      </c>
    </row>
    <row r="132" spans="1:68">
      <c r="A132" s="39" t="s">
        <v>20</v>
      </c>
      <c r="B132" s="39" t="s">
        <v>21</v>
      </c>
      <c r="C132" s="39" t="s">
        <v>58</v>
      </c>
      <c r="D132" s="39" t="s">
        <v>1216</v>
      </c>
      <c r="E132" s="39" t="s">
        <v>1217</v>
      </c>
      <c r="F132" s="39" t="s">
        <v>1218</v>
      </c>
      <c r="G132" s="39" t="s">
        <v>1219</v>
      </c>
      <c r="H132" s="39" t="s">
        <v>1101</v>
      </c>
      <c r="I132" s="39" t="b">
        <v>0</v>
      </c>
      <c r="J132" s="39" t="s">
        <v>1101</v>
      </c>
      <c r="K132" s="39" t="b">
        <v>0</v>
      </c>
      <c r="L132" s="39" t="s">
        <v>1852</v>
      </c>
      <c r="M132" s="39" t="s">
        <v>1851</v>
      </c>
      <c r="N132" s="39" t="s">
        <v>2508</v>
      </c>
      <c r="P132" s="39" t="s">
        <v>2508</v>
      </c>
      <c r="R132" s="39" t="s">
        <v>1219</v>
      </c>
      <c r="S132" s="39" t="b">
        <f t="shared" si="2"/>
        <v>1</v>
      </c>
      <c r="T132" s="39" t="s">
        <v>1218</v>
      </c>
      <c r="U132" s="39" t="b">
        <f t="shared" si="3"/>
        <v>1</v>
      </c>
      <c r="V132" s="39" t="s">
        <v>2564</v>
      </c>
      <c r="W132" s="39" t="s">
        <v>2564</v>
      </c>
      <c r="X132" s="83" t="s">
        <v>1852</v>
      </c>
      <c r="Y132" s="84" t="s">
        <v>1851</v>
      </c>
      <c r="Z132" s="83" t="s">
        <v>2508</v>
      </c>
      <c r="AA132" s="84" t="s">
        <v>2508</v>
      </c>
      <c r="AB132" s="108"/>
      <c r="AC132" s="107"/>
      <c r="AD132" s="84"/>
      <c r="AE132" s="83"/>
      <c r="AF132" s="84"/>
      <c r="AG132" s="83"/>
      <c r="AH132" s="84"/>
      <c r="AI132" s="39" t="s">
        <v>28</v>
      </c>
      <c r="AJ132" s="39" t="s">
        <v>45</v>
      </c>
      <c r="AK132" s="39" t="s">
        <v>1436</v>
      </c>
      <c r="AP132" s="39" t="s">
        <v>1853</v>
      </c>
      <c r="AQ132" s="39" t="s">
        <v>1854</v>
      </c>
      <c r="AR132" s="39" t="s">
        <v>68</v>
      </c>
      <c r="AS132" s="39" t="s">
        <v>32</v>
      </c>
      <c r="AU132" s="44">
        <v>6289602778011</v>
      </c>
      <c r="AX132" s="39" t="s">
        <v>1855</v>
      </c>
      <c r="AZ132" s="39" t="s">
        <v>1218</v>
      </c>
      <c r="BA132" s="39" t="s">
        <v>1910</v>
      </c>
      <c r="BB132" s="39" t="s">
        <v>1219</v>
      </c>
      <c r="BC132" s="39" t="s">
        <v>1936</v>
      </c>
      <c r="BD132" s="39" t="b">
        <v>1</v>
      </c>
      <c r="BE132" s="39" t="b">
        <v>1</v>
      </c>
      <c r="BF132" s="39" t="s">
        <v>1852</v>
      </c>
      <c r="BG132" s="39" t="s">
        <v>1851</v>
      </c>
      <c r="BH132" s="39" t="s">
        <v>2490</v>
      </c>
      <c r="BI132" s="39" t="s">
        <v>2491</v>
      </c>
      <c r="BJ132" s="39" t="b">
        <v>1</v>
      </c>
      <c r="BK132" s="39" t="b">
        <v>1</v>
      </c>
      <c r="BN132" s="39">
        <v>0</v>
      </c>
      <c r="BO132" s="39" t="s">
        <v>2784</v>
      </c>
      <c r="BP132" s="39" t="s">
        <v>2807</v>
      </c>
    </row>
    <row r="133" spans="1:68">
      <c r="A133" s="39" t="s">
        <v>20</v>
      </c>
      <c r="B133" s="39" t="s">
        <v>21</v>
      </c>
      <c r="C133" s="39" t="s">
        <v>58</v>
      </c>
      <c r="D133" s="39" t="s">
        <v>1216</v>
      </c>
      <c r="E133" s="39" t="s">
        <v>1217</v>
      </c>
      <c r="F133" s="39" t="s">
        <v>1218</v>
      </c>
      <c r="G133" s="39" t="s">
        <v>1219</v>
      </c>
      <c r="H133" s="39" t="s">
        <v>1101</v>
      </c>
      <c r="I133" s="39" t="b">
        <v>0</v>
      </c>
      <c r="J133" s="39" t="s">
        <v>1101</v>
      </c>
      <c r="K133" s="39" t="b">
        <v>0</v>
      </c>
      <c r="L133" s="39" t="s">
        <v>1220</v>
      </c>
      <c r="M133" s="39" t="s">
        <v>1221</v>
      </c>
      <c r="N133" s="39" t="s">
        <v>2508</v>
      </c>
      <c r="P133" s="39" t="s">
        <v>2508</v>
      </c>
      <c r="R133" s="39" t="s">
        <v>1219</v>
      </c>
      <c r="S133" s="39" t="b">
        <f t="shared" ref="S133:S196" si="4">R133=G133</f>
        <v>1</v>
      </c>
      <c r="T133" s="39" t="s">
        <v>1218</v>
      </c>
      <c r="U133" s="39" t="b">
        <f t="shared" ref="U133:U196" si="5">T133=F133</f>
        <v>1</v>
      </c>
      <c r="V133" s="39" t="s">
        <v>2564</v>
      </c>
      <c r="W133" s="39" t="s">
        <v>2564</v>
      </c>
      <c r="X133" s="83" t="s">
        <v>1220</v>
      </c>
      <c r="Y133" s="84" t="s">
        <v>1221</v>
      </c>
      <c r="Z133" s="83" t="s">
        <v>2508</v>
      </c>
      <c r="AA133" s="84" t="s">
        <v>2508</v>
      </c>
      <c r="AB133" s="108"/>
      <c r="AC133" s="107"/>
      <c r="AD133" s="84"/>
      <c r="AE133" s="83"/>
      <c r="AF133" s="84"/>
      <c r="AG133" s="83"/>
      <c r="AH133" s="84"/>
      <c r="AI133" s="39" t="s">
        <v>28</v>
      </c>
      <c r="AJ133" s="39" t="s">
        <v>45</v>
      </c>
      <c r="AK133" s="39" t="s">
        <v>1222</v>
      </c>
      <c r="AP133" s="39" t="s">
        <v>1223</v>
      </c>
      <c r="AQ133" s="39" t="s">
        <v>1224</v>
      </c>
      <c r="AR133" s="39" t="s">
        <v>68</v>
      </c>
      <c r="AS133" s="39" t="s">
        <v>32</v>
      </c>
      <c r="AU133" s="44">
        <v>6285697352740</v>
      </c>
      <c r="AX133" s="39" t="s">
        <v>1225</v>
      </c>
      <c r="AZ133" s="39" t="s">
        <v>1218</v>
      </c>
      <c r="BA133" s="39" t="s">
        <v>1910</v>
      </c>
      <c r="BB133" s="39" t="s">
        <v>1219</v>
      </c>
      <c r="BC133" s="39" t="s">
        <v>1936</v>
      </c>
      <c r="BD133" s="39" t="b">
        <v>1</v>
      </c>
      <c r="BE133" s="39" t="b">
        <v>1</v>
      </c>
      <c r="BF133" s="39" t="s">
        <v>1220</v>
      </c>
      <c r="BG133" s="39" t="s">
        <v>1221</v>
      </c>
      <c r="BH133" s="39" t="s">
        <v>2318</v>
      </c>
      <c r="BI133" s="39" t="s">
        <v>2319</v>
      </c>
      <c r="BJ133" s="39" t="b">
        <v>1</v>
      </c>
      <c r="BK133" s="39" t="b">
        <v>1</v>
      </c>
      <c r="BN133" s="39" t="s">
        <v>2505</v>
      </c>
      <c r="BO133" s="39" t="s">
        <v>2784</v>
      </c>
      <c r="BP133" s="39" t="s">
        <v>2807</v>
      </c>
    </row>
    <row r="134" spans="1:68">
      <c r="A134" s="39" t="s">
        <v>20</v>
      </c>
      <c r="B134" s="39" t="s">
        <v>21</v>
      </c>
      <c r="C134" s="39" t="s">
        <v>58</v>
      </c>
      <c r="D134" s="39" t="s">
        <v>1216</v>
      </c>
      <c r="E134" s="39" t="s">
        <v>1217</v>
      </c>
      <c r="F134" s="39" t="s">
        <v>1218</v>
      </c>
      <c r="G134" s="39" t="s">
        <v>1219</v>
      </c>
      <c r="H134" s="39" t="s">
        <v>1101</v>
      </c>
      <c r="I134" s="39" t="b">
        <v>0</v>
      </c>
      <c r="J134" s="39" t="s">
        <v>1101</v>
      </c>
      <c r="K134" s="39" t="b">
        <v>0</v>
      </c>
      <c r="L134" s="39" t="s">
        <v>1226</v>
      </c>
      <c r="M134" s="39" t="s">
        <v>1227</v>
      </c>
      <c r="N134" s="39" t="s">
        <v>2508</v>
      </c>
      <c r="P134" s="39" t="s">
        <v>2508</v>
      </c>
      <c r="R134" s="39" t="s">
        <v>1219</v>
      </c>
      <c r="S134" s="39" t="b">
        <f t="shared" si="4"/>
        <v>1</v>
      </c>
      <c r="T134" s="39" t="s">
        <v>1218</v>
      </c>
      <c r="U134" s="39" t="b">
        <f t="shared" si="5"/>
        <v>1</v>
      </c>
      <c r="V134" s="39" t="s">
        <v>2564</v>
      </c>
      <c r="W134" s="39" t="s">
        <v>2564</v>
      </c>
      <c r="X134" s="83" t="s">
        <v>1226</v>
      </c>
      <c r="Y134" s="84" t="s">
        <v>1227</v>
      </c>
      <c r="Z134" s="83" t="s">
        <v>2508</v>
      </c>
      <c r="AA134" s="84" t="s">
        <v>2508</v>
      </c>
      <c r="AB134" s="108"/>
      <c r="AC134" s="107"/>
      <c r="AD134" s="84"/>
      <c r="AE134" s="83"/>
      <c r="AF134" s="84"/>
      <c r="AG134" s="83"/>
      <c r="AH134" s="84"/>
      <c r="AI134" s="39" t="s">
        <v>28</v>
      </c>
      <c r="AJ134" s="39" t="s">
        <v>45</v>
      </c>
      <c r="AK134" s="39" t="s">
        <v>1228</v>
      </c>
      <c r="AP134" s="39" t="s">
        <v>1229</v>
      </c>
      <c r="AQ134" s="39" t="s">
        <v>1230</v>
      </c>
      <c r="AR134" s="39" t="s">
        <v>68</v>
      </c>
      <c r="AS134" s="39" t="s">
        <v>32</v>
      </c>
      <c r="AU134" s="44">
        <v>6285881745555</v>
      </c>
      <c r="AX134" s="39" t="s">
        <v>1231</v>
      </c>
      <c r="AZ134" s="39" t="s">
        <v>1218</v>
      </c>
      <c r="BA134" s="39" t="s">
        <v>1910</v>
      </c>
      <c r="BB134" s="39" t="s">
        <v>1219</v>
      </c>
      <c r="BC134" s="39" t="s">
        <v>1936</v>
      </c>
      <c r="BD134" s="39" t="b">
        <v>1</v>
      </c>
      <c r="BE134" s="39" t="b">
        <v>1</v>
      </c>
      <c r="BF134" s="39" t="s">
        <v>1226</v>
      </c>
      <c r="BG134" s="39" t="s">
        <v>1227</v>
      </c>
      <c r="BH134" s="39" t="s">
        <v>2320</v>
      </c>
      <c r="BI134" s="39" t="s">
        <v>2321</v>
      </c>
      <c r="BJ134" s="39" t="b">
        <v>1</v>
      </c>
      <c r="BK134" s="39" t="b">
        <v>1</v>
      </c>
      <c r="BN134" s="39" t="s">
        <v>2505</v>
      </c>
      <c r="BO134" s="39" t="s">
        <v>2784</v>
      </c>
      <c r="BP134" s="39" t="s">
        <v>2807</v>
      </c>
    </row>
    <row r="135" spans="1:68">
      <c r="A135" s="39" t="s">
        <v>20</v>
      </c>
      <c r="B135" s="39" t="s">
        <v>21</v>
      </c>
      <c r="C135" s="39" t="s">
        <v>58</v>
      </c>
      <c r="D135" s="39" t="s">
        <v>1216</v>
      </c>
      <c r="E135" s="39" t="s">
        <v>1217</v>
      </c>
      <c r="F135" s="39" t="s">
        <v>1218</v>
      </c>
      <c r="G135" s="39" t="s">
        <v>1219</v>
      </c>
      <c r="H135" s="39" t="s">
        <v>1101</v>
      </c>
      <c r="I135" s="39" t="b">
        <v>0</v>
      </c>
      <c r="J135" s="39" t="s">
        <v>1101</v>
      </c>
      <c r="K135" s="39" t="b">
        <v>0</v>
      </c>
      <c r="L135" s="39" t="s">
        <v>1244</v>
      </c>
      <c r="M135" s="39" t="s">
        <v>1245</v>
      </c>
      <c r="N135" s="39" t="s">
        <v>2512</v>
      </c>
      <c r="P135" s="39" t="s">
        <v>2508</v>
      </c>
      <c r="R135" s="39" t="s">
        <v>1219</v>
      </c>
      <c r="S135" s="39" t="b">
        <f t="shared" si="4"/>
        <v>1</v>
      </c>
      <c r="U135" s="39" t="b">
        <f t="shared" si="5"/>
        <v>0</v>
      </c>
      <c r="V135" s="39" t="s">
        <v>2562</v>
      </c>
      <c r="W135" s="39" t="s">
        <v>2564</v>
      </c>
      <c r="X135" s="83" t="s">
        <v>1244</v>
      </c>
      <c r="Y135" s="84" t="s">
        <v>1245</v>
      </c>
      <c r="Z135" s="83" t="s">
        <v>2508</v>
      </c>
      <c r="AA135" s="84" t="s">
        <v>2508</v>
      </c>
      <c r="AB135" s="108"/>
      <c r="AC135" s="107"/>
      <c r="AD135" s="84"/>
      <c r="AE135" s="83"/>
      <c r="AF135" s="84"/>
      <c r="AG135" s="83"/>
      <c r="AH135" s="84"/>
      <c r="AI135" s="39" t="s">
        <v>28</v>
      </c>
      <c r="AJ135" s="39" t="s">
        <v>45</v>
      </c>
      <c r="AK135" s="39" t="s">
        <v>1246</v>
      </c>
      <c r="AP135" s="39" t="s">
        <v>1247</v>
      </c>
      <c r="AQ135" s="39" t="s">
        <v>1248</v>
      </c>
      <c r="AR135" s="39" t="s">
        <v>68</v>
      </c>
      <c r="AS135" s="39" t="s">
        <v>32</v>
      </c>
      <c r="AU135" s="44">
        <v>6285715666615</v>
      </c>
      <c r="AX135" s="39" t="s">
        <v>1249</v>
      </c>
      <c r="AZ135" s="39" t="s">
        <v>1218</v>
      </c>
      <c r="BA135" s="39" t="s">
        <v>1910</v>
      </c>
      <c r="BB135" s="39" t="s">
        <v>1219</v>
      </c>
      <c r="BC135" s="39" t="s">
        <v>1936</v>
      </c>
      <c r="BD135" s="39" t="b">
        <v>1</v>
      </c>
      <c r="BE135" s="39" t="b">
        <v>1</v>
      </c>
      <c r="BF135" s="39" t="s">
        <v>1244</v>
      </c>
      <c r="BG135" s="39" t="s">
        <v>1245</v>
      </c>
      <c r="BH135" s="39" t="s">
        <v>2326</v>
      </c>
      <c r="BI135" s="39" t="s">
        <v>2327</v>
      </c>
      <c r="BJ135" s="39" t="b">
        <v>1</v>
      </c>
      <c r="BK135" s="39" t="b">
        <v>1</v>
      </c>
      <c r="BN135" s="39">
        <v>0</v>
      </c>
      <c r="BO135" s="39" t="s">
        <v>2784</v>
      </c>
      <c r="BP135" s="39" t="s">
        <v>2807</v>
      </c>
    </row>
    <row r="136" spans="1:68">
      <c r="A136" s="39" t="s">
        <v>20</v>
      </c>
      <c r="B136" s="39" t="s">
        <v>21</v>
      </c>
      <c r="C136" s="39" t="s">
        <v>58</v>
      </c>
      <c r="D136" s="39" t="s">
        <v>1216</v>
      </c>
      <c r="E136" s="39" t="s">
        <v>1217</v>
      </c>
      <c r="F136" s="39" t="s">
        <v>1218</v>
      </c>
      <c r="G136" s="39" t="s">
        <v>1219</v>
      </c>
      <c r="H136" s="39" t="s">
        <v>1101</v>
      </c>
      <c r="I136" s="39" t="b">
        <v>0</v>
      </c>
      <c r="J136" s="39" t="s">
        <v>1101</v>
      </c>
      <c r="K136" s="39" t="b">
        <v>0</v>
      </c>
      <c r="L136" s="39" t="s">
        <v>1250</v>
      </c>
      <c r="M136" s="39" t="s">
        <v>1251</v>
      </c>
      <c r="N136" s="39" t="s">
        <v>2512</v>
      </c>
      <c r="P136" s="39" t="s">
        <v>2508</v>
      </c>
      <c r="R136" s="39" t="s">
        <v>1219</v>
      </c>
      <c r="S136" s="39" t="b">
        <f t="shared" si="4"/>
        <v>1</v>
      </c>
      <c r="U136" s="39" t="b">
        <f t="shared" si="5"/>
        <v>0</v>
      </c>
      <c r="V136" s="39" t="s">
        <v>2562</v>
      </c>
      <c r="W136" s="39" t="s">
        <v>2564</v>
      </c>
      <c r="X136" s="83" t="s">
        <v>1250</v>
      </c>
      <c r="Y136" s="84" t="s">
        <v>1251</v>
      </c>
      <c r="Z136" s="83" t="s">
        <v>2508</v>
      </c>
      <c r="AA136" s="84" t="s">
        <v>2508</v>
      </c>
      <c r="AB136" s="108"/>
      <c r="AC136" s="107"/>
      <c r="AD136" s="84"/>
      <c r="AE136" s="83"/>
      <c r="AF136" s="84"/>
      <c r="AG136" s="83"/>
      <c r="AH136" s="84"/>
      <c r="AI136" s="39" t="s">
        <v>28</v>
      </c>
      <c r="AJ136" s="39" t="s">
        <v>45</v>
      </c>
      <c r="AK136" s="39" t="s">
        <v>1252</v>
      </c>
      <c r="AP136" s="39" t="s">
        <v>1253</v>
      </c>
      <c r="AQ136" s="39" t="s">
        <v>1254</v>
      </c>
      <c r="AR136" s="39" t="s">
        <v>68</v>
      </c>
      <c r="AS136" s="39" t="s">
        <v>32</v>
      </c>
      <c r="AU136" s="44">
        <v>6285777000325</v>
      </c>
      <c r="AX136" s="39" t="s">
        <v>1255</v>
      </c>
      <c r="AZ136" s="39" t="s">
        <v>1218</v>
      </c>
      <c r="BA136" s="39" t="s">
        <v>1910</v>
      </c>
      <c r="BB136" s="39" t="s">
        <v>1219</v>
      </c>
      <c r="BC136" s="39" t="s">
        <v>1936</v>
      </c>
      <c r="BD136" s="39" t="b">
        <v>1</v>
      </c>
      <c r="BE136" s="39" t="b">
        <v>1</v>
      </c>
      <c r="BF136" s="39" t="s">
        <v>1250</v>
      </c>
      <c r="BG136" s="39" t="s">
        <v>1251</v>
      </c>
      <c r="BH136" s="39" t="s">
        <v>2328</v>
      </c>
      <c r="BI136" s="39" t="s">
        <v>2329</v>
      </c>
      <c r="BJ136" s="39" t="b">
        <v>1</v>
      </c>
      <c r="BK136" s="39" t="b">
        <v>1</v>
      </c>
      <c r="BN136" s="39">
        <v>0</v>
      </c>
      <c r="BO136" s="39" t="s">
        <v>2784</v>
      </c>
      <c r="BP136" s="39" t="s">
        <v>2807</v>
      </c>
    </row>
    <row r="137" spans="1:68">
      <c r="A137" s="39" t="s">
        <v>20</v>
      </c>
      <c r="B137" s="39" t="s">
        <v>21</v>
      </c>
      <c r="C137" s="39" t="s">
        <v>805</v>
      </c>
      <c r="D137" s="39" t="s">
        <v>1414</v>
      </c>
      <c r="E137" s="39" t="s">
        <v>1415</v>
      </c>
      <c r="F137" s="39" t="s">
        <v>1416</v>
      </c>
      <c r="G137" s="39" t="s">
        <v>1417</v>
      </c>
      <c r="H137" s="39" t="s">
        <v>165</v>
      </c>
      <c r="I137" s="39" t="b">
        <v>0</v>
      </c>
      <c r="J137" s="39" t="s">
        <v>165</v>
      </c>
      <c r="K137" s="39" t="b">
        <v>0</v>
      </c>
      <c r="L137" s="39" t="s">
        <v>1485</v>
      </c>
      <c r="M137" s="39" t="s">
        <v>1484</v>
      </c>
      <c r="N137" s="39" t="s">
        <v>2508</v>
      </c>
      <c r="P137" s="39" t="s">
        <v>2543</v>
      </c>
      <c r="Q137" s="39" t="s">
        <v>1389</v>
      </c>
      <c r="R137" s="39" t="s">
        <v>1389</v>
      </c>
      <c r="S137" s="39" t="b">
        <f t="shared" si="4"/>
        <v>0</v>
      </c>
      <c r="T137" s="39" t="s">
        <v>1416</v>
      </c>
      <c r="U137" s="39" t="b">
        <f t="shared" si="5"/>
        <v>1</v>
      </c>
      <c r="V137" s="39" t="s">
        <v>2564</v>
      </c>
      <c r="W137" s="39" t="s">
        <v>2561</v>
      </c>
      <c r="X137" s="83" t="s">
        <v>1485</v>
      </c>
      <c r="Y137" s="84" t="s">
        <v>1484</v>
      </c>
      <c r="Z137" s="83" t="s">
        <v>2508</v>
      </c>
      <c r="AA137" s="84" t="s">
        <v>2508</v>
      </c>
      <c r="AB137" s="108"/>
      <c r="AC137" s="107"/>
      <c r="AD137" s="84"/>
      <c r="AE137" s="83"/>
      <c r="AF137" s="84"/>
      <c r="AG137" s="83"/>
      <c r="AH137" s="84"/>
      <c r="AI137" s="39" t="s">
        <v>88</v>
      </c>
      <c r="AJ137" s="39" t="s">
        <v>45</v>
      </c>
      <c r="AK137" s="39" t="s">
        <v>1486</v>
      </c>
      <c r="AM137" s="39" t="s">
        <v>1486</v>
      </c>
      <c r="AN137" s="39" t="s">
        <v>1486</v>
      </c>
      <c r="AP137" s="39" t="s">
        <v>1487</v>
      </c>
      <c r="AQ137" s="39" t="s">
        <v>1488</v>
      </c>
      <c r="AR137" s="39" t="s">
        <v>68</v>
      </c>
      <c r="AU137" s="44">
        <v>628985561827</v>
      </c>
      <c r="AX137" s="39" t="s">
        <v>1489</v>
      </c>
      <c r="AZ137" s="39" t="s">
        <v>1416</v>
      </c>
      <c r="BA137" s="39" t="s">
        <v>1906</v>
      </c>
      <c r="BB137" s="39" t="s">
        <v>1417</v>
      </c>
      <c r="BC137" s="39" t="s">
        <v>1937</v>
      </c>
      <c r="BD137" s="39" t="b">
        <v>1</v>
      </c>
      <c r="BE137" s="39" t="b">
        <v>1</v>
      </c>
      <c r="BF137" s="39" t="s">
        <v>1485</v>
      </c>
      <c r="BG137" s="39" t="s">
        <v>1484</v>
      </c>
      <c r="BH137" s="39" t="s">
        <v>2386</v>
      </c>
      <c r="BI137" s="39" t="s">
        <v>2387</v>
      </c>
      <c r="BJ137" s="39" t="b">
        <v>1</v>
      </c>
      <c r="BK137" s="39" t="b">
        <v>1</v>
      </c>
      <c r="BN137" s="39">
        <v>0</v>
      </c>
      <c r="BO137" s="39" t="s">
        <v>2785</v>
      </c>
      <c r="BP137" s="39" t="s">
        <v>2808</v>
      </c>
    </row>
    <row r="138" spans="1:68">
      <c r="A138" s="39" t="s">
        <v>20</v>
      </c>
      <c r="B138" s="39" t="s">
        <v>21</v>
      </c>
      <c r="C138" s="39" t="s">
        <v>805</v>
      </c>
      <c r="D138" s="39" t="s">
        <v>1414</v>
      </c>
      <c r="E138" s="39" t="s">
        <v>1415</v>
      </c>
      <c r="F138" s="39" t="s">
        <v>1416</v>
      </c>
      <c r="G138" s="39" t="s">
        <v>1417</v>
      </c>
      <c r="H138" s="39" t="s">
        <v>165</v>
      </c>
      <c r="I138" s="39" t="b">
        <v>0</v>
      </c>
      <c r="J138" s="39" t="s">
        <v>165</v>
      </c>
      <c r="K138" s="39" t="b">
        <v>0</v>
      </c>
      <c r="L138" s="39" t="s">
        <v>1491</v>
      </c>
      <c r="M138" s="39" t="s">
        <v>1490</v>
      </c>
      <c r="N138" s="39" t="s">
        <v>2508</v>
      </c>
      <c r="P138" s="39" t="s">
        <v>2543</v>
      </c>
      <c r="Q138" s="39" t="s">
        <v>1389</v>
      </c>
      <c r="R138" s="39" t="s">
        <v>1389</v>
      </c>
      <c r="S138" s="39" t="b">
        <f t="shared" si="4"/>
        <v>0</v>
      </c>
      <c r="T138" s="39" t="s">
        <v>1416</v>
      </c>
      <c r="U138" s="39" t="b">
        <f t="shared" si="5"/>
        <v>1</v>
      </c>
      <c r="V138" s="39" t="s">
        <v>2564</v>
      </c>
      <c r="W138" s="39" t="s">
        <v>2561</v>
      </c>
      <c r="X138" s="83" t="s">
        <v>1491</v>
      </c>
      <c r="Y138" s="84" t="s">
        <v>1490</v>
      </c>
      <c r="Z138" s="83" t="s">
        <v>2508</v>
      </c>
      <c r="AA138" s="84" t="s">
        <v>2508</v>
      </c>
      <c r="AB138" s="108"/>
      <c r="AC138" s="107"/>
      <c r="AD138" s="84"/>
      <c r="AE138" s="83"/>
      <c r="AF138" s="84"/>
      <c r="AG138" s="83"/>
      <c r="AH138" s="84"/>
      <c r="AI138" s="39" t="s">
        <v>88</v>
      </c>
      <c r="AJ138" s="39" t="s">
        <v>45</v>
      </c>
      <c r="AK138" s="39" t="s">
        <v>1492</v>
      </c>
      <c r="AM138" s="39" t="s">
        <v>1492</v>
      </c>
      <c r="AN138" s="39" t="s">
        <v>1492</v>
      </c>
      <c r="AP138" s="39" t="s">
        <v>1493</v>
      </c>
      <c r="AQ138" s="39" t="s">
        <v>1494</v>
      </c>
      <c r="AR138" s="39" t="s">
        <v>68</v>
      </c>
      <c r="AU138" s="44">
        <v>628985561829</v>
      </c>
      <c r="AX138" s="39" t="s">
        <v>1495</v>
      </c>
      <c r="AZ138" s="39" t="s">
        <v>1416</v>
      </c>
      <c r="BA138" s="39" t="s">
        <v>1906</v>
      </c>
      <c r="BB138" s="39" t="s">
        <v>1417</v>
      </c>
      <c r="BC138" s="39" t="s">
        <v>1937</v>
      </c>
      <c r="BD138" s="39" t="b">
        <v>1</v>
      </c>
      <c r="BE138" s="39" t="b">
        <v>1</v>
      </c>
      <c r="BF138" s="39" t="s">
        <v>1491</v>
      </c>
      <c r="BG138" s="39" t="s">
        <v>1490</v>
      </c>
      <c r="BH138" s="39" t="s">
        <v>2388</v>
      </c>
      <c r="BI138" s="39" t="s">
        <v>2389</v>
      </c>
      <c r="BJ138" s="39" t="b">
        <v>1</v>
      </c>
      <c r="BK138" s="39" t="b">
        <v>1</v>
      </c>
      <c r="BN138" s="39">
        <v>0</v>
      </c>
      <c r="BO138" s="39" t="s">
        <v>2785</v>
      </c>
      <c r="BP138" s="39" t="s">
        <v>2808</v>
      </c>
    </row>
    <row r="139" spans="1:68">
      <c r="A139" s="39" t="s">
        <v>20</v>
      </c>
      <c r="B139" s="39" t="s">
        <v>21</v>
      </c>
      <c r="C139" s="39" t="s">
        <v>805</v>
      </c>
      <c r="D139" s="39" t="s">
        <v>1414</v>
      </c>
      <c r="E139" s="39" t="s">
        <v>1415</v>
      </c>
      <c r="F139" s="39" t="s">
        <v>1416</v>
      </c>
      <c r="G139" s="39" t="s">
        <v>1417</v>
      </c>
      <c r="H139" s="39" t="s">
        <v>165</v>
      </c>
      <c r="I139" s="39" t="b">
        <v>0</v>
      </c>
      <c r="J139" s="39" t="s">
        <v>165</v>
      </c>
      <c r="K139" s="39" t="b">
        <v>0</v>
      </c>
      <c r="L139" s="39" t="s">
        <v>1683</v>
      </c>
      <c r="M139" s="39" t="s">
        <v>1682</v>
      </c>
      <c r="N139" s="39" t="s">
        <v>2508</v>
      </c>
      <c r="P139" s="39" t="s">
        <v>2543</v>
      </c>
      <c r="Q139" s="39" t="s">
        <v>1389</v>
      </c>
      <c r="R139" s="39" t="s">
        <v>1389</v>
      </c>
      <c r="S139" s="39" t="b">
        <f t="shared" si="4"/>
        <v>0</v>
      </c>
      <c r="T139" s="39" t="s">
        <v>1416</v>
      </c>
      <c r="U139" s="39" t="b">
        <f t="shared" si="5"/>
        <v>1</v>
      </c>
      <c r="V139" s="39" t="s">
        <v>2564</v>
      </c>
      <c r="W139" s="39" t="s">
        <v>2561</v>
      </c>
      <c r="X139" s="83" t="s">
        <v>1683</v>
      </c>
      <c r="Y139" s="84" t="s">
        <v>1682</v>
      </c>
      <c r="Z139" s="83" t="s">
        <v>2508</v>
      </c>
      <c r="AA139" s="84" t="s">
        <v>2508</v>
      </c>
      <c r="AB139" s="108"/>
      <c r="AC139" s="107"/>
      <c r="AD139" s="84"/>
      <c r="AE139" s="83"/>
      <c r="AF139" s="84"/>
      <c r="AG139" s="83"/>
      <c r="AH139" s="84"/>
      <c r="AI139" s="39" t="s">
        <v>88</v>
      </c>
      <c r="AJ139" s="39" t="s">
        <v>44</v>
      </c>
      <c r="AK139" s="39" t="s">
        <v>1684</v>
      </c>
      <c r="AM139" s="39" t="s">
        <v>1684</v>
      </c>
      <c r="AN139" s="39" t="s">
        <v>1684</v>
      </c>
      <c r="AO139" s="39" t="b">
        <v>0</v>
      </c>
      <c r="AP139" s="39" t="s">
        <v>1685</v>
      </c>
      <c r="AQ139" s="39" t="s">
        <v>1686</v>
      </c>
      <c r="AR139" s="39" t="s">
        <v>68</v>
      </c>
      <c r="AS139" s="39" t="s">
        <v>32</v>
      </c>
      <c r="AT139" s="39">
        <v>6289673403339</v>
      </c>
      <c r="AU139" s="44">
        <v>6289673403339</v>
      </c>
      <c r="AV139" s="39" t="s">
        <v>1687</v>
      </c>
      <c r="AW139" s="39" t="s">
        <v>35</v>
      </c>
      <c r="AX139" s="39" t="s">
        <v>1688</v>
      </c>
      <c r="AY139" s="39" t="s">
        <v>373</v>
      </c>
      <c r="AZ139" s="39" t="s">
        <v>1416</v>
      </c>
      <c r="BA139" s="39" t="s">
        <v>1906</v>
      </c>
      <c r="BB139" s="39" t="s">
        <v>1417</v>
      </c>
      <c r="BC139" s="39" t="s">
        <v>1937</v>
      </c>
      <c r="BD139" s="39" t="b">
        <v>1</v>
      </c>
      <c r="BE139" s="39" t="b">
        <v>1</v>
      </c>
      <c r="BF139" s="39" t="s">
        <v>1683</v>
      </c>
      <c r="BG139" s="39" t="s">
        <v>1682</v>
      </c>
      <c r="BH139" s="39" t="s">
        <v>2438</v>
      </c>
      <c r="BI139" s="39" t="s">
        <v>2439</v>
      </c>
      <c r="BJ139" s="39" t="b">
        <v>1</v>
      </c>
      <c r="BK139" s="39" t="b">
        <v>1</v>
      </c>
      <c r="BN139" s="39">
        <v>0</v>
      </c>
      <c r="BO139" s="39" t="s">
        <v>2785</v>
      </c>
      <c r="BP139" s="39" t="s">
        <v>2808</v>
      </c>
    </row>
    <row r="140" spans="1:68">
      <c r="A140" s="39" t="s">
        <v>20</v>
      </c>
      <c r="B140" s="39" t="s">
        <v>21</v>
      </c>
      <c r="C140" s="39" t="s">
        <v>805</v>
      </c>
      <c r="D140" s="39" t="s">
        <v>1414</v>
      </c>
      <c r="E140" s="39" t="s">
        <v>1415</v>
      </c>
      <c r="F140" s="39" t="s">
        <v>1416</v>
      </c>
      <c r="G140" s="39" t="s">
        <v>1417</v>
      </c>
      <c r="H140" s="39" t="s">
        <v>165</v>
      </c>
      <c r="I140" s="39" t="b">
        <v>0</v>
      </c>
      <c r="J140" s="39" t="s">
        <v>165</v>
      </c>
      <c r="K140" s="39" t="b">
        <v>0</v>
      </c>
      <c r="L140" s="39" t="s">
        <v>1418</v>
      </c>
      <c r="M140" s="39" t="s">
        <v>1419</v>
      </c>
      <c r="N140" s="39" t="s">
        <v>2508</v>
      </c>
      <c r="P140" s="39" t="s">
        <v>2508</v>
      </c>
      <c r="R140" s="39" t="s">
        <v>1417</v>
      </c>
      <c r="S140" s="39" t="b">
        <f t="shared" si="4"/>
        <v>1</v>
      </c>
      <c r="T140" s="39" t="s">
        <v>1416</v>
      </c>
      <c r="U140" s="39" t="b">
        <f t="shared" si="5"/>
        <v>1</v>
      </c>
      <c r="V140" s="39" t="s">
        <v>2564</v>
      </c>
      <c r="W140" s="39" t="s">
        <v>2564</v>
      </c>
      <c r="X140" s="83" t="s">
        <v>1418</v>
      </c>
      <c r="Y140" s="84" t="s">
        <v>1419</v>
      </c>
      <c r="Z140" s="83" t="s">
        <v>2508</v>
      </c>
      <c r="AA140" s="84" t="s">
        <v>2508</v>
      </c>
      <c r="AB140" s="108"/>
      <c r="AC140" s="107"/>
      <c r="AD140" s="84"/>
      <c r="AE140" s="83"/>
      <c r="AF140" s="84"/>
      <c r="AG140" s="83"/>
      <c r="AH140" s="84"/>
      <c r="AI140" s="39" t="s">
        <v>88</v>
      </c>
      <c r="AJ140" s="39" t="s">
        <v>45</v>
      </c>
      <c r="AK140" s="39" t="s">
        <v>1420</v>
      </c>
      <c r="AM140" s="39" t="s">
        <v>1420</v>
      </c>
      <c r="AN140" s="39" t="s">
        <v>1420</v>
      </c>
      <c r="AP140" s="39" t="s">
        <v>1421</v>
      </c>
      <c r="AQ140" s="39" t="s">
        <v>1422</v>
      </c>
      <c r="AR140" s="39" t="s">
        <v>68</v>
      </c>
      <c r="AU140" s="44">
        <v>62085697241191</v>
      </c>
      <c r="AX140" s="39" t="s">
        <v>1423</v>
      </c>
      <c r="AZ140" s="39" t="s">
        <v>1416</v>
      </c>
      <c r="BA140" s="39" t="s">
        <v>1906</v>
      </c>
      <c r="BB140" s="39" t="s">
        <v>1417</v>
      </c>
      <c r="BC140" s="39" t="s">
        <v>1937</v>
      </c>
      <c r="BD140" s="39" t="b">
        <v>1</v>
      </c>
      <c r="BE140" s="39" t="b">
        <v>1</v>
      </c>
      <c r="BF140" s="39" t="s">
        <v>1418</v>
      </c>
      <c r="BG140" s="39" t="s">
        <v>1419</v>
      </c>
      <c r="BH140" s="39" t="s">
        <v>2366</v>
      </c>
      <c r="BI140" s="39" t="s">
        <v>2367</v>
      </c>
      <c r="BJ140" s="39" t="b">
        <v>1</v>
      </c>
      <c r="BK140" s="39" t="b">
        <v>1</v>
      </c>
      <c r="BN140" s="39">
        <v>0</v>
      </c>
      <c r="BO140" s="39" t="s">
        <v>2785</v>
      </c>
      <c r="BP140" s="39" t="s">
        <v>2808</v>
      </c>
    </row>
    <row r="141" spans="1:68">
      <c r="A141" s="39" t="s">
        <v>20</v>
      </c>
      <c r="B141" s="39" t="s">
        <v>21</v>
      </c>
      <c r="C141" s="39" t="s">
        <v>805</v>
      </c>
      <c r="D141" s="39" t="s">
        <v>1414</v>
      </c>
      <c r="E141" s="39" t="s">
        <v>1415</v>
      </c>
      <c r="F141" s="39" t="s">
        <v>1416</v>
      </c>
      <c r="G141" s="39" t="s">
        <v>1417</v>
      </c>
      <c r="H141" s="39" t="s">
        <v>165</v>
      </c>
      <c r="I141" s="39" t="b">
        <v>0</v>
      </c>
      <c r="J141" s="39" t="s">
        <v>165</v>
      </c>
      <c r="K141" s="39" t="b">
        <v>0</v>
      </c>
      <c r="L141" s="39" t="s">
        <v>1424</v>
      </c>
      <c r="M141" s="39" t="s">
        <v>1425</v>
      </c>
      <c r="N141" s="39" t="s">
        <v>2508</v>
      </c>
      <c r="P141" s="39" t="s">
        <v>2508</v>
      </c>
      <c r="R141" s="39" t="s">
        <v>1417</v>
      </c>
      <c r="S141" s="39" t="b">
        <f t="shared" si="4"/>
        <v>1</v>
      </c>
      <c r="T141" s="39" t="s">
        <v>1416</v>
      </c>
      <c r="U141" s="39" t="b">
        <f t="shared" si="5"/>
        <v>1</v>
      </c>
      <c r="V141" s="39" t="s">
        <v>2564</v>
      </c>
      <c r="W141" s="39" t="s">
        <v>2564</v>
      </c>
      <c r="X141" s="83" t="s">
        <v>1424</v>
      </c>
      <c r="Y141" s="84" t="s">
        <v>1425</v>
      </c>
      <c r="Z141" s="83" t="s">
        <v>2508</v>
      </c>
      <c r="AA141" s="84" t="s">
        <v>2508</v>
      </c>
      <c r="AB141" s="108"/>
      <c r="AC141" s="107"/>
      <c r="AD141" s="84"/>
      <c r="AE141" s="83"/>
      <c r="AF141" s="84"/>
      <c r="AG141" s="83"/>
      <c r="AH141" s="84"/>
      <c r="AI141" s="39" t="s">
        <v>88</v>
      </c>
      <c r="AJ141" s="39" t="s">
        <v>45</v>
      </c>
      <c r="AK141" s="39" t="s">
        <v>1426</v>
      </c>
      <c r="AM141" s="39" t="s">
        <v>1426</v>
      </c>
      <c r="AN141" s="39" t="s">
        <v>1426</v>
      </c>
      <c r="AP141" s="39" t="s">
        <v>1427</v>
      </c>
      <c r="AQ141" s="39" t="s">
        <v>1428</v>
      </c>
      <c r="AR141" s="39" t="s">
        <v>68</v>
      </c>
      <c r="AU141" s="44">
        <v>6285770154721</v>
      </c>
      <c r="AX141" s="39" t="s">
        <v>1429</v>
      </c>
      <c r="AZ141" s="39" t="s">
        <v>1416</v>
      </c>
      <c r="BA141" s="39" t="s">
        <v>1906</v>
      </c>
      <c r="BB141" s="39" t="s">
        <v>1417</v>
      </c>
      <c r="BC141" s="39" t="s">
        <v>1937</v>
      </c>
      <c r="BD141" s="39" t="b">
        <v>1</v>
      </c>
      <c r="BE141" s="39" t="b">
        <v>1</v>
      </c>
      <c r="BF141" s="39" t="s">
        <v>1424</v>
      </c>
      <c r="BG141" s="39" t="s">
        <v>1425</v>
      </c>
      <c r="BH141" s="39" t="s">
        <v>2368</v>
      </c>
      <c r="BI141" s="39" t="s">
        <v>2369</v>
      </c>
      <c r="BJ141" s="39" t="b">
        <v>1</v>
      </c>
      <c r="BK141" s="39" t="b">
        <v>1</v>
      </c>
      <c r="BN141" s="39">
        <v>0</v>
      </c>
      <c r="BO141" s="39" t="s">
        <v>2785</v>
      </c>
      <c r="BP141" s="39" t="s">
        <v>2808</v>
      </c>
    </row>
    <row r="142" spans="1:68">
      <c r="A142" s="39" t="s">
        <v>20</v>
      </c>
      <c r="B142" s="39" t="s">
        <v>21</v>
      </c>
      <c r="C142" s="39" t="s">
        <v>805</v>
      </c>
      <c r="D142" s="39" t="s">
        <v>1414</v>
      </c>
      <c r="E142" s="39" t="s">
        <v>1415</v>
      </c>
      <c r="F142" s="39" t="s">
        <v>1416</v>
      </c>
      <c r="G142" s="39" t="s">
        <v>1417</v>
      </c>
      <c r="H142" s="39" t="s">
        <v>165</v>
      </c>
      <c r="I142" s="39" t="b">
        <v>0</v>
      </c>
      <c r="J142" s="39" t="s">
        <v>165</v>
      </c>
      <c r="K142" s="39" t="b">
        <v>0</v>
      </c>
      <c r="L142" s="39" t="s">
        <v>1430</v>
      </c>
      <c r="M142" s="39" t="s">
        <v>1431</v>
      </c>
      <c r="N142" s="39" t="s">
        <v>2508</v>
      </c>
      <c r="P142" s="39" t="s">
        <v>2508</v>
      </c>
      <c r="R142" s="39" t="s">
        <v>1417</v>
      </c>
      <c r="S142" s="39" t="b">
        <f t="shared" si="4"/>
        <v>1</v>
      </c>
      <c r="T142" s="39" t="s">
        <v>1416</v>
      </c>
      <c r="U142" s="39" t="b">
        <f t="shared" si="5"/>
        <v>1</v>
      </c>
      <c r="V142" s="39" t="s">
        <v>2564</v>
      </c>
      <c r="W142" s="39" t="s">
        <v>2564</v>
      </c>
      <c r="X142" s="83" t="s">
        <v>1430</v>
      </c>
      <c r="Y142" s="84" t="s">
        <v>1431</v>
      </c>
      <c r="Z142" s="83" t="s">
        <v>2508</v>
      </c>
      <c r="AA142" s="84" t="s">
        <v>2508</v>
      </c>
      <c r="AB142" s="108"/>
      <c r="AC142" s="107"/>
      <c r="AD142" s="84"/>
      <c r="AE142" s="83"/>
      <c r="AF142" s="84"/>
      <c r="AG142" s="83"/>
      <c r="AH142" s="84"/>
      <c r="AI142" s="39" t="s">
        <v>88</v>
      </c>
      <c r="AJ142" s="39" t="s">
        <v>45</v>
      </c>
      <c r="AK142" s="39" t="s">
        <v>1432</v>
      </c>
      <c r="AM142" s="39" t="s">
        <v>1432</v>
      </c>
      <c r="AN142" s="39" t="s">
        <v>1432</v>
      </c>
      <c r="AP142" s="39" t="s">
        <v>1433</v>
      </c>
      <c r="AQ142" s="39" t="s">
        <v>1434</v>
      </c>
      <c r="AR142" s="39" t="s">
        <v>68</v>
      </c>
      <c r="AU142" s="44">
        <v>6208567160016</v>
      </c>
      <c r="AX142" s="39" t="s">
        <v>1435</v>
      </c>
      <c r="AZ142" s="39" t="s">
        <v>1416</v>
      </c>
      <c r="BA142" s="39" t="s">
        <v>1906</v>
      </c>
      <c r="BB142" s="39" t="s">
        <v>1417</v>
      </c>
      <c r="BC142" s="39" t="s">
        <v>1937</v>
      </c>
      <c r="BD142" s="39" t="b">
        <v>1</v>
      </c>
      <c r="BE142" s="39" t="b">
        <v>1</v>
      </c>
      <c r="BF142" s="39" t="s">
        <v>1430</v>
      </c>
      <c r="BG142" s="39" t="s">
        <v>1431</v>
      </c>
      <c r="BH142" s="39" t="s">
        <v>2370</v>
      </c>
      <c r="BI142" s="39" t="s">
        <v>2371</v>
      </c>
      <c r="BJ142" s="39" t="b">
        <v>1</v>
      </c>
      <c r="BK142" s="39" t="b">
        <v>1</v>
      </c>
      <c r="BN142" s="39">
        <v>0</v>
      </c>
      <c r="BO142" s="39" t="s">
        <v>2785</v>
      </c>
      <c r="BP142" s="39" t="s">
        <v>2808</v>
      </c>
    </row>
    <row r="143" spans="1:68">
      <c r="A143" s="39" t="s">
        <v>20</v>
      </c>
      <c r="B143" s="39" t="s">
        <v>21</v>
      </c>
      <c r="C143" s="39" t="s">
        <v>805</v>
      </c>
      <c r="D143" s="39" t="s">
        <v>838</v>
      </c>
      <c r="E143" s="39" t="s">
        <v>839</v>
      </c>
      <c r="F143" s="39" t="s">
        <v>840</v>
      </c>
      <c r="G143" s="39" t="s">
        <v>841</v>
      </c>
      <c r="H143" s="39" t="s">
        <v>635</v>
      </c>
      <c r="I143" s="39" t="b">
        <v>0</v>
      </c>
      <c r="J143" s="39" t="s">
        <v>635</v>
      </c>
      <c r="K143" s="39" t="b">
        <v>0</v>
      </c>
      <c r="L143" s="39" t="s">
        <v>842</v>
      </c>
      <c r="M143" s="39" t="s">
        <v>843</v>
      </c>
      <c r="N143" s="39" t="s">
        <v>2508</v>
      </c>
      <c r="P143" s="39" t="s">
        <v>2510</v>
      </c>
      <c r="R143" s="39" t="s">
        <v>841</v>
      </c>
      <c r="S143" s="39" t="b">
        <f t="shared" si="4"/>
        <v>1</v>
      </c>
      <c r="T143" s="39" t="s">
        <v>840</v>
      </c>
      <c r="U143" s="39" t="b">
        <f t="shared" si="5"/>
        <v>1</v>
      </c>
      <c r="V143" s="39" t="s">
        <v>2564</v>
      </c>
      <c r="W143" s="39" t="s">
        <v>2564</v>
      </c>
      <c r="X143" s="83" t="s">
        <v>2571</v>
      </c>
      <c r="Y143" s="84" t="s">
        <v>2594</v>
      </c>
      <c r="Z143" s="83" t="s">
        <v>2508</v>
      </c>
      <c r="AA143" s="84" t="s">
        <v>2509</v>
      </c>
      <c r="AB143" s="108"/>
      <c r="AC143" s="107"/>
      <c r="AD143" s="84"/>
      <c r="AE143" s="83"/>
      <c r="AF143" s="84"/>
      <c r="AG143" s="83"/>
      <c r="AH143" s="84"/>
      <c r="AI143" s="39" t="s">
        <v>88</v>
      </c>
      <c r="AJ143" s="39" t="s">
        <v>44</v>
      </c>
      <c r="AK143" s="39" t="s">
        <v>844</v>
      </c>
      <c r="AM143" s="39" t="s">
        <v>844</v>
      </c>
      <c r="AN143" s="39" t="s">
        <v>845</v>
      </c>
      <c r="AO143" s="39" t="b">
        <v>0</v>
      </c>
      <c r="AP143" s="39" t="s">
        <v>846</v>
      </c>
      <c r="AQ143" s="39" t="s">
        <v>847</v>
      </c>
      <c r="AR143" s="39" t="s">
        <v>68</v>
      </c>
      <c r="AS143" s="39" t="s">
        <v>816</v>
      </c>
      <c r="AT143" s="39" t="s">
        <v>848</v>
      </c>
      <c r="AU143" s="44">
        <v>6285882632792</v>
      </c>
      <c r="AV143" s="39" t="s">
        <v>849</v>
      </c>
      <c r="AX143" s="39" t="s">
        <v>850</v>
      </c>
      <c r="AY143" s="39" t="s">
        <v>373</v>
      </c>
      <c r="AZ143" s="39" t="s">
        <v>840</v>
      </c>
      <c r="BA143" s="39" t="s">
        <v>1908</v>
      </c>
      <c r="BB143" s="39" t="s">
        <v>841</v>
      </c>
      <c r="BC143" s="39" t="s">
        <v>1931</v>
      </c>
      <c r="BD143" s="39" t="b">
        <v>1</v>
      </c>
      <c r="BE143" s="39" t="b">
        <v>1</v>
      </c>
      <c r="BF143" s="39" t="s">
        <v>842</v>
      </c>
      <c r="BG143" s="39" t="s">
        <v>843</v>
      </c>
      <c r="BH143" s="39" t="s">
        <v>2206</v>
      </c>
      <c r="BI143" s="39" t="s">
        <v>2207</v>
      </c>
      <c r="BJ143" s="39" t="b">
        <v>1</v>
      </c>
      <c r="BK143" s="39" t="b">
        <v>1</v>
      </c>
      <c r="BN143" s="39" t="s">
        <v>2505</v>
      </c>
      <c r="BO143" s="39" t="s">
        <v>2786</v>
      </c>
      <c r="BP143" s="39" t="s">
        <v>2808</v>
      </c>
    </row>
    <row r="144" spans="1:68">
      <c r="A144" s="39" t="s">
        <v>20</v>
      </c>
      <c r="B144" s="39" t="s">
        <v>21</v>
      </c>
      <c r="C144" s="39" t="s">
        <v>805</v>
      </c>
      <c r="D144" s="39" t="s">
        <v>838</v>
      </c>
      <c r="E144" s="39" t="s">
        <v>839</v>
      </c>
      <c r="F144" s="39" t="s">
        <v>840</v>
      </c>
      <c r="G144" s="39" t="s">
        <v>841</v>
      </c>
      <c r="H144" s="39" t="s">
        <v>635</v>
      </c>
      <c r="I144" s="39" t="b">
        <v>0</v>
      </c>
      <c r="J144" s="39" t="s">
        <v>635</v>
      </c>
      <c r="K144" s="39" t="b">
        <v>0</v>
      </c>
      <c r="L144" s="39" t="s">
        <v>1082</v>
      </c>
      <c r="M144" s="39" t="s">
        <v>1083</v>
      </c>
      <c r="N144" s="39" t="s">
        <v>2508</v>
      </c>
      <c r="P144" s="39" t="s">
        <v>2508</v>
      </c>
      <c r="R144" s="39" t="s">
        <v>841</v>
      </c>
      <c r="S144" s="39" t="b">
        <f t="shared" si="4"/>
        <v>1</v>
      </c>
      <c r="T144" s="39" t="s">
        <v>840</v>
      </c>
      <c r="U144" s="39" t="b">
        <f t="shared" si="5"/>
        <v>1</v>
      </c>
      <c r="V144" s="39" t="s">
        <v>2564</v>
      </c>
      <c r="W144" s="39" t="s">
        <v>2564</v>
      </c>
      <c r="X144" s="83" t="s">
        <v>1082</v>
      </c>
      <c r="Y144" s="84" t="s">
        <v>1083</v>
      </c>
      <c r="Z144" s="83" t="s">
        <v>2508</v>
      </c>
      <c r="AA144" s="84" t="s">
        <v>2508</v>
      </c>
      <c r="AB144" s="108"/>
      <c r="AC144" s="107"/>
      <c r="AD144" s="84"/>
      <c r="AE144" s="83"/>
      <c r="AF144" s="84"/>
      <c r="AG144" s="83"/>
      <c r="AH144" s="84"/>
      <c r="AI144" s="39" t="s">
        <v>88</v>
      </c>
      <c r="AJ144" s="39" t="s">
        <v>45</v>
      </c>
      <c r="AK144" s="39" t="s">
        <v>1084</v>
      </c>
      <c r="AM144" s="39" t="s">
        <v>1084</v>
      </c>
      <c r="AN144" s="39" t="s">
        <v>1084</v>
      </c>
      <c r="AP144" s="39">
        <v>0</v>
      </c>
      <c r="AQ144" s="39" t="s">
        <v>1085</v>
      </c>
      <c r="AR144" s="39" t="s">
        <v>68</v>
      </c>
      <c r="AU144" s="44">
        <v>6285813087817</v>
      </c>
      <c r="AX144" s="39" t="s">
        <v>1086</v>
      </c>
      <c r="AZ144" s="39" t="s">
        <v>840</v>
      </c>
      <c r="BA144" s="39" t="s">
        <v>1908</v>
      </c>
      <c r="BB144" s="39" t="s">
        <v>841</v>
      </c>
      <c r="BC144" s="39" t="s">
        <v>1931</v>
      </c>
      <c r="BD144" s="39" t="b">
        <v>1</v>
      </c>
      <c r="BE144" s="39" t="b">
        <v>1</v>
      </c>
      <c r="BF144" s="39" t="s">
        <v>1082</v>
      </c>
      <c r="BG144" s="39" t="s">
        <v>1083</v>
      </c>
      <c r="BH144" s="39" t="s">
        <v>2274</v>
      </c>
      <c r="BI144" s="39" t="s">
        <v>2275</v>
      </c>
      <c r="BJ144" s="39" t="b">
        <v>1</v>
      </c>
      <c r="BK144" s="39" t="b">
        <v>1</v>
      </c>
      <c r="BN144" s="39" t="s">
        <v>2505</v>
      </c>
      <c r="BO144" s="39" t="s">
        <v>2786</v>
      </c>
      <c r="BP144" s="39" t="s">
        <v>2808</v>
      </c>
    </row>
    <row r="145" spans="1:68">
      <c r="A145" s="39" t="s">
        <v>20</v>
      </c>
      <c r="B145" s="39" t="s">
        <v>21</v>
      </c>
      <c r="C145" s="39" t="s">
        <v>805</v>
      </c>
      <c r="D145" s="39" t="s">
        <v>838</v>
      </c>
      <c r="E145" s="39" t="s">
        <v>839</v>
      </c>
      <c r="F145" s="39" t="s">
        <v>840</v>
      </c>
      <c r="G145" s="39" t="s">
        <v>841</v>
      </c>
      <c r="H145" s="39" t="s">
        <v>635</v>
      </c>
      <c r="I145" s="39" t="b">
        <v>0</v>
      </c>
      <c r="J145" s="39" t="s">
        <v>635</v>
      </c>
      <c r="K145" s="39" t="b">
        <v>0</v>
      </c>
      <c r="L145" s="39" t="s">
        <v>1092</v>
      </c>
      <c r="M145" s="39" t="s">
        <v>1093</v>
      </c>
      <c r="N145" s="39" t="s">
        <v>2508</v>
      </c>
      <c r="P145" s="39" t="s">
        <v>2508</v>
      </c>
      <c r="R145" s="39" t="s">
        <v>841</v>
      </c>
      <c r="S145" s="39" t="b">
        <f t="shared" si="4"/>
        <v>1</v>
      </c>
      <c r="T145" s="39" t="s">
        <v>840</v>
      </c>
      <c r="U145" s="39" t="b">
        <f t="shared" si="5"/>
        <v>1</v>
      </c>
      <c r="V145" s="39" t="s">
        <v>2564</v>
      </c>
      <c r="W145" s="39" t="s">
        <v>2564</v>
      </c>
      <c r="X145" s="83" t="s">
        <v>2572</v>
      </c>
      <c r="Y145" s="84" t="s">
        <v>2595</v>
      </c>
      <c r="Z145" s="83" t="s">
        <v>2508</v>
      </c>
      <c r="AA145" s="84" t="s">
        <v>2508</v>
      </c>
      <c r="AB145" s="108"/>
      <c r="AC145" s="107"/>
      <c r="AD145" s="84"/>
      <c r="AE145" s="83"/>
      <c r="AF145" s="84"/>
      <c r="AG145" s="83"/>
      <c r="AH145" s="84"/>
      <c r="AI145" s="39" t="s">
        <v>88</v>
      </c>
      <c r="AJ145" s="39" t="s">
        <v>45</v>
      </c>
      <c r="AK145" s="39" t="s">
        <v>1094</v>
      </c>
      <c r="AM145" s="39" t="s">
        <v>1094</v>
      </c>
      <c r="AN145" s="39" t="s">
        <v>1094</v>
      </c>
      <c r="AP145" s="39">
        <v>0</v>
      </c>
      <c r="AQ145" s="39" t="s">
        <v>1095</v>
      </c>
      <c r="AR145" s="39" t="s">
        <v>68</v>
      </c>
      <c r="AU145" s="44">
        <v>6285695001961</v>
      </c>
      <c r="AX145" s="39" t="s">
        <v>1096</v>
      </c>
      <c r="AZ145" s="39" t="s">
        <v>840</v>
      </c>
      <c r="BA145" s="39" t="s">
        <v>1908</v>
      </c>
      <c r="BB145" s="39" t="s">
        <v>841</v>
      </c>
      <c r="BC145" s="39" t="s">
        <v>1931</v>
      </c>
      <c r="BD145" s="39" t="b">
        <v>1</v>
      </c>
      <c r="BE145" s="39" t="b">
        <v>1</v>
      </c>
      <c r="BF145" s="39" t="s">
        <v>1092</v>
      </c>
      <c r="BG145" s="39" t="s">
        <v>1093</v>
      </c>
      <c r="BH145" s="39" t="s">
        <v>2278</v>
      </c>
      <c r="BI145" s="39" t="s">
        <v>2279</v>
      </c>
      <c r="BJ145" s="39" t="b">
        <v>1</v>
      </c>
      <c r="BK145" s="39" t="b">
        <v>1</v>
      </c>
      <c r="BN145" s="39" t="s">
        <v>2505</v>
      </c>
      <c r="BO145" s="39" t="s">
        <v>2786</v>
      </c>
      <c r="BP145" s="39" t="s">
        <v>2808</v>
      </c>
    </row>
    <row r="146" spans="1:68">
      <c r="A146" s="39" t="s">
        <v>20</v>
      </c>
      <c r="B146" s="39" t="s">
        <v>21</v>
      </c>
      <c r="C146" s="39" t="s">
        <v>805</v>
      </c>
      <c r="D146" s="39" t="s">
        <v>838</v>
      </c>
      <c r="E146" s="39" t="s">
        <v>839</v>
      </c>
      <c r="F146" s="39" t="s">
        <v>840</v>
      </c>
      <c r="G146" s="39" t="s">
        <v>841</v>
      </c>
      <c r="H146" s="39" t="s">
        <v>635</v>
      </c>
      <c r="I146" s="39" t="b">
        <v>0</v>
      </c>
      <c r="J146" s="39" t="s">
        <v>635</v>
      </c>
      <c r="K146" s="39" t="b">
        <v>0</v>
      </c>
      <c r="L146" s="39" t="s">
        <v>1593</v>
      </c>
      <c r="M146" s="39" t="s">
        <v>1592</v>
      </c>
      <c r="N146" s="39" t="s">
        <v>2508</v>
      </c>
      <c r="P146" s="39" t="s">
        <v>2543</v>
      </c>
      <c r="Q146" s="39" t="s">
        <v>2547</v>
      </c>
      <c r="R146" s="39" t="s">
        <v>2547</v>
      </c>
      <c r="S146" s="39" t="b">
        <f t="shared" si="4"/>
        <v>0</v>
      </c>
      <c r="T146" s="39" t="s">
        <v>840</v>
      </c>
      <c r="U146" s="39" t="b">
        <f t="shared" si="5"/>
        <v>1</v>
      </c>
      <c r="V146" s="39" t="s">
        <v>2564</v>
      </c>
      <c r="W146" s="39" t="s">
        <v>2561</v>
      </c>
      <c r="X146" s="83" t="s">
        <v>1593</v>
      </c>
      <c r="Y146" s="84" t="s">
        <v>1592</v>
      </c>
      <c r="Z146" s="83" t="s">
        <v>2508</v>
      </c>
      <c r="AA146" s="84" t="s">
        <v>2508</v>
      </c>
      <c r="AB146" s="108"/>
      <c r="AC146" s="107"/>
      <c r="AD146" s="84"/>
      <c r="AE146" s="83"/>
      <c r="AF146" s="84"/>
      <c r="AG146" s="83"/>
      <c r="AH146" s="84"/>
      <c r="AI146" s="39" t="s">
        <v>88</v>
      </c>
      <c r="AJ146" s="39" t="s">
        <v>45</v>
      </c>
      <c r="AK146" s="39" t="s">
        <v>1594</v>
      </c>
      <c r="AM146" s="39" t="s">
        <v>1594</v>
      </c>
      <c r="AN146" s="39" t="s">
        <v>1594</v>
      </c>
      <c r="AP146" s="39" t="s">
        <v>1595</v>
      </c>
      <c r="AQ146" s="39" t="s">
        <v>1596</v>
      </c>
      <c r="AR146" s="39" t="s">
        <v>68</v>
      </c>
      <c r="AU146" s="44">
        <v>6289602777922</v>
      </c>
      <c r="AX146" s="39" t="s">
        <v>1597</v>
      </c>
      <c r="AZ146" s="39" t="s">
        <v>840</v>
      </c>
      <c r="BA146" s="39" t="s">
        <v>1908</v>
      </c>
      <c r="BB146" s="39" t="s">
        <v>841</v>
      </c>
      <c r="BC146" s="39" t="s">
        <v>1931</v>
      </c>
      <c r="BD146" s="39" t="b">
        <v>1</v>
      </c>
      <c r="BE146" s="39" t="b">
        <v>1</v>
      </c>
      <c r="BF146" s="39" t="s">
        <v>1593</v>
      </c>
      <c r="BG146" s="39" t="s">
        <v>1592</v>
      </c>
      <c r="BH146" s="39" t="s">
        <v>2412</v>
      </c>
      <c r="BI146" s="39" t="s">
        <v>2413</v>
      </c>
      <c r="BJ146" s="39" t="b">
        <v>1</v>
      </c>
      <c r="BK146" s="39" t="b">
        <v>1</v>
      </c>
      <c r="BN146" s="39">
        <v>0</v>
      </c>
      <c r="BO146" s="39" t="s">
        <v>2786</v>
      </c>
      <c r="BP146" s="39" t="s">
        <v>2808</v>
      </c>
    </row>
    <row r="147" spans="1:68">
      <c r="A147" s="39" t="s">
        <v>20</v>
      </c>
      <c r="B147" s="39" t="s">
        <v>21</v>
      </c>
      <c r="C147" s="39" t="s">
        <v>805</v>
      </c>
      <c r="D147" s="39" t="s">
        <v>838</v>
      </c>
      <c r="E147" s="39" t="s">
        <v>839</v>
      </c>
      <c r="F147" s="39" t="s">
        <v>840</v>
      </c>
      <c r="G147" s="39" t="s">
        <v>841</v>
      </c>
      <c r="H147" s="39" t="s">
        <v>635</v>
      </c>
      <c r="I147" s="39" t="b">
        <v>0</v>
      </c>
      <c r="J147" s="39" t="s">
        <v>635</v>
      </c>
      <c r="K147" s="39" t="b">
        <v>0</v>
      </c>
      <c r="L147" s="39" t="s">
        <v>1648</v>
      </c>
      <c r="M147" s="39" t="s">
        <v>1647</v>
      </c>
      <c r="N147" s="39" t="s">
        <v>2508</v>
      </c>
      <c r="P147" s="39" t="s">
        <v>2543</v>
      </c>
      <c r="Q147" s="39" t="s">
        <v>2547</v>
      </c>
      <c r="R147" s="39" t="s">
        <v>2547</v>
      </c>
      <c r="S147" s="39" t="b">
        <f t="shared" si="4"/>
        <v>0</v>
      </c>
      <c r="T147" s="39" t="s">
        <v>840</v>
      </c>
      <c r="U147" s="39" t="b">
        <f t="shared" si="5"/>
        <v>1</v>
      </c>
      <c r="V147" s="39" t="s">
        <v>2564</v>
      </c>
      <c r="W147" s="39" t="s">
        <v>2561</v>
      </c>
      <c r="X147" s="83" t="s">
        <v>1648</v>
      </c>
      <c r="Y147" s="84" t="s">
        <v>1647</v>
      </c>
      <c r="Z147" s="83" t="s">
        <v>2508</v>
      </c>
      <c r="AA147" s="84" t="s">
        <v>2508</v>
      </c>
      <c r="AB147" s="108"/>
      <c r="AC147" s="107"/>
      <c r="AD147" s="84"/>
      <c r="AE147" s="83"/>
      <c r="AF147" s="84"/>
      <c r="AG147" s="83"/>
      <c r="AH147" s="84"/>
      <c r="AI147" s="39" t="s">
        <v>88</v>
      </c>
      <c r="AJ147" s="39" t="s">
        <v>45</v>
      </c>
      <c r="AK147" s="39" t="s">
        <v>1649</v>
      </c>
      <c r="AM147" s="39" t="s">
        <v>1649</v>
      </c>
      <c r="AN147" s="39" t="s">
        <v>1649</v>
      </c>
      <c r="AP147" s="39" t="s">
        <v>1650</v>
      </c>
      <c r="AQ147" s="39" t="s">
        <v>1651</v>
      </c>
      <c r="AR147" s="39" t="s">
        <v>68</v>
      </c>
      <c r="AU147" s="44">
        <v>6289602777921</v>
      </c>
      <c r="AX147" s="39" t="s">
        <v>1652</v>
      </c>
      <c r="AZ147" s="39" t="s">
        <v>840</v>
      </c>
      <c r="BA147" s="39" t="s">
        <v>1908</v>
      </c>
      <c r="BB147" s="39" t="s">
        <v>841</v>
      </c>
      <c r="BC147" s="39" t="s">
        <v>1931</v>
      </c>
      <c r="BD147" s="39" t="b">
        <v>1</v>
      </c>
      <c r="BE147" s="39" t="b">
        <v>1</v>
      </c>
      <c r="BF147" s="39" t="s">
        <v>1648</v>
      </c>
      <c r="BG147" s="39" t="s">
        <v>1647</v>
      </c>
      <c r="BH147" s="39" t="s">
        <v>2426</v>
      </c>
      <c r="BI147" s="39" t="s">
        <v>2427</v>
      </c>
      <c r="BJ147" s="39" t="b">
        <v>1</v>
      </c>
      <c r="BK147" s="39" t="b">
        <v>1</v>
      </c>
      <c r="BN147" s="39">
        <v>0</v>
      </c>
      <c r="BO147" s="39" t="s">
        <v>2786</v>
      </c>
      <c r="BP147" s="39" t="s">
        <v>2808</v>
      </c>
    </row>
    <row r="148" spans="1:68">
      <c r="A148" s="39" t="s">
        <v>20</v>
      </c>
      <c r="B148" s="39" t="s">
        <v>21</v>
      </c>
      <c r="C148" s="39" t="s">
        <v>805</v>
      </c>
      <c r="D148" s="39" t="s">
        <v>878</v>
      </c>
      <c r="E148" s="39" t="s">
        <v>879</v>
      </c>
      <c r="F148" s="39" t="s">
        <v>880</v>
      </c>
      <c r="G148" s="39" t="s">
        <v>881</v>
      </c>
      <c r="H148" s="39" t="s">
        <v>319</v>
      </c>
      <c r="I148" s="39" t="b">
        <v>0</v>
      </c>
      <c r="J148" s="39" t="s">
        <v>319</v>
      </c>
      <c r="K148" s="39" t="b">
        <v>0</v>
      </c>
      <c r="L148" s="39" t="s">
        <v>882</v>
      </c>
      <c r="M148" s="39" t="s">
        <v>883</v>
      </c>
      <c r="N148" s="39" t="s">
        <v>2508</v>
      </c>
      <c r="P148" s="39" t="s">
        <v>2508</v>
      </c>
      <c r="R148" s="39" t="s">
        <v>881</v>
      </c>
      <c r="S148" s="39" t="b">
        <f t="shared" si="4"/>
        <v>1</v>
      </c>
      <c r="T148" s="39" t="s">
        <v>880</v>
      </c>
      <c r="U148" s="39" t="b">
        <f t="shared" si="5"/>
        <v>1</v>
      </c>
      <c r="V148" s="39" t="s">
        <v>2564</v>
      </c>
      <c r="W148" s="39" t="s">
        <v>2564</v>
      </c>
      <c r="X148" s="83" t="s">
        <v>882</v>
      </c>
      <c r="Y148" s="84" t="s">
        <v>883</v>
      </c>
      <c r="Z148" s="83" t="s">
        <v>2508</v>
      </c>
      <c r="AA148" s="84" t="s">
        <v>2508</v>
      </c>
      <c r="AB148" s="108"/>
      <c r="AC148" s="107"/>
      <c r="AD148" s="84"/>
      <c r="AE148" s="83"/>
      <c r="AF148" s="84"/>
      <c r="AG148" s="83"/>
      <c r="AH148" s="84"/>
      <c r="AI148" s="39" t="s">
        <v>88</v>
      </c>
      <c r="AJ148" s="39" t="s">
        <v>45</v>
      </c>
      <c r="AK148" s="39" t="s">
        <v>884</v>
      </c>
      <c r="AM148" s="39" t="s">
        <v>884</v>
      </c>
      <c r="AN148" s="39" t="s">
        <v>884</v>
      </c>
      <c r="AP148" s="39" t="s">
        <v>885</v>
      </c>
      <c r="AQ148" s="39" t="s">
        <v>886</v>
      </c>
      <c r="AR148" s="39" t="s">
        <v>68</v>
      </c>
      <c r="AU148" s="44">
        <v>6280086422475</v>
      </c>
      <c r="AX148" s="39" t="s">
        <v>887</v>
      </c>
      <c r="AZ148" s="39" t="s">
        <v>880</v>
      </c>
      <c r="BA148" s="39" t="s">
        <v>1907</v>
      </c>
      <c r="BB148" s="39" t="s">
        <v>881</v>
      </c>
      <c r="BC148" s="39" t="s">
        <v>1932</v>
      </c>
      <c r="BD148" s="39" t="b">
        <v>1</v>
      </c>
      <c r="BE148" s="39" t="b">
        <v>1</v>
      </c>
      <c r="BF148" s="39" t="s">
        <v>882</v>
      </c>
      <c r="BG148" s="39" t="s">
        <v>883</v>
      </c>
      <c r="BH148" s="39" t="s">
        <v>2214</v>
      </c>
      <c r="BI148" s="39" t="s">
        <v>2215</v>
      </c>
      <c r="BJ148" s="39" t="b">
        <v>1</v>
      </c>
      <c r="BK148" s="39" t="b">
        <v>1</v>
      </c>
      <c r="BN148" s="39">
        <v>0</v>
      </c>
      <c r="BO148" s="39" t="s">
        <v>2787</v>
      </c>
      <c r="BP148" s="39" t="s">
        <v>2808</v>
      </c>
    </row>
    <row r="149" spans="1:68">
      <c r="A149" s="39" t="s">
        <v>20</v>
      </c>
      <c r="B149" s="39" t="s">
        <v>21</v>
      </c>
      <c r="C149" s="39" t="s">
        <v>805</v>
      </c>
      <c r="D149" s="39" t="s">
        <v>878</v>
      </c>
      <c r="E149" s="39" t="s">
        <v>879</v>
      </c>
      <c r="F149" s="39" t="s">
        <v>880</v>
      </c>
      <c r="G149" s="39" t="s">
        <v>881</v>
      </c>
      <c r="H149" s="39" t="s">
        <v>319</v>
      </c>
      <c r="I149" s="39" t="b">
        <v>0</v>
      </c>
      <c r="J149" s="39" t="s">
        <v>319</v>
      </c>
      <c r="K149" s="39" t="b">
        <v>0</v>
      </c>
      <c r="L149" s="39" t="s">
        <v>900</v>
      </c>
      <c r="M149" s="39" t="s">
        <v>901</v>
      </c>
      <c r="N149" s="39" t="s">
        <v>2508</v>
      </c>
      <c r="P149" s="39" t="s">
        <v>2508</v>
      </c>
      <c r="R149" s="39" t="s">
        <v>881</v>
      </c>
      <c r="S149" s="39" t="b">
        <f t="shared" si="4"/>
        <v>1</v>
      </c>
      <c r="T149" s="39" t="s">
        <v>880</v>
      </c>
      <c r="U149" s="39" t="b">
        <f t="shared" si="5"/>
        <v>1</v>
      </c>
      <c r="V149" s="39" t="s">
        <v>2564</v>
      </c>
      <c r="W149" s="39" t="s">
        <v>2564</v>
      </c>
      <c r="X149" s="83" t="s">
        <v>2573</v>
      </c>
      <c r="Y149" s="84" t="s">
        <v>2596</v>
      </c>
      <c r="Z149" s="83" t="s">
        <v>2508</v>
      </c>
      <c r="AA149" s="84" t="s">
        <v>2508</v>
      </c>
      <c r="AB149" s="108"/>
      <c r="AC149" s="107"/>
      <c r="AD149" s="84"/>
      <c r="AE149" s="83"/>
      <c r="AF149" s="84"/>
      <c r="AG149" s="83"/>
      <c r="AH149" s="84"/>
      <c r="AI149" s="39" t="s">
        <v>88</v>
      </c>
      <c r="AJ149" s="39" t="s">
        <v>44</v>
      </c>
      <c r="AK149" s="39" t="s">
        <v>902</v>
      </c>
      <c r="AM149" s="39" t="s">
        <v>902</v>
      </c>
      <c r="AN149" s="39" t="s">
        <v>902</v>
      </c>
      <c r="AO149" s="39" t="b">
        <v>0</v>
      </c>
      <c r="AP149" s="39" t="s">
        <v>903</v>
      </c>
      <c r="AQ149" s="39" t="s">
        <v>904</v>
      </c>
      <c r="AR149" s="39" t="s">
        <v>68</v>
      </c>
      <c r="AS149" s="39" t="s">
        <v>32</v>
      </c>
      <c r="AT149" s="39" t="s">
        <v>905</v>
      </c>
      <c r="AU149" s="44">
        <v>6285664975358</v>
      </c>
      <c r="AV149" s="39" t="s">
        <v>906</v>
      </c>
      <c r="AX149" s="39" t="s">
        <v>907</v>
      </c>
      <c r="AY149" s="39" t="s">
        <v>373</v>
      </c>
      <c r="AZ149" s="39" t="s">
        <v>880</v>
      </c>
      <c r="BA149" s="39" t="s">
        <v>1907</v>
      </c>
      <c r="BB149" s="39" t="s">
        <v>881</v>
      </c>
      <c r="BC149" s="39" t="s">
        <v>1932</v>
      </c>
      <c r="BD149" s="39" t="b">
        <v>1</v>
      </c>
      <c r="BE149" s="39" t="b">
        <v>1</v>
      </c>
      <c r="BF149" s="39" t="s">
        <v>900</v>
      </c>
      <c r="BG149" s="39" t="s">
        <v>901</v>
      </c>
      <c r="BH149" s="39" t="s">
        <v>2220</v>
      </c>
      <c r="BI149" s="39" t="s">
        <v>2221</v>
      </c>
      <c r="BJ149" s="39" t="b">
        <v>1</v>
      </c>
      <c r="BK149" s="39" t="b">
        <v>1</v>
      </c>
      <c r="BN149" s="39">
        <v>0</v>
      </c>
      <c r="BO149" s="39" t="s">
        <v>2787</v>
      </c>
      <c r="BP149" s="39" t="s">
        <v>2808</v>
      </c>
    </row>
    <row r="150" spans="1:68">
      <c r="A150" s="39" t="s">
        <v>20</v>
      </c>
      <c r="B150" s="39" t="s">
        <v>21</v>
      </c>
      <c r="C150" s="39" t="s">
        <v>805</v>
      </c>
      <c r="D150" s="39" t="s">
        <v>878</v>
      </c>
      <c r="E150" s="39" t="s">
        <v>879</v>
      </c>
      <c r="F150" s="39" t="s">
        <v>880</v>
      </c>
      <c r="G150" s="39" t="s">
        <v>881</v>
      </c>
      <c r="H150" s="39" t="s">
        <v>319</v>
      </c>
      <c r="I150" s="39" t="b">
        <v>0</v>
      </c>
      <c r="J150" s="39" t="s">
        <v>319</v>
      </c>
      <c r="K150" s="39" t="b">
        <v>0</v>
      </c>
      <c r="L150" s="39" t="s">
        <v>908</v>
      </c>
      <c r="M150" s="39" t="s">
        <v>909</v>
      </c>
      <c r="N150" s="39" t="s">
        <v>2508</v>
      </c>
      <c r="P150" s="39" t="s">
        <v>2508</v>
      </c>
      <c r="R150" s="39" t="s">
        <v>881</v>
      </c>
      <c r="S150" s="39" t="b">
        <f t="shared" si="4"/>
        <v>1</v>
      </c>
      <c r="T150" s="39" t="s">
        <v>880</v>
      </c>
      <c r="U150" s="39" t="b">
        <f t="shared" si="5"/>
        <v>1</v>
      </c>
      <c r="V150" s="39" t="s">
        <v>2564</v>
      </c>
      <c r="W150" s="39" t="s">
        <v>2564</v>
      </c>
      <c r="X150" s="83" t="s">
        <v>2574</v>
      </c>
      <c r="Y150" s="84" t="s">
        <v>2597</v>
      </c>
      <c r="Z150" s="83" t="s">
        <v>2508</v>
      </c>
      <c r="AA150" s="84" t="s">
        <v>2508</v>
      </c>
      <c r="AB150" s="108"/>
      <c r="AC150" s="107"/>
      <c r="AD150" s="84"/>
      <c r="AE150" s="83"/>
      <c r="AF150" s="84"/>
      <c r="AG150" s="83"/>
      <c r="AH150" s="84"/>
      <c r="AI150" s="39" t="s">
        <v>88</v>
      </c>
      <c r="AJ150" s="39" t="s">
        <v>45</v>
      </c>
      <c r="AK150" s="39" t="s">
        <v>910</v>
      </c>
      <c r="AM150" s="39" t="s">
        <v>910</v>
      </c>
      <c r="AN150" s="39" t="s">
        <v>910</v>
      </c>
      <c r="AP150" s="39" t="s">
        <v>911</v>
      </c>
      <c r="AQ150" s="39" t="s">
        <v>912</v>
      </c>
      <c r="AR150" s="39" t="s">
        <v>68</v>
      </c>
      <c r="AU150" s="44">
        <v>6285774654948</v>
      </c>
      <c r="AX150" s="39" t="s">
        <v>913</v>
      </c>
      <c r="AZ150" s="39" t="s">
        <v>880</v>
      </c>
      <c r="BA150" s="39" t="s">
        <v>1907</v>
      </c>
      <c r="BB150" s="39" t="s">
        <v>881</v>
      </c>
      <c r="BC150" s="39" t="s">
        <v>1932</v>
      </c>
      <c r="BD150" s="39" t="b">
        <v>1</v>
      </c>
      <c r="BE150" s="39" t="b">
        <v>1</v>
      </c>
      <c r="BF150" s="39" t="s">
        <v>908</v>
      </c>
      <c r="BG150" s="39" t="s">
        <v>909</v>
      </c>
      <c r="BH150" s="39" t="s">
        <v>2222</v>
      </c>
      <c r="BI150" s="39" t="s">
        <v>2223</v>
      </c>
      <c r="BJ150" s="39" t="b">
        <v>1</v>
      </c>
      <c r="BK150" s="39" t="b">
        <v>1</v>
      </c>
      <c r="BN150" s="39">
        <v>0</v>
      </c>
      <c r="BO150" s="39" t="s">
        <v>2787</v>
      </c>
      <c r="BP150" s="39" t="s">
        <v>2808</v>
      </c>
    </row>
    <row r="151" spans="1:68">
      <c r="A151" s="39" t="s">
        <v>20</v>
      </c>
      <c r="B151" s="39" t="s">
        <v>21</v>
      </c>
      <c r="C151" s="39" t="s">
        <v>805</v>
      </c>
      <c r="D151" s="39" t="s">
        <v>878</v>
      </c>
      <c r="E151" s="39" t="s">
        <v>879</v>
      </c>
      <c r="F151" s="39" t="s">
        <v>880</v>
      </c>
      <c r="G151" s="39" t="s">
        <v>881</v>
      </c>
      <c r="H151" s="39" t="s">
        <v>319</v>
      </c>
      <c r="I151" s="39" t="b">
        <v>0</v>
      </c>
      <c r="J151" s="39" t="s">
        <v>319</v>
      </c>
      <c r="K151" s="39" t="b">
        <v>0</v>
      </c>
      <c r="L151" s="39" t="s">
        <v>1497</v>
      </c>
      <c r="M151" s="39" t="s">
        <v>1496</v>
      </c>
      <c r="N151" s="39" t="s">
        <v>2508</v>
      </c>
      <c r="P151" s="39" t="s">
        <v>2508</v>
      </c>
      <c r="R151" s="39" t="s">
        <v>881</v>
      </c>
      <c r="S151" s="39" t="b">
        <f t="shared" si="4"/>
        <v>1</v>
      </c>
      <c r="T151" s="39" t="s">
        <v>880</v>
      </c>
      <c r="U151" s="39" t="b">
        <f t="shared" si="5"/>
        <v>1</v>
      </c>
      <c r="V151" s="39" t="s">
        <v>2564</v>
      </c>
      <c r="W151" s="39" t="s">
        <v>2564</v>
      </c>
      <c r="X151" s="83" t="s">
        <v>1497</v>
      </c>
      <c r="Y151" s="84" t="s">
        <v>1496</v>
      </c>
      <c r="Z151" s="83" t="s">
        <v>2508</v>
      </c>
      <c r="AA151" s="84" t="s">
        <v>2508</v>
      </c>
      <c r="AB151" s="108"/>
      <c r="AC151" s="107"/>
      <c r="AD151" s="84"/>
      <c r="AE151" s="83"/>
      <c r="AF151" s="84"/>
      <c r="AG151" s="83"/>
      <c r="AH151" s="84"/>
      <c r="AI151" s="39" t="s">
        <v>88</v>
      </c>
      <c r="AJ151" s="39" t="s">
        <v>45</v>
      </c>
      <c r="AK151" s="39" t="s">
        <v>1498</v>
      </c>
      <c r="AM151" s="39" t="s">
        <v>1498</v>
      </c>
      <c r="AN151" s="39" t="s">
        <v>1498</v>
      </c>
      <c r="AP151" s="39" t="s">
        <v>1499</v>
      </c>
      <c r="AQ151" s="39" t="s">
        <v>1500</v>
      </c>
      <c r="AR151" s="39" t="s">
        <v>68</v>
      </c>
      <c r="AU151" s="44">
        <v>6289602777916</v>
      </c>
      <c r="AX151" s="39" t="s">
        <v>1501</v>
      </c>
      <c r="AZ151" s="39" t="s">
        <v>880</v>
      </c>
      <c r="BA151" s="39" t="s">
        <v>1907</v>
      </c>
      <c r="BB151" s="39" t="s">
        <v>881</v>
      </c>
      <c r="BC151" s="39" t="s">
        <v>1932</v>
      </c>
      <c r="BD151" s="39" t="b">
        <v>1</v>
      </c>
      <c r="BE151" s="39" t="b">
        <v>1</v>
      </c>
      <c r="BF151" s="39" t="s">
        <v>1497</v>
      </c>
      <c r="BG151" s="39" t="s">
        <v>1496</v>
      </c>
      <c r="BH151" s="39" t="s">
        <v>2390</v>
      </c>
      <c r="BI151" s="39" t="s">
        <v>2391</v>
      </c>
      <c r="BJ151" s="39" t="b">
        <v>1</v>
      </c>
      <c r="BK151" s="39" t="b">
        <v>1</v>
      </c>
      <c r="BN151" s="39">
        <v>0</v>
      </c>
      <c r="BO151" s="39" t="s">
        <v>2787</v>
      </c>
      <c r="BP151" s="39" t="s">
        <v>2808</v>
      </c>
    </row>
    <row r="152" spans="1:68">
      <c r="A152" s="39" t="s">
        <v>20</v>
      </c>
      <c r="B152" s="39" t="s">
        <v>21</v>
      </c>
      <c r="C152" s="39" t="s">
        <v>805</v>
      </c>
      <c r="D152" s="39" t="s">
        <v>878</v>
      </c>
      <c r="E152" s="39" t="s">
        <v>879</v>
      </c>
      <c r="F152" s="39" t="s">
        <v>880</v>
      </c>
      <c r="G152" s="39" t="s">
        <v>881</v>
      </c>
      <c r="H152" s="39" t="s">
        <v>319</v>
      </c>
      <c r="I152" s="39" t="b">
        <v>0</v>
      </c>
      <c r="J152" s="39" t="s">
        <v>319</v>
      </c>
      <c r="K152" s="39" t="b">
        <v>0</v>
      </c>
      <c r="L152" s="39" t="s">
        <v>1503</v>
      </c>
      <c r="M152" s="39" t="s">
        <v>1502</v>
      </c>
      <c r="N152" s="39" t="s">
        <v>2508</v>
      </c>
      <c r="P152" s="39" t="s">
        <v>2508</v>
      </c>
      <c r="R152" s="39" t="s">
        <v>881</v>
      </c>
      <c r="S152" s="39" t="b">
        <f t="shared" si="4"/>
        <v>1</v>
      </c>
      <c r="T152" s="39" t="s">
        <v>880</v>
      </c>
      <c r="U152" s="39" t="b">
        <f t="shared" si="5"/>
        <v>1</v>
      </c>
      <c r="V152" s="39" t="s">
        <v>2564</v>
      </c>
      <c r="W152" s="39" t="s">
        <v>2564</v>
      </c>
      <c r="X152" s="83" t="s">
        <v>1503</v>
      </c>
      <c r="Y152" s="84" t="s">
        <v>1502</v>
      </c>
      <c r="Z152" s="83" t="s">
        <v>2508</v>
      </c>
      <c r="AA152" s="84" t="s">
        <v>2508</v>
      </c>
      <c r="AB152" s="108"/>
      <c r="AC152" s="107"/>
      <c r="AD152" s="84"/>
      <c r="AE152" s="83"/>
      <c r="AF152" s="84"/>
      <c r="AG152" s="83"/>
      <c r="AH152" s="84"/>
      <c r="AI152" s="39" t="s">
        <v>88</v>
      </c>
      <c r="AJ152" s="39" t="s">
        <v>45</v>
      </c>
      <c r="AK152" s="39" t="s">
        <v>1504</v>
      </c>
      <c r="AM152" s="39" t="s">
        <v>1504</v>
      </c>
      <c r="AN152" s="39" t="s">
        <v>1504</v>
      </c>
      <c r="AP152" s="39" t="s">
        <v>1505</v>
      </c>
      <c r="AQ152" s="39" t="s">
        <v>1506</v>
      </c>
      <c r="AR152" s="39" t="s">
        <v>68</v>
      </c>
      <c r="AU152" s="44">
        <v>6289602777912</v>
      </c>
      <c r="AX152" s="39" t="s">
        <v>1507</v>
      </c>
      <c r="AZ152" s="39" t="s">
        <v>880</v>
      </c>
      <c r="BA152" s="39" t="s">
        <v>1907</v>
      </c>
      <c r="BB152" s="39" t="s">
        <v>881</v>
      </c>
      <c r="BC152" s="39" t="s">
        <v>1932</v>
      </c>
      <c r="BD152" s="39" t="b">
        <v>1</v>
      </c>
      <c r="BE152" s="39" t="b">
        <v>1</v>
      </c>
      <c r="BF152" s="39" t="s">
        <v>1503</v>
      </c>
      <c r="BG152" s="39" t="s">
        <v>1502</v>
      </c>
      <c r="BH152" s="39" t="s">
        <v>2392</v>
      </c>
      <c r="BI152" s="39" t="s">
        <v>2393</v>
      </c>
      <c r="BJ152" s="39" t="b">
        <v>1</v>
      </c>
      <c r="BK152" s="39" t="b">
        <v>1</v>
      </c>
      <c r="BN152" s="39">
        <v>0</v>
      </c>
      <c r="BO152" s="39" t="s">
        <v>2787</v>
      </c>
      <c r="BP152" s="39" t="s">
        <v>2808</v>
      </c>
    </row>
    <row r="153" spans="1:68">
      <c r="A153" s="39" t="s">
        <v>20</v>
      </c>
      <c r="B153" s="39" t="s">
        <v>21</v>
      </c>
      <c r="C153" s="39" t="s">
        <v>805</v>
      </c>
      <c r="D153" s="39" t="s">
        <v>878</v>
      </c>
      <c r="E153" s="39" t="s">
        <v>879</v>
      </c>
      <c r="F153" s="39" t="s">
        <v>880</v>
      </c>
      <c r="G153" s="39" t="s">
        <v>881</v>
      </c>
      <c r="H153" s="39" t="s">
        <v>319</v>
      </c>
      <c r="I153" s="39" t="b">
        <v>0</v>
      </c>
      <c r="J153" s="39" t="s">
        <v>319</v>
      </c>
      <c r="K153" s="39" t="b">
        <v>0</v>
      </c>
      <c r="L153" s="39" t="s">
        <v>1571</v>
      </c>
      <c r="M153" s="39" t="s">
        <v>1570</v>
      </c>
      <c r="N153" s="39" t="s">
        <v>2508</v>
      </c>
      <c r="P153" s="39" t="s">
        <v>2508</v>
      </c>
      <c r="R153" s="39" t="s">
        <v>881</v>
      </c>
      <c r="S153" s="39" t="b">
        <f t="shared" si="4"/>
        <v>1</v>
      </c>
      <c r="T153" s="39" t="s">
        <v>880</v>
      </c>
      <c r="U153" s="39" t="b">
        <f t="shared" si="5"/>
        <v>1</v>
      </c>
      <c r="V153" s="39" t="s">
        <v>2564</v>
      </c>
      <c r="W153" s="39" t="s">
        <v>2564</v>
      </c>
      <c r="X153" s="83" t="s">
        <v>1571</v>
      </c>
      <c r="Y153" s="84" t="s">
        <v>1570</v>
      </c>
      <c r="Z153" s="83" t="s">
        <v>2508</v>
      </c>
      <c r="AA153" s="84" t="s">
        <v>2508</v>
      </c>
      <c r="AB153" s="108"/>
      <c r="AC153" s="107"/>
      <c r="AD153" s="84"/>
      <c r="AE153" s="83"/>
      <c r="AF153" s="84"/>
      <c r="AG153" s="83"/>
      <c r="AH153" s="84"/>
      <c r="AI153" s="39" t="s">
        <v>88</v>
      </c>
      <c r="AJ153" s="39" t="s">
        <v>45</v>
      </c>
      <c r="AK153" s="39" t="s">
        <v>1572</v>
      </c>
      <c r="AM153" s="39" t="s">
        <v>1572</v>
      </c>
      <c r="AN153" s="39" t="s">
        <v>1572</v>
      </c>
      <c r="AP153" s="39" t="s">
        <v>1573</v>
      </c>
      <c r="AQ153" s="39" t="s">
        <v>1574</v>
      </c>
      <c r="AR153" s="39" t="s">
        <v>68</v>
      </c>
      <c r="AU153" s="44">
        <v>628998368366</v>
      </c>
      <c r="AX153" s="39" t="s">
        <v>1575</v>
      </c>
      <c r="AZ153" s="39" t="s">
        <v>880</v>
      </c>
      <c r="BA153" s="39" t="s">
        <v>1907</v>
      </c>
      <c r="BB153" s="39" t="s">
        <v>881</v>
      </c>
      <c r="BC153" s="39" t="s">
        <v>1932</v>
      </c>
      <c r="BD153" s="39" t="b">
        <v>1</v>
      </c>
      <c r="BE153" s="39" t="b">
        <v>1</v>
      </c>
      <c r="BF153" s="39" t="s">
        <v>1571</v>
      </c>
      <c r="BG153" s="39" t="s">
        <v>1570</v>
      </c>
      <c r="BH153" s="39" t="s">
        <v>2408</v>
      </c>
      <c r="BI153" s="39" t="s">
        <v>2409</v>
      </c>
      <c r="BJ153" s="39" t="b">
        <v>1</v>
      </c>
      <c r="BK153" s="39" t="b">
        <v>1</v>
      </c>
      <c r="BN153" s="39">
        <v>0</v>
      </c>
      <c r="BO153" s="39" t="s">
        <v>2787</v>
      </c>
      <c r="BP153" s="39" t="s">
        <v>2808</v>
      </c>
    </row>
    <row r="154" spans="1:68">
      <c r="A154" s="39" t="s">
        <v>20</v>
      </c>
      <c r="B154" s="39" t="s">
        <v>21</v>
      </c>
      <c r="C154" s="39" t="s">
        <v>805</v>
      </c>
      <c r="D154" s="39" t="s">
        <v>806</v>
      </c>
      <c r="E154" s="39" t="s">
        <v>807</v>
      </c>
      <c r="F154" s="39" t="s">
        <v>808</v>
      </c>
      <c r="G154" s="39" t="s">
        <v>809</v>
      </c>
      <c r="H154" s="39" t="s">
        <v>635</v>
      </c>
      <c r="I154" s="39" t="b">
        <v>0</v>
      </c>
      <c r="J154" s="39" t="s">
        <v>635</v>
      </c>
      <c r="K154" s="39" t="b">
        <v>0</v>
      </c>
      <c r="L154" s="39" t="s">
        <v>810</v>
      </c>
      <c r="M154" s="39" t="s">
        <v>811</v>
      </c>
      <c r="N154" s="39" t="s">
        <v>2508</v>
      </c>
      <c r="P154" s="39" t="s">
        <v>2510</v>
      </c>
      <c r="Q154" s="39" t="s">
        <v>43</v>
      </c>
      <c r="R154" s="39" t="s">
        <v>809</v>
      </c>
      <c r="S154" s="39" t="b">
        <f t="shared" si="4"/>
        <v>1</v>
      </c>
      <c r="T154" s="39" t="s">
        <v>808</v>
      </c>
      <c r="U154" s="39" t="b">
        <f t="shared" si="5"/>
        <v>1</v>
      </c>
      <c r="V154" s="39" t="s">
        <v>2564</v>
      </c>
      <c r="W154" s="39" t="s">
        <v>2564</v>
      </c>
      <c r="X154" s="83" t="s">
        <v>2575</v>
      </c>
      <c r="Y154" s="84" t="s">
        <v>2598</v>
      </c>
      <c r="Z154" s="83" t="s">
        <v>2508</v>
      </c>
      <c r="AA154" s="84" t="s">
        <v>2509</v>
      </c>
      <c r="AB154" s="108"/>
      <c r="AC154" s="107"/>
      <c r="AD154" s="84"/>
      <c r="AE154" s="83"/>
      <c r="AF154" s="84"/>
      <c r="AG154" s="83"/>
      <c r="AH154" s="84"/>
      <c r="AI154" s="39" t="s">
        <v>88</v>
      </c>
      <c r="AJ154" s="39" t="s">
        <v>44</v>
      </c>
      <c r="AK154" s="39" t="s">
        <v>812</v>
      </c>
      <c r="AM154" s="39" t="s">
        <v>812</v>
      </c>
      <c r="AN154" s="39" t="s">
        <v>813</v>
      </c>
      <c r="AO154" s="39" t="b">
        <v>0</v>
      </c>
      <c r="AP154" s="39" t="s">
        <v>814</v>
      </c>
      <c r="AQ154" s="39" t="s">
        <v>815</v>
      </c>
      <c r="AR154" s="39" t="s">
        <v>68</v>
      </c>
      <c r="AS154" s="39" t="s">
        <v>816</v>
      </c>
      <c r="AT154" s="39" t="s">
        <v>817</v>
      </c>
      <c r="AU154" s="44">
        <v>6285857123456</v>
      </c>
      <c r="AV154" s="39" t="s">
        <v>818</v>
      </c>
      <c r="AX154" s="39" t="s">
        <v>819</v>
      </c>
      <c r="AY154" s="39" t="s">
        <v>373</v>
      </c>
      <c r="AZ154" s="39" t="s">
        <v>808</v>
      </c>
      <c r="BA154" s="39" t="s">
        <v>1908</v>
      </c>
      <c r="BB154" s="39" t="s">
        <v>809</v>
      </c>
      <c r="BC154" s="39" t="s">
        <v>1931</v>
      </c>
      <c r="BD154" s="39" t="b">
        <v>1</v>
      </c>
      <c r="BE154" s="39" t="b">
        <v>1</v>
      </c>
      <c r="BF154" s="39" t="s">
        <v>810</v>
      </c>
      <c r="BG154" s="39" t="s">
        <v>811</v>
      </c>
      <c r="BH154" s="39" t="s">
        <v>2200</v>
      </c>
      <c r="BI154" s="39" t="s">
        <v>2201</v>
      </c>
      <c r="BJ154" s="39" t="b">
        <v>1</v>
      </c>
      <c r="BK154" s="39" t="b">
        <v>1</v>
      </c>
      <c r="BN154" s="39">
        <v>0</v>
      </c>
      <c r="BO154" s="39" t="s">
        <v>2788</v>
      </c>
      <c r="BP154" s="39" t="s">
        <v>2808</v>
      </c>
    </row>
    <row r="155" spans="1:68">
      <c r="A155" s="39" t="s">
        <v>20</v>
      </c>
      <c r="B155" s="39" t="s">
        <v>21</v>
      </c>
      <c r="C155" s="39" t="s">
        <v>805</v>
      </c>
      <c r="D155" s="39" t="s">
        <v>806</v>
      </c>
      <c r="E155" s="39" t="s">
        <v>807</v>
      </c>
      <c r="F155" s="39" t="s">
        <v>808</v>
      </c>
      <c r="G155" s="39" t="s">
        <v>809</v>
      </c>
      <c r="H155" s="39" t="s">
        <v>635</v>
      </c>
      <c r="I155" s="39" t="b">
        <v>0</v>
      </c>
      <c r="J155" s="39" t="s">
        <v>635</v>
      </c>
      <c r="K155" s="39" t="b">
        <v>0</v>
      </c>
      <c r="L155" s="39" t="s">
        <v>832</v>
      </c>
      <c r="M155" s="39" t="s">
        <v>833</v>
      </c>
      <c r="N155" s="39" t="s">
        <v>2508</v>
      </c>
      <c r="P155" s="39" t="s">
        <v>2510</v>
      </c>
      <c r="Q155" s="39" t="s">
        <v>43</v>
      </c>
      <c r="R155" s="39" t="s">
        <v>809</v>
      </c>
      <c r="S155" s="39" t="b">
        <f t="shared" si="4"/>
        <v>1</v>
      </c>
      <c r="T155" s="39" t="s">
        <v>808</v>
      </c>
      <c r="U155" s="39" t="b">
        <f t="shared" si="5"/>
        <v>1</v>
      </c>
      <c r="V155" s="39" t="s">
        <v>2564</v>
      </c>
      <c r="W155" s="39" t="s">
        <v>2564</v>
      </c>
      <c r="X155" s="83" t="s">
        <v>2576</v>
      </c>
      <c r="Y155" s="84" t="s">
        <v>2599</v>
      </c>
      <c r="Z155" s="83" t="s">
        <v>2508</v>
      </c>
      <c r="AA155" s="84" t="s">
        <v>2509</v>
      </c>
      <c r="AB155" s="108"/>
      <c r="AC155" s="107"/>
      <c r="AD155" s="84"/>
      <c r="AE155" s="83"/>
      <c r="AF155" s="84"/>
      <c r="AG155" s="83"/>
      <c r="AH155" s="84"/>
      <c r="AI155" s="39" t="s">
        <v>88</v>
      </c>
      <c r="AJ155" s="39" t="s">
        <v>45</v>
      </c>
      <c r="AK155" s="39" t="s">
        <v>834</v>
      </c>
      <c r="AM155" s="39" t="s">
        <v>834</v>
      </c>
      <c r="AN155" s="39" t="s">
        <v>834</v>
      </c>
      <c r="AP155" s="39" t="s">
        <v>835</v>
      </c>
      <c r="AQ155" s="39" t="s">
        <v>836</v>
      </c>
      <c r="AR155" s="39" t="s">
        <v>68</v>
      </c>
      <c r="AU155" s="44">
        <v>6281400762344</v>
      </c>
      <c r="AX155" s="39" t="s">
        <v>837</v>
      </c>
      <c r="AZ155" s="39" t="s">
        <v>808</v>
      </c>
      <c r="BA155" s="39" t="s">
        <v>1908</v>
      </c>
      <c r="BB155" s="39" t="s">
        <v>809</v>
      </c>
      <c r="BC155" s="39" t="s">
        <v>1931</v>
      </c>
      <c r="BD155" s="39" t="b">
        <v>1</v>
      </c>
      <c r="BE155" s="39" t="b">
        <v>1</v>
      </c>
      <c r="BF155" s="39" t="s">
        <v>832</v>
      </c>
      <c r="BG155" s="39" t="s">
        <v>833</v>
      </c>
      <c r="BH155" s="39" t="s">
        <v>2204</v>
      </c>
      <c r="BI155" s="39" t="s">
        <v>2205</v>
      </c>
      <c r="BJ155" s="39" t="b">
        <v>1</v>
      </c>
      <c r="BK155" s="39" t="b">
        <v>1</v>
      </c>
      <c r="BN155" s="39">
        <v>0</v>
      </c>
      <c r="BO155" s="39" t="s">
        <v>2788</v>
      </c>
      <c r="BP155" s="39" t="s">
        <v>2808</v>
      </c>
    </row>
    <row r="156" spans="1:68">
      <c r="A156" s="39" t="s">
        <v>20</v>
      </c>
      <c r="B156" s="39" t="s">
        <v>21</v>
      </c>
      <c r="C156" s="39" t="s">
        <v>805</v>
      </c>
      <c r="D156" s="39" t="s">
        <v>806</v>
      </c>
      <c r="E156" s="39" t="s">
        <v>807</v>
      </c>
      <c r="F156" s="39" t="s">
        <v>808</v>
      </c>
      <c r="G156" s="39" t="s">
        <v>809</v>
      </c>
      <c r="H156" s="39" t="s">
        <v>635</v>
      </c>
      <c r="I156" s="39" t="b">
        <v>0</v>
      </c>
      <c r="J156" s="39" t="s">
        <v>635</v>
      </c>
      <c r="K156" s="39" t="b">
        <v>0</v>
      </c>
      <c r="L156" s="39" t="s">
        <v>851</v>
      </c>
      <c r="M156" s="39" t="s">
        <v>852</v>
      </c>
      <c r="N156" s="39" t="s">
        <v>2508</v>
      </c>
      <c r="P156" s="39" t="s">
        <v>2510</v>
      </c>
      <c r="Q156" s="39" t="s">
        <v>43</v>
      </c>
      <c r="R156" s="39" t="s">
        <v>809</v>
      </c>
      <c r="S156" s="39" t="b">
        <f t="shared" si="4"/>
        <v>1</v>
      </c>
      <c r="T156" s="39" t="s">
        <v>808</v>
      </c>
      <c r="U156" s="39" t="b">
        <f t="shared" si="5"/>
        <v>1</v>
      </c>
      <c r="V156" s="39" t="s">
        <v>2564</v>
      </c>
      <c r="W156" s="39" t="s">
        <v>2564</v>
      </c>
      <c r="X156" s="83" t="s">
        <v>2577</v>
      </c>
      <c r="Y156" s="84" t="s">
        <v>2600</v>
      </c>
      <c r="Z156" s="83" t="s">
        <v>2508</v>
      </c>
      <c r="AA156" s="84" t="s">
        <v>2509</v>
      </c>
      <c r="AB156" s="108"/>
      <c r="AC156" s="107"/>
      <c r="AD156" s="84"/>
      <c r="AE156" s="83"/>
      <c r="AF156" s="84"/>
      <c r="AG156" s="83"/>
      <c r="AH156" s="84"/>
      <c r="AI156" s="39" t="s">
        <v>88</v>
      </c>
      <c r="AJ156" s="39" t="s">
        <v>44</v>
      </c>
      <c r="AK156" s="39" t="s">
        <v>853</v>
      </c>
      <c r="AM156" s="39" t="s">
        <v>853</v>
      </c>
      <c r="AN156" s="39" t="s">
        <v>854</v>
      </c>
      <c r="AO156" s="39" t="b">
        <v>0</v>
      </c>
      <c r="AP156" s="39" t="s">
        <v>855</v>
      </c>
      <c r="AQ156" s="39" t="s">
        <v>856</v>
      </c>
      <c r="AR156" s="39" t="s">
        <v>68</v>
      </c>
      <c r="AS156" s="39" t="s">
        <v>816</v>
      </c>
      <c r="AT156" s="39" t="s">
        <v>857</v>
      </c>
      <c r="AU156" s="44">
        <v>6285813033710</v>
      </c>
      <c r="AV156" s="39" t="s">
        <v>858</v>
      </c>
      <c r="AX156" s="39" t="s">
        <v>859</v>
      </c>
      <c r="AY156" s="39" t="s">
        <v>373</v>
      </c>
      <c r="AZ156" s="39" t="s">
        <v>808</v>
      </c>
      <c r="BA156" s="39" t="s">
        <v>1908</v>
      </c>
      <c r="BB156" s="39" t="s">
        <v>809</v>
      </c>
      <c r="BC156" s="39" t="s">
        <v>1931</v>
      </c>
      <c r="BD156" s="39" t="b">
        <v>1</v>
      </c>
      <c r="BE156" s="39" t="b">
        <v>1</v>
      </c>
      <c r="BF156" s="39" t="s">
        <v>851</v>
      </c>
      <c r="BG156" s="39" t="s">
        <v>852</v>
      </c>
      <c r="BH156" s="39" t="s">
        <v>2208</v>
      </c>
      <c r="BI156" s="39" t="s">
        <v>2209</v>
      </c>
      <c r="BJ156" s="39" t="b">
        <v>1</v>
      </c>
      <c r="BK156" s="39" t="b">
        <v>1</v>
      </c>
      <c r="BN156" s="39">
        <v>0</v>
      </c>
      <c r="BO156" s="39" t="s">
        <v>2788</v>
      </c>
      <c r="BP156" s="39" t="s">
        <v>2808</v>
      </c>
    </row>
    <row r="157" spans="1:68">
      <c r="A157" s="39" t="s">
        <v>20</v>
      </c>
      <c r="B157" s="39" t="s">
        <v>21</v>
      </c>
      <c r="C157" s="39" t="s">
        <v>805</v>
      </c>
      <c r="D157" s="39" t="s">
        <v>806</v>
      </c>
      <c r="E157" s="39" t="s">
        <v>807</v>
      </c>
      <c r="F157" s="39" t="s">
        <v>808</v>
      </c>
      <c r="G157" s="39" t="s">
        <v>809</v>
      </c>
      <c r="H157" s="39" t="s">
        <v>635</v>
      </c>
      <c r="I157" s="39" t="b">
        <v>0</v>
      </c>
      <c r="J157" s="39" t="s">
        <v>635</v>
      </c>
      <c r="K157" s="39" t="b">
        <v>0</v>
      </c>
      <c r="L157" s="39" t="s">
        <v>1642</v>
      </c>
      <c r="M157" s="39" t="s">
        <v>1641</v>
      </c>
      <c r="N157" s="39" t="s">
        <v>2508</v>
      </c>
      <c r="P157" s="39" t="s">
        <v>2543</v>
      </c>
      <c r="Q157" s="39" t="s">
        <v>2547</v>
      </c>
      <c r="R157" s="39" t="s">
        <v>2547</v>
      </c>
      <c r="S157" s="39" t="b">
        <f t="shared" si="4"/>
        <v>0</v>
      </c>
      <c r="T157" s="39" t="s">
        <v>808</v>
      </c>
      <c r="U157" s="39" t="b">
        <f t="shared" si="5"/>
        <v>1</v>
      </c>
      <c r="V157" s="39" t="s">
        <v>2564</v>
      </c>
      <c r="W157" s="39" t="s">
        <v>2561</v>
      </c>
      <c r="X157" s="83" t="s">
        <v>1642</v>
      </c>
      <c r="Y157" s="84" t="s">
        <v>1641</v>
      </c>
      <c r="Z157" s="83" t="s">
        <v>2508</v>
      </c>
      <c r="AA157" s="84" t="s">
        <v>2508</v>
      </c>
      <c r="AB157" s="108"/>
      <c r="AC157" s="107"/>
      <c r="AD157" s="84"/>
      <c r="AE157" s="83"/>
      <c r="AF157" s="84"/>
      <c r="AG157" s="83"/>
      <c r="AH157" s="84"/>
      <c r="AI157" s="39" t="s">
        <v>88</v>
      </c>
      <c r="AJ157" s="39" t="s">
        <v>45</v>
      </c>
      <c r="AK157" s="39" t="s">
        <v>1643</v>
      </c>
      <c r="AM157" s="39" t="s">
        <v>1643</v>
      </c>
      <c r="AN157" s="39" t="s">
        <v>1643</v>
      </c>
      <c r="AP157" s="39" t="s">
        <v>1644</v>
      </c>
      <c r="AQ157" s="39" t="s">
        <v>1645</v>
      </c>
      <c r="AR157" s="39" t="s">
        <v>68</v>
      </c>
      <c r="AU157" s="44">
        <v>6289602777915</v>
      </c>
      <c r="AX157" s="39" t="s">
        <v>1646</v>
      </c>
      <c r="AZ157" s="39" t="s">
        <v>808</v>
      </c>
      <c r="BA157" s="39" t="s">
        <v>1908</v>
      </c>
      <c r="BB157" s="39" t="s">
        <v>809</v>
      </c>
      <c r="BC157" s="39" t="s">
        <v>1931</v>
      </c>
      <c r="BD157" s="39" t="b">
        <v>1</v>
      </c>
      <c r="BE157" s="39" t="b">
        <v>1</v>
      </c>
      <c r="BF157" s="39" t="s">
        <v>1642</v>
      </c>
      <c r="BG157" s="39" t="s">
        <v>1641</v>
      </c>
      <c r="BH157" s="39" t="s">
        <v>2424</v>
      </c>
      <c r="BI157" s="39" t="s">
        <v>2425</v>
      </c>
      <c r="BJ157" s="39" t="b">
        <v>1</v>
      </c>
      <c r="BK157" s="39" t="b">
        <v>1</v>
      </c>
      <c r="BN157" s="39">
        <v>0</v>
      </c>
      <c r="BO157" s="39" t="s">
        <v>2788</v>
      </c>
      <c r="BP157" s="39" t="s">
        <v>2808</v>
      </c>
    </row>
    <row r="158" spans="1:68">
      <c r="A158" s="39" t="s">
        <v>20</v>
      </c>
      <c r="B158" s="39" t="s">
        <v>21</v>
      </c>
      <c r="C158" s="39" t="s">
        <v>805</v>
      </c>
      <c r="D158" s="39" t="s">
        <v>806</v>
      </c>
      <c r="E158" s="39" t="s">
        <v>807</v>
      </c>
      <c r="F158" s="39" t="s">
        <v>808</v>
      </c>
      <c r="G158" s="39" t="s">
        <v>809</v>
      </c>
      <c r="H158" s="39" t="s">
        <v>635</v>
      </c>
      <c r="I158" s="39" t="b">
        <v>0</v>
      </c>
      <c r="J158" s="39" t="s">
        <v>635</v>
      </c>
      <c r="K158" s="39" t="b">
        <v>0</v>
      </c>
      <c r="L158" s="39" t="s">
        <v>1654</v>
      </c>
      <c r="M158" s="39" t="s">
        <v>1653</v>
      </c>
      <c r="N158" s="39" t="s">
        <v>2508</v>
      </c>
      <c r="P158" s="39" t="s">
        <v>2543</v>
      </c>
      <c r="Q158" s="39" t="s">
        <v>2547</v>
      </c>
      <c r="R158" s="39" t="s">
        <v>2547</v>
      </c>
      <c r="S158" s="39" t="b">
        <f t="shared" si="4"/>
        <v>0</v>
      </c>
      <c r="T158" s="39" t="s">
        <v>808</v>
      </c>
      <c r="U158" s="39" t="b">
        <f t="shared" si="5"/>
        <v>1</v>
      </c>
      <c r="V158" s="39" t="s">
        <v>2564</v>
      </c>
      <c r="W158" s="39" t="s">
        <v>2561</v>
      </c>
      <c r="X158" s="83" t="s">
        <v>1654</v>
      </c>
      <c r="Y158" s="84" t="s">
        <v>1653</v>
      </c>
      <c r="Z158" s="83" t="s">
        <v>2508</v>
      </c>
      <c r="AA158" s="84" t="s">
        <v>2508</v>
      </c>
      <c r="AB158" s="108"/>
      <c r="AC158" s="107"/>
      <c r="AD158" s="84"/>
      <c r="AE158" s="83"/>
      <c r="AF158" s="84"/>
      <c r="AG158" s="83"/>
      <c r="AH158" s="84"/>
      <c r="AI158" s="39" t="s">
        <v>88</v>
      </c>
      <c r="AJ158" s="39" t="s">
        <v>45</v>
      </c>
      <c r="AK158" s="39" t="s">
        <v>1655</v>
      </c>
      <c r="AM158" s="39" t="s">
        <v>1655</v>
      </c>
      <c r="AN158" s="39" t="s">
        <v>1655</v>
      </c>
      <c r="AP158" s="39" t="s">
        <v>1656</v>
      </c>
      <c r="AQ158" s="39" t="s">
        <v>1657</v>
      </c>
      <c r="AR158" s="39" t="s">
        <v>119</v>
      </c>
      <c r="AU158" s="44">
        <v>6289602777919</v>
      </c>
      <c r="AX158" s="39" t="s">
        <v>1658</v>
      </c>
      <c r="AZ158" s="39" t="s">
        <v>808</v>
      </c>
      <c r="BA158" s="39" t="s">
        <v>1908</v>
      </c>
      <c r="BB158" s="39" t="s">
        <v>809</v>
      </c>
      <c r="BC158" s="39" t="s">
        <v>1931</v>
      </c>
      <c r="BD158" s="39" t="b">
        <v>1</v>
      </c>
      <c r="BE158" s="39" t="b">
        <v>1</v>
      </c>
      <c r="BF158" s="39" t="s">
        <v>1654</v>
      </c>
      <c r="BG158" s="39" t="s">
        <v>1653</v>
      </c>
      <c r="BH158" s="39" t="s">
        <v>2428</v>
      </c>
      <c r="BI158" s="39" t="s">
        <v>2429</v>
      </c>
      <c r="BJ158" s="39" t="b">
        <v>1</v>
      </c>
      <c r="BK158" s="39" t="b">
        <v>1</v>
      </c>
      <c r="BN158" s="39">
        <v>0</v>
      </c>
      <c r="BO158" s="39" t="s">
        <v>2788</v>
      </c>
      <c r="BP158" s="39" t="s">
        <v>2808</v>
      </c>
    </row>
    <row r="159" spans="1:68">
      <c r="A159" s="39" t="s">
        <v>20</v>
      </c>
      <c r="B159" s="39" t="s">
        <v>21</v>
      </c>
      <c r="C159" s="39" t="s">
        <v>805</v>
      </c>
      <c r="D159" s="39" t="s">
        <v>806</v>
      </c>
      <c r="E159" s="39" t="s">
        <v>807</v>
      </c>
      <c r="F159" s="39" t="s">
        <v>808</v>
      </c>
      <c r="G159" s="39" t="s">
        <v>809</v>
      </c>
      <c r="H159" s="39" t="s">
        <v>635</v>
      </c>
      <c r="I159" s="39" t="b">
        <v>0</v>
      </c>
      <c r="J159" s="39" t="s">
        <v>635</v>
      </c>
      <c r="K159" s="39" t="b">
        <v>0</v>
      </c>
      <c r="L159" s="39" t="s">
        <v>1660</v>
      </c>
      <c r="M159" s="39" t="s">
        <v>1659</v>
      </c>
      <c r="N159" s="39" t="s">
        <v>2508</v>
      </c>
      <c r="P159" s="39" t="s">
        <v>2543</v>
      </c>
      <c r="Q159" s="39" t="s">
        <v>2547</v>
      </c>
      <c r="R159" s="39" t="s">
        <v>2547</v>
      </c>
      <c r="S159" s="39" t="b">
        <f t="shared" si="4"/>
        <v>0</v>
      </c>
      <c r="T159" s="39" t="s">
        <v>808</v>
      </c>
      <c r="U159" s="39" t="b">
        <f t="shared" si="5"/>
        <v>1</v>
      </c>
      <c r="V159" s="39" t="s">
        <v>2564</v>
      </c>
      <c r="W159" s="39" t="s">
        <v>2561</v>
      </c>
      <c r="X159" s="83" t="s">
        <v>1660</v>
      </c>
      <c r="Y159" s="84" t="s">
        <v>1659</v>
      </c>
      <c r="Z159" s="83" t="s">
        <v>2508</v>
      </c>
      <c r="AA159" s="84" t="s">
        <v>2508</v>
      </c>
      <c r="AB159" s="108"/>
      <c r="AC159" s="107"/>
      <c r="AD159" s="84"/>
      <c r="AE159" s="83"/>
      <c r="AF159" s="84"/>
      <c r="AG159" s="83"/>
      <c r="AH159" s="84"/>
      <c r="AI159" s="39" t="s">
        <v>88</v>
      </c>
      <c r="AJ159" s="39" t="s">
        <v>45</v>
      </c>
      <c r="AK159" s="39" t="s">
        <v>1661</v>
      </c>
      <c r="AM159" s="39" t="s">
        <v>1661</v>
      </c>
      <c r="AN159" s="39" t="s">
        <v>1661</v>
      </c>
      <c r="AP159" s="39" t="s">
        <v>1662</v>
      </c>
      <c r="AQ159" s="39" t="s">
        <v>1663</v>
      </c>
      <c r="AR159" s="39" t="s">
        <v>68</v>
      </c>
      <c r="AU159" s="44">
        <v>6289602777920</v>
      </c>
      <c r="AX159" s="39" t="s">
        <v>1664</v>
      </c>
      <c r="AZ159" s="39" t="s">
        <v>808</v>
      </c>
      <c r="BA159" s="39" t="s">
        <v>1908</v>
      </c>
      <c r="BB159" s="39" t="s">
        <v>809</v>
      </c>
      <c r="BC159" s="39" t="s">
        <v>1931</v>
      </c>
      <c r="BD159" s="39" t="b">
        <v>1</v>
      </c>
      <c r="BE159" s="39" t="b">
        <v>1</v>
      </c>
      <c r="BF159" s="39" t="s">
        <v>1660</v>
      </c>
      <c r="BG159" s="39" t="s">
        <v>1659</v>
      </c>
      <c r="BH159" s="39" t="s">
        <v>2430</v>
      </c>
      <c r="BI159" s="39" t="s">
        <v>2431</v>
      </c>
      <c r="BJ159" s="39" t="b">
        <v>1</v>
      </c>
      <c r="BK159" s="39" t="b">
        <v>1</v>
      </c>
      <c r="BN159" s="39">
        <v>0</v>
      </c>
      <c r="BO159" s="39" t="s">
        <v>2788</v>
      </c>
      <c r="BP159" s="39" t="s">
        <v>2808</v>
      </c>
    </row>
    <row r="160" spans="1:68">
      <c r="A160" s="39" t="s">
        <v>20</v>
      </c>
      <c r="B160" s="39" t="s">
        <v>21</v>
      </c>
      <c r="C160" s="39" t="s">
        <v>805</v>
      </c>
      <c r="D160" s="39" t="s">
        <v>820</v>
      </c>
      <c r="E160" s="39" t="s">
        <v>821</v>
      </c>
      <c r="F160" s="39" t="s">
        <v>822</v>
      </c>
      <c r="G160" s="39" t="s">
        <v>823</v>
      </c>
      <c r="H160" s="39" t="s">
        <v>635</v>
      </c>
      <c r="I160" s="39" t="b">
        <v>0</v>
      </c>
      <c r="J160" s="39" t="s">
        <v>635</v>
      </c>
      <c r="K160" s="39" t="b">
        <v>0</v>
      </c>
      <c r="L160" s="39" t="s">
        <v>824</v>
      </c>
      <c r="M160" s="39" t="s">
        <v>825</v>
      </c>
      <c r="N160" s="39" t="s">
        <v>2508</v>
      </c>
      <c r="P160" s="39" t="s">
        <v>2510</v>
      </c>
      <c r="Q160" s="39" t="s">
        <v>43</v>
      </c>
      <c r="R160" s="39" t="s">
        <v>823</v>
      </c>
      <c r="S160" s="39" t="b">
        <f t="shared" si="4"/>
        <v>1</v>
      </c>
      <c r="T160" s="39" t="s">
        <v>822</v>
      </c>
      <c r="U160" s="39" t="b">
        <f t="shared" si="5"/>
        <v>1</v>
      </c>
      <c r="V160" s="39" t="s">
        <v>2564</v>
      </c>
      <c r="W160" s="39" t="s">
        <v>2564</v>
      </c>
      <c r="X160" s="83" t="s">
        <v>2578</v>
      </c>
      <c r="Y160" s="84" t="s">
        <v>2601</v>
      </c>
      <c r="Z160" s="83" t="s">
        <v>2508</v>
      </c>
      <c r="AA160" s="84" t="s">
        <v>2509</v>
      </c>
      <c r="AB160" s="108"/>
      <c r="AC160" s="107"/>
      <c r="AD160" s="84"/>
      <c r="AE160" s="83"/>
      <c r="AF160" s="84"/>
      <c r="AG160" s="83"/>
      <c r="AH160" s="84"/>
      <c r="AI160" s="39" t="s">
        <v>88</v>
      </c>
      <c r="AJ160" s="39" t="s">
        <v>44</v>
      </c>
      <c r="AK160" s="39" t="s">
        <v>826</v>
      </c>
      <c r="AM160" s="39" t="s">
        <v>826</v>
      </c>
      <c r="AN160" s="39" t="s">
        <v>826</v>
      </c>
      <c r="AO160" s="39" t="b">
        <v>0</v>
      </c>
      <c r="AP160" s="39" t="s">
        <v>827</v>
      </c>
      <c r="AQ160" s="39" t="s">
        <v>828</v>
      </c>
      <c r="AR160" s="39" t="s">
        <v>68</v>
      </c>
      <c r="AS160" s="39" t="s">
        <v>816</v>
      </c>
      <c r="AT160" s="39" t="s">
        <v>829</v>
      </c>
      <c r="AU160" s="44">
        <v>6285880078885</v>
      </c>
      <c r="AV160" s="39" t="s">
        <v>830</v>
      </c>
      <c r="AX160" s="39" t="s">
        <v>831</v>
      </c>
      <c r="AY160" s="39" t="s">
        <v>373</v>
      </c>
      <c r="AZ160" s="39" t="s">
        <v>822</v>
      </c>
      <c r="BA160" s="39" t="s">
        <v>1908</v>
      </c>
      <c r="BB160" s="39" t="s">
        <v>823</v>
      </c>
      <c r="BC160" s="39" t="s">
        <v>1931</v>
      </c>
      <c r="BD160" s="39" t="b">
        <v>1</v>
      </c>
      <c r="BE160" s="39" t="b">
        <v>1</v>
      </c>
      <c r="BF160" s="39" t="s">
        <v>824</v>
      </c>
      <c r="BG160" s="39" t="s">
        <v>825</v>
      </c>
      <c r="BH160" s="39" t="s">
        <v>2202</v>
      </c>
      <c r="BI160" s="39" t="s">
        <v>2203</v>
      </c>
      <c r="BJ160" s="39" t="b">
        <v>1</v>
      </c>
      <c r="BK160" s="39" t="b">
        <v>1</v>
      </c>
      <c r="BN160" s="39">
        <v>0</v>
      </c>
      <c r="BO160" s="39" t="s">
        <v>2789</v>
      </c>
      <c r="BP160" s="39" t="s">
        <v>2808</v>
      </c>
    </row>
    <row r="161" spans="1:68">
      <c r="A161" s="39" t="s">
        <v>20</v>
      </c>
      <c r="B161" s="39" t="s">
        <v>21</v>
      </c>
      <c r="C161" s="39" t="s">
        <v>805</v>
      </c>
      <c r="D161" s="39" t="s">
        <v>820</v>
      </c>
      <c r="E161" s="39" t="s">
        <v>821</v>
      </c>
      <c r="F161" s="39" t="s">
        <v>822</v>
      </c>
      <c r="G161" s="39" t="s">
        <v>823</v>
      </c>
      <c r="H161" s="39" t="s">
        <v>635</v>
      </c>
      <c r="I161" s="39" t="b">
        <v>0</v>
      </c>
      <c r="J161" s="39" t="s">
        <v>635</v>
      </c>
      <c r="K161" s="39" t="b">
        <v>0</v>
      </c>
      <c r="L161" s="39" t="s">
        <v>860</v>
      </c>
      <c r="M161" s="39" t="s">
        <v>861</v>
      </c>
      <c r="N161" s="39" t="s">
        <v>2543</v>
      </c>
      <c r="O161" s="39" t="s">
        <v>2514</v>
      </c>
      <c r="P161" s="39" t="s">
        <v>2510</v>
      </c>
      <c r="Q161" s="39" t="s">
        <v>43</v>
      </c>
      <c r="R161" s="39" t="s">
        <v>823</v>
      </c>
      <c r="S161" s="39" t="b">
        <f t="shared" si="4"/>
        <v>1</v>
      </c>
      <c r="T161" s="39" t="s">
        <v>822</v>
      </c>
      <c r="U161" s="39" t="b">
        <f t="shared" si="5"/>
        <v>1</v>
      </c>
      <c r="V161" s="39" t="s">
        <v>2561</v>
      </c>
      <c r="W161" s="39" t="s">
        <v>2564</v>
      </c>
      <c r="X161" s="83" t="s">
        <v>2579</v>
      </c>
      <c r="Y161" s="84" t="s">
        <v>2602</v>
      </c>
      <c r="Z161" s="83" t="s">
        <v>2512</v>
      </c>
      <c r="AA161" s="84" t="s">
        <v>2508</v>
      </c>
      <c r="AB161" s="108"/>
      <c r="AC161" s="107"/>
      <c r="AD161" s="83" t="s">
        <v>2763</v>
      </c>
      <c r="AE161" s="83"/>
      <c r="AF161" s="84"/>
      <c r="AG161" s="83"/>
      <c r="AH161" s="84"/>
      <c r="AI161" s="39" t="s">
        <v>88</v>
      </c>
      <c r="AJ161" s="39" t="s">
        <v>45</v>
      </c>
      <c r="AK161" s="39" t="s">
        <v>862</v>
      </c>
      <c r="AM161" s="39" t="s">
        <v>862</v>
      </c>
      <c r="AN161" s="39" t="s">
        <v>862</v>
      </c>
      <c r="AP161" s="39" t="s">
        <v>863</v>
      </c>
      <c r="AQ161" s="39" t="s">
        <v>864</v>
      </c>
      <c r="AR161" s="39" t="s">
        <v>68</v>
      </c>
      <c r="AU161" s="44">
        <v>6285811023192</v>
      </c>
      <c r="AX161" s="39" t="s">
        <v>865</v>
      </c>
      <c r="AZ161" s="39" t="s">
        <v>822</v>
      </c>
      <c r="BA161" s="39" t="s">
        <v>1908</v>
      </c>
      <c r="BB161" s="39" t="s">
        <v>823</v>
      </c>
      <c r="BC161" s="39" t="s">
        <v>1931</v>
      </c>
      <c r="BD161" s="39" t="b">
        <v>1</v>
      </c>
      <c r="BE161" s="39" t="b">
        <v>1</v>
      </c>
      <c r="BF161" s="39" t="s">
        <v>860</v>
      </c>
      <c r="BG161" s="39" t="s">
        <v>861</v>
      </c>
      <c r="BH161" s="39" t="s">
        <v>2210</v>
      </c>
      <c r="BI161" s="39" t="s">
        <v>2211</v>
      </c>
      <c r="BJ161" s="39" t="b">
        <v>1</v>
      </c>
      <c r="BK161" s="39" t="b">
        <v>1</v>
      </c>
      <c r="BN161" s="39">
        <v>0</v>
      </c>
      <c r="BO161" s="39" t="s">
        <v>2789</v>
      </c>
      <c r="BP161" s="39" t="s">
        <v>2808</v>
      </c>
    </row>
    <row r="162" spans="1:68">
      <c r="A162" s="39" t="s">
        <v>20</v>
      </c>
      <c r="B162" s="39" t="s">
        <v>21</v>
      </c>
      <c r="C162" s="39" t="s">
        <v>805</v>
      </c>
      <c r="D162" s="39" t="s">
        <v>820</v>
      </c>
      <c r="E162" s="39" t="s">
        <v>821</v>
      </c>
      <c r="F162" s="39" t="s">
        <v>822</v>
      </c>
      <c r="G162" s="39" t="s">
        <v>823</v>
      </c>
      <c r="H162" s="39" t="s">
        <v>635</v>
      </c>
      <c r="I162" s="39" t="b">
        <v>0</v>
      </c>
      <c r="J162" s="39" t="s">
        <v>635</v>
      </c>
      <c r="K162" s="39" t="b">
        <v>0</v>
      </c>
      <c r="L162" s="39" t="s">
        <v>1087</v>
      </c>
      <c r="M162" s="39" t="s">
        <v>1088</v>
      </c>
      <c r="N162" s="39" t="s">
        <v>2508</v>
      </c>
      <c r="P162" s="39" t="s">
        <v>2543</v>
      </c>
      <c r="Q162" s="39" t="s">
        <v>823</v>
      </c>
      <c r="R162" s="39" t="s">
        <v>823</v>
      </c>
      <c r="S162" s="39" t="b">
        <f t="shared" si="4"/>
        <v>1</v>
      </c>
      <c r="T162" s="39" t="s">
        <v>822</v>
      </c>
      <c r="U162" s="39" t="b">
        <f t="shared" si="5"/>
        <v>1</v>
      </c>
      <c r="V162" s="39" t="s">
        <v>2564</v>
      </c>
      <c r="W162" s="39" t="s">
        <v>2564</v>
      </c>
      <c r="X162" s="83" t="s">
        <v>1087</v>
      </c>
      <c r="Y162" s="84" t="s">
        <v>1088</v>
      </c>
      <c r="Z162" s="83" t="s">
        <v>2508</v>
      </c>
      <c r="AA162" s="84" t="s">
        <v>2508</v>
      </c>
      <c r="AB162" s="108"/>
      <c r="AC162" s="107"/>
      <c r="AD162" s="84"/>
      <c r="AE162" s="83"/>
      <c r="AF162" s="84"/>
      <c r="AG162" s="83"/>
      <c r="AH162" s="84"/>
      <c r="AI162" s="39" t="s">
        <v>88</v>
      </c>
      <c r="AJ162" s="39" t="s">
        <v>45</v>
      </c>
      <c r="AK162" s="39" t="s">
        <v>1089</v>
      </c>
      <c r="AM162" s="39" t="s">
        <v>1089</v>
      </c>
      <c r="AN162" s="39" t="s">
        <v>1089</v>
      </c>
      <c r="AP162" s="39">
        <v>0</v>
      </c>
      <c r="AQ162" s="39" t="s">
        <v>1090</v>
      </c>
      <c r="AR162" s="39" t="s">
        <v>68</v>
      </c>
      <c r="AU162" s="44">
        <v>6285781288549</v>
      </c>
      <c r="AX162" s="39" t="s">
        <v>1091</v>
      </c>
      <c r="AZ162" s="39" t="s">
        <v>822</v>
      </c>
      <c r="BA162" s="39" t="s">
        <v>1908</v>
      </c>
      <c r="BB162" s="39" t="s">
        <v>823</v>
      </c>
      <c r="BC162" s="39" t="s">
        <v>1931</v>
      </c>
      <c r="BD162" s="39" t="b">
        <v>1</v>
      </c>
      <c r="BE162" s="39" t="b">
        <v>1</v>
      </c>
      <c r="BF162" s="39" t="s">
        <v>1087</v>
      </c>
      <c r="BG162" s="39" t="s">
        <v>1088</v>
      </c>
      <c r="BH162" s="39" t="s">
        <v>2276</v>
      </c>
      <c r="BI162" s="39" t="s">
        <v>2277</v>
      </c>
      <c r="BJ162" s="39" t="b">
        <v>1</v>
      </c>
      <c r="BK162" s="39" t="b">
        <v>1</v>
      </c>
      <c r="BN162" s="39" t="s">
        <v>2505</v>
      </c>
      <c r="BO162" s="39" t="s">
        <v>2789</v>
      </c>
      <c r="BP162" s="39" t="s">
        <v>2808</v>
      </c>
    </row>
    <row r="163" spans="1:68">
      <c r="A163" s="39" t="s">
        <v>20</v>
      </c>
      <c r="B163" s="39" t="s">
        <v>21</v>
      </c>
      <c r="C163" s="39" t="s">
        <v>805</v>
      </c>
      <c r="D163" s="39" t="s">
        <v>820</v>
      </c>
      <c r="E163" s="39" t="s">
        <v>821</v>
      </c>
      <c r="F163" s="39" t="s">
        <v>822</v>
      </c>
      <c r="G163" s="39" t="s">
        <v>823</v>
      </c>
      <c r="H163" s="39" t="s">
        <v>635</v>
      </c>
      <c r="I163" s="39" t="b">
        <v>0</v>
      </c>
      <c r="J163" s="39" t="s">
        <v>635</v>
      </c>
      <c r="K163" s="39" t="b">
        <v>0</v>
      </c>
      <c r="L163" s="39" t="s">
        <v>1464</v>
      </c>
      <c r="M163" s="39" t="s">
        <v>1463</v>
      </c>
      <c r="N163" s="39" t="s">
        <v>2508</v>
      </c>
      <c r="P163" s="39" t="s">
        <v>2543</v>
      </c>
      <c r="Q163" s="39" t="s">
        <v>2547</v>
      </c>
      <c r="R163" s="39" t="s">
        <v>2547</v>
      </c>
      <c r="S163" s="39" t="b">
        <f t="shared" si="4"/>
        <v>0</v>
      </c>
      <c r="T163" s="39" t="s">
        <v>822</v>
      </c>
      <c r="U163" s="39" t="b">
        <f t="shared" si="5"/>
        <v>1</v>
      </c>
      <c r="V163" s="39" t="s">
        <v>2564</v>
      </c>
      <c r="W163" s="39" t="s">
        <v>2561</v>
      </c>
      <c r="X163" s="83" t="s">
        <v>1464</v>
      </c>
      <c r="Y163" s="84" t="s">
        <v>1463</v>
      </c>
      <c r="Z163" s="83" t="s">
        <v>2508</v>
      </c>
      <c r="AA163" s="84" t="s">
        <v>2508</v>
      </c>
      <c r="AB163" s="108"/>
      <c r="AC163" s="107"/>
      <c r="AD163" s="84"/>
      <c r="AE163" s="83"/>
      <c r="AF163" s="84"/>
      <c r="AG163" s="83"/>
      <c r="AH163" s="84"/>
      <c r="AI163" s="39" t="s">
        <v>88</v>
      </c>
      <c r="AJ163" s="39" t="s">
        <v>45</v>
      </c>
      <c r="AK163" s="39" t="s">
        <v>1465</v>
      </c>
      <c r="AM163" s="39" t="s">
        <v>1465</v>
      </c>
      <c r="AN163" s="39" t="s">
        <v>1465</v>
      </c>
      <c r="AP163" s="39" t="s">
        <v>1466</v>
      </c>
      <c r="AQ163" s="39" t="s">
        <v>1467</v>
      </c>
      <c r="AR163" s="39" t="s">
        <v>68</v>
      </c>
      <c r="AU163" s="44">
        <v>6289602777917</v>
      </c>
      <c r="AX163" s="39" t="s">
        <v>1468</v>
      </c>
      <c r="AZ163" s="39" t="s">
        <v>822</v>
      </c>
      <c r="BA163" s="39" t="s">
        <v>1908</v>
      </c>
      <c r="BB163" s="39" t="s">
        <v>823</v>
      </c>
      <c r="BC163" s="39" t="s">
        <v>1931</v>
      </c>
      <c r="BD163" s="39" t="b">
        <v>1</v>
      </c>
      <c r="BE163" s="39" t="b">
        <v>1</v>
      </c>
      <c r="BF163" s="39" t="s">
        <v>1464</v>
      </c>
      <c r="BG163" s="39" t="s">
        <v>1463</v>
      </c>
      <c r="BH163" s="39" t="s">
        <v>2380</v>
      </c>
      <c r="BI163" s="39" t="s">
        <v>2381</v>
      </c>
      <c r="BJ163" s="39" t="b">
        <v>1</v>
      </c>
      <c r="BK163" s="39" t="b">
        <v>1</v>
      </c>
      <c r="BN163" s="39">
        <v>0</v>
      </c>
      <c r="BO163" s="39" t="s">
        <v>2789</v>
      </c>
      <c r="BP163" s="39" t="s">
        <v>2808</v>
      </c>
    </row>
    <row r="164" spans="1:68">
      <c r="A164" s="39" t="s">
        <v>20</v>
      </c>
      <c r="B164" s="39" t="s">
        <v>21</v>
      </c>
      <c r="C164" s="39" t="s">
        <v>805</v>
      </c>
      <c r="D164" s="39" t="s">
        <v>820</v>
      </c>
      <c r="E164" s="39" t="s">
        <v>821</v>
      </c>
      <c r="F164" s="39" t="s">
        <v>822</v>
      </c>
      <c r="G164" s="39" t="s">
        <v>823</v>
      </c>
      <c r="H164" s="39" t="s">
        <v>635</v>
      </c>
      <c r="I164" s="39" t="b">
        <v>0</v>
      </c>
      <c r="J164" s="39" t="s">
        <v>635</v>
      </c>
      <c r="K164" s="39" t="b">
        <v>0</v>
      </c>
      <c r="L164" s="39" t="s">
        <v>1666</v>
      </c>
      <c r="M164" s="39" t="s">
        <v>1665</v>
      </c>
      <c r="N164" s="39" t="s">
        <v>2508</v>
      </c>
      <c r="P164" s="39" t="s">
        <v>2543</v>
      </c>
      <c r="Q164" s="39" t="s">
        <v>2547</v>
      </c>
      <c r="R164" s="39" t="s">
        <v>2547</v>
      </c>
      <c r="S164" s="39" t="b">
        <f t="shared" si="4"/>
        <v>0</v>
      </c>
      <c r="T164" s="39" t="s">
        <v>822</v>
      </c>
      <c r="U164" s="39" t="b">
        <f t="shared" si="5"/>
        <v>1</v>
      </c>
      <c r="V164" s="39" t="s">
        <v>2564</v>
      </c>
      <c r="W164" s="39" t="s">
        <v>2561</v>
      </c>
      <c r="X164" s="83" t="s">
        <v>1666</v>
      </c>
      <c r="Y164" s="84" t="s">
        <v>1665</v>
      </c>
      <c r="Z164" s="83" t="s">
        <v>2508</v>
      </c>
      <c r="AA164" s="84" t="s">
        <v>2508</v>
      </c>
      <c r="AB164" s="108"/>
      <c r="AC164" s="107"/>
      <c r="AD164" s="84"/>
      <c r="AE164" s="83"/>
      <c r="AF164" s="84"/>
      <c r="AG164" s="83"/>
      <c r="AH164" s="84"/>
      <c r="AI164" s="39" t="s">
        <v>88</v>
      </c>
      <c r="AJ164" s="39" t="s">
        <v>45</v>
      </c>
      <c r="AK164" s="39" t="s">
        <v>1667</v>
      </c>
      <c r="AM164" s="39" t="s">
        <v>1667</v>
      </c>
      <c r="AN164" s="39" t="s">
        <v>1667</v>
      </c>
      <c r="AP164" s="39">
        <v>0</v>
      </c>
      <c r="AQ164" s="39" t="s">
        <v>1668</v>
      </c>
      <c r="AR164" s="39" t="s">
        <v>68</v>
      </c>
      <c r="AS164" s="39" t="s">
        <v>32</v>
      </c>
      <c r="AU164" s="44">
        <v>628985558965</v>
      </c>
      <c r="AX164" s="39" t="s">
        <v>1669</v>
      </c>
      <c r="AZ164" s="39" t="s">
        <v>822</v>
      </c>
      <c r="BA164" s="39" t="s">
        <v>1908</v>
      </c>
      <c r="BB164" s="39" t="s">
        <v>823</v>
      </c>
      <c r="BC164" s="39" t="s">
        <v>1931</v>
      </c>
      <c r="BD164" s="39" t="b">
        <v>1</v>
      </c>
      <c r="BE164" s="39" t="b">
        <v>1</v>
      </c>
      <c r="BF164" s="39" t="s">
        <v>1666</v>
      </c>
      <c r="BG164" s="39" t="s">
        <v>1665</v>
      </c>
      <c r="BH164" s="39" t="s">
        <v>2432</v>
      </c>
      <c r="BI164" s="39" t="s">
        <v>2433</v>
      </c>
      <c r="BJ164" s="39" t="b">
        <v>1</v>
      </c>
      <c r="BK164" s="39" t="b">
        <v>1</v>
      </c>
      <c r="BN164" s="39">
        <v>0</v>
      </c>
      <c r="BO164" s="39" t="s">
        <v>2789</v>
      </c>
      <c r="BP164" s="39" t="s">
        <v>2808</v>
      </c>
    </row>
    <row r="165" spans="1:68">
      <c r="A165" s="39" t="s">
        <v>20</v>
      </c>
      <c r="B165" s="39" t="s">
        <v>21</v>
      </c>
      <c r="C165" s="39" t="s">
        <v>805</v>
      </c>
      <c r="D165" s="39" t="s">
        <v>866</v>
      </c>
      <c r="E165" s="39" t="s">
        <v>920</v>
      </c>
      <c r="F165" s="39" t="s">
        <v>921</v>
      </c>
      <c r="G165" s="39" t="s">
        <v>922</v>
      </c>
      <c r="H165" s="39" t="s">
        <v>923</v>
      </c>
      <c r="I165" s="39" t="b">
        <v>0</v>
      </c>
      <c r="J165" s="39" t="s">
        <v>923</v>
      </c>
      <c r="K165" s="39" t="b">
        <v>0</v>
      </c>
      <c r="L165" s="39" t="s">
        <v>924</v>
      </c>
      <c r="M165" s="39" t="s">
        <v>925</v>
      </c>
      <c r="N165" s="39" t="s">
        <v>2512</v>
      </c>
      <c r="P165" s="39" t="s">
        <v>2508</v>
      </c>
      <c r="R165" s="39" t="s">
        <v>922</v>
      </c>
      <c r="S165" s="39" t="b">
        <f t="shared" si="4"/>
        <v>1</v>
      </c>
      <c r="U165" s="39" t="b">
        <f t="shared" si="5"/>
        <v>0</v>
      </c>
      <c r="V165" s="39" t="s">
        <v>2562</v>
      </c>
      <c r="W165" s="39" t="s">
        <v>2564</v>
      </c>
      <c r="X165" s="83" t="s">
        <v>924</v>
      </c>
      <c r="Y165" s="84" t="s">
        <v>925</v>
      </c>
      <c r="Z165" s="83" t="s">
        <v>2512</v>
      </c>
      <c r="AA165" s="84" t="s">
        <v>2508</v>
      </c>
      <c r="AB165" s="108"/>
      <c r="AC165" s="107"/>
      <c r="AD165" s="83" t="s">
        <v>2763</v>
      </c>
      <c r="AE165" s="83"/>
      <c r="AF165" s="84"/>
      <c r="AG165" s="83"/>
      <c r="AH165" s="84"/>
      <c r="AI165" s="39" t="s">
        <v>88</v>
      </c>
      <c r="AJ165" s="39" t="s">
        <v>44</v>
      </c>
      <c r="AK165" s="39" t="s">
        <v>926</v>
      </c>
      <c r="AM165" s="39" t="s">
        <v>926</v>
      </c>
      <c r="AN165" s="39" t="s">
        <v>926</v>
      </c>
      <c r="AO165" s="39" t="b">
        <v>0</v>
      </c>
      <c r="AP165" s="39" t="s">
        <v>927</v>
      </c>
      <c r="AQ165" s="39" t="s">
        <v>928</v>
      </c>
      <c r="AR165" s="39" t="s">
        <v>68</v>
      </c>
      <c r="AS165" s="39" t="s">
        <v>32</v>
      </c>
      <c r="AT165" s="39" t="s">
        <v>929</v>
      </c>
      <c r="AU165" s="44">
        <v>6285813655932</v>
      </c>
      <c r="AV165" s="39" t="s">
        <v>930</v>
      </c>
      <c r="AX165" s="39" t="s">
        <v>931</v>
      </c>
      <c r="AY165" s="39" t="s">
        <v>373</v>
      </c>
      <c r="AZ165" s="39" t="s">
        <v>921</v>
      </c>
      <c r="BA165" s="39" t="s">
        <v>923</v>
      </c>
      <c r="BB165" s="39" t="s">
        <v>922</v>
      </c>
      <c r="BC165" s="39" t="s">
        <v>1933</v>
      </c>
      <c r="BD165" s="39" t="b">
        <v>1</v>
      </c>
      <c r="BE165" s="39" t="b">
        <v>1</v>
      </c>
      <c r="BF165" s="39" t="s">
        <v>924</v>
      </c>
      <c r="BG165" s="39" t="s">
        <v>925</v>
      </c>
      <c r="BH165" s="39" t="s">
        <v>2224</v>
      </c>
      <c r="BI165" s="39" t="s">
        <v>2225</v>
      </c>
      <c r="BJ165" s="39" t="b">
        <v>1</v>
      </c>
      <c r="BK165" s="39" t="b">
        <v>1</v>
      </c>
      <c r="BN165" s="39">
        <v>0</v>
      </c>
      <c r="BO165" s="39" t="s">
        <v>2790</v>
      </c>
      <c r="BP165" s="39" t="s">
        <v>2808</v>
      </c>
    </row>
    <row r="166" spans="1:68">
      <c r="A166" s="39" t="s">
        <v>20</v>
      </c>
      <c r="B166" s="39" t="s">
        <v>21</v>
      </c>
      <c r="C166" s="39" t="s">
        <v>805</v>
      </c>
      <c r="D166" s="39" t="s">
        <v>866</v>
      </c>
      <c r="E166" s="39" t="s">
        <v>867</v>
      </c>
      <c r="F166" s="39" t="s">
        <v>868</v>
      </c>
      <c r="G166" s="39" t="s">
        <v>869</v>
      </c>
      <c r="H166" s="39" t="s">
        <v>319</v>
      </c>
      <c r="I166" s="39" t="b">
        <v>0</v>
      </c>
      <c r="J166" s="39" t="s">
        <v>319</v>
      </c>
      <c r="K166" s="39" t="b">
        <v>0</v>
      </c>
      <c r="L166" s="39" t="s">
        <v>870</v>
      </c>
      <c r="M166" s="39" t="s">
        <v>871</v>
      </c>
      <c r="N166" s="39" t="s">
        <v>2508</v>
      </c>
      <c r="P166" s="39" t="s">
        <v>2508</v>
      </c>
      <c r="R166" s="39" t="s">
        <v>869</v>
      </c>
      <c r="S166" s="39" t="b">
        <f t="shared" si="4"/>
        <v>1</v>
      </c>
      <c r="T166" s="39" t="s">
        <v>868</v>
      </c>
      <c r="U166" s="39" t="b">
        <f t="shared" si="5"/>
        <v>1</v>
      </c>
      <c r="V166" s="39" t="s">
        <v>2564</v>
      </c>
      <c r="W166" s="39" t="s">
        <v>2564</v>
      </c>
      <c r="X166" s="83" t="s">
        <v>870</v>
      </c>
      <c r="Y166" s="84" t="s">
        <v>871</v>
      </c>
      <c r="Z166" s="83" t="s">
        <v>2508</v>
      </c>
      <c r="AA166" s="84" t="s">
        <v>2508</v>
      </c>
      <c r="AB166" s="108"/>
      <c r="AC166" s="107"/>
      <c r="AD166" s="84"/>
      <c r="AE166" s="83"/>
      <c r="AF166" s="84"/>
      <c r="AG166" s="83"/>
      <c r="AH166" s="84"/>
      <c r="AI166" s="39" t="s">
        <v>88</v>
      </c>
      <c r="AJ166" s="39" t="s">
        <v>44</v>
      </c>
      <c r="AK166" s="39" t="s">
        <v>872</v>
      </c>
      <c r="AM166" s="39" t="s">
        <v>872</v>
      </c>
      <c r="AN166" s="39" t="s">
        <v>872</v>
      </c>
      <c r="AO166" s="39" t="b">
        <v>0</v>
      </c>
      <c r="AP166" s="39" t="s">
        <v>873</v>
      </c>
      <c r="AQ166" s="39" t="s">
        <v>874</v>
      </c>
      <c r="AR166" s="39" t="s">
        <v>68</v>
      </c>
      <c r="AS166" s="39" t="s">
        <v>32</v>
      </c>
      <c r="AT166" s="39" t="s">
        <v>875</v>
      </c>
      <c r="AU166" s="44">
        <v>6285777813959</v>
      </c>
      <c r="AV166" s="39" t="s">
        <v>876</v>
      </c>
      <c r="AX166" s="39" t="s">
        <v>877</v>
      </c>
      <c r="AY166" s="39" t="s">
        <v>373</v>
      </c>
      <c r="AZ166" s="39" t="s">
        <v>868</v>
      </c>
      <c r="BA166" s="39" t="s">
        <v>1907</v>
      </c>
      <c r="BB166" s="39" t="s">
        <v>869</v>
      </c>
      <c r="BC166" s="39" t="s">
        <v>1932</v>
      </c>
      <c r="BD166" s="39" t="b">
        <v>1</v>
      </c>
      <c r="BE166" s="39" t="b">
        <v>1</v>
      </c>
      <c r="BF166" s="39" t="s">
        <v>870</v>
      </c>
      <c r="BG166" s="39" t="s">
        <v>871</v>
      </c>
      <c r="BH166" s="39" t="s">
        <v>2212</v>
      </c>
      <c r="BI166" s="39" t="s">
        <v>2213</v>
      </c>
      <c r="BJ166" s="39" t="b">
        <v>1</v>
      </c>
      <c r="BK166" s="39" t="b">
        <v>1</v>
      </c>
      <c r="BN166" s="39">
        <v>0</v>
      </c>
      <c r="BO166" s="39" t="s">
        <v>2790</v>
      </c>
      <c r="BP166" s="39" t="s">
        <v>2808</v>
      </c>
    </row>
    <row r="167" spans="1:68">
      <c r="A167" s="39" t="s">
        <v>20</v>
      </c>
      <c r="B167" s="39" t="s">
        <v>21</v>
      </c>
      <c r="C167" s="39" t="s">
        <v>805</v>
      </c>
      <c r="D167" s="39" t="s">
        <v>866</v>
      </c>
      <c r="E167" s="39" t="s">
        <v>867</v>
      </c>
      <c r="F167" s="39" t="s">
        <v>868</v>
      </c>
      <c r="G167" s="39" t="s">
        <v>869</v>
      </c>
      <c r="H167" s="39" t="s">
        <v>319</v>
      </c>
      <c r="I167" s="39" t="b">
        <v>0</v>
      </c>
      <c r="J167" s="39" t="s">
        <v>319</v>
      </c>
      <c r="K167" s="39" t="b">
        <v>0</v>
      </c>
      <c r="L167" s="39" t="s">
        <v>888</v>
      </c>
      <c r="M167" s="39" t="s">
        <v>889</v>
      </c>
      <c r="N167" s="39" t="s">
        <v>2508</v>
      </c>
      <c r="P167" s="39" t="s">
        <v>2508</v>
      </c>
      <c r="R167" s="39" t="s">
        <v>869</v>
      </c>
      <c r="S167" s="39" t="b">
        <f t="shared" si="4"/>
        <v>1</v>
      </c>
      <c r="T167" s="39" t="s">
        <v>868</v>
      </c>
      <c r="U167" s="39" t="b">
        <f t="shared" si="5"/>
        <v>1</v>
      </c>
      <c r="V167" s="39" t="s">
        <v>2564</v>
      </c>
      <c r="W167" s="39" t="s">
        <v>2564</v>
      </c>
      <c r="X167" s="83" t="s">
        <v>888</v>
      </c>
      <c r="Y167" s="84" t="s">
        <v>889</v>
      </c>
      <c r="Z167" s="83" t="s">
        <v>2508</v>
      </c>
      <c r="AA167" s="84" t="s">
        <v>2508</v>
      </c>
      <c r="AB167" s="108"/>
      <c r="AC167" s="107"/>
      <c r="AD167" s="84"/>
      <c r="AE167" s="83"/>
      <c r="AF167" s="84"/>
      <c r="AG167" s="83"/>
      <c r="AH167" s="84"/>
      <c r="AI167" s="39" t="s">
        <v>88</v>
      </c>
      <c r="AJ167" s="39" t="s">
        <v>45</v>
      </c>
      <c r="AK167" s="39" t="s">
        <v>890</v>
      </c>
      <c r="AM167" s="39" t="s">
        <v>890</v>
      </c>
      <c r="AN167" s="39" t="s">
        <v>890</v>
      </c>
      <c r="AP167" s="39" t="s">
        <v>891</v>
      </c>
      <c r="AQ167" s="39" t="s">
        <v>892</v>
      </c>
      <c r="AR167" s="39" t="s">
        <v>68</v>
      </c>
      <c r="AU167" s="44">
        <v>6280086422476</v>
      </c>
      <c r="AX167" s="39" t="s">
        <v>893</v>
      </c>
      <c r="AZ167" s="39" t="s">
        <v>868</v>
      </c>
      <c r="BA167" s="39" t="s">
        <v>1907</v>
      </c>
      <c r="BB167" s="39" t="s">
        <v>869</v>
      </c>
      <c r="BC167" s="39" t="s">
        <v>1932</v>
      </c>
      <c r="BD167" s="39" t="b">
        <v>1</v>
      </c>
      <c r="BE167" s="39" t="b">
        <v>1</v>
      </c>
      <c r="BF167" s="39" t="s">
        <v>888</v>
      </c>
      <c r="BG167" s="39" t="s">
        <v>889</v>
      </c>
      <c r="BH167" s="39" t="s">
        <v>2216</v>
      </c>
      <c r="BI167" s="39" t="s">
        <v>2217</v>
      </c>
      <c r="BJ167" s="39" t="b">
        <v>1</v>
      </c>
      <c r="BK167" s="39" t="b">
        <v>1</v>
      </c>
      <c r="BN167" s="39">
        <v>0</v>
      </c>
      <c r="BO167" s="39" t="s">
        <v>2790</v>
      </c>
      <c r="BP167" s="39" t="s">
        <v>2808</v>
      </c>
    </row>
    <row r="168" spans="1:68">
      <c r="A168" s="39" t="s">
        <v>20</v>
      </c>
      <c r="B168" s="39" t="s">
        <v>21</v>
      </c>
      <c r="C168" s="39" t="s">
        <v>805</v>
      </c>
      <c r="D168" s="39" t="s">
        <v>866</v>
      </c>
      <c r="E168" s="39" t="s">
        <v>867</v>
      </c>
      <c r="F168" s="39" t="s">
        <v>868</v>
      </c>
      <c r="G168" s="39" t="s">
        <v>869</v>
      </c>
      <c r="H168" s="39" t="s">
        <v>319</v>
      </c>
      <c r="I168" s="39" t="b">
        <v>0</v>
      </c>
      <c r="J168" s="39" t="s">
        <v>319</v>
      </c>
      <c r="K168" s="39" t="b">
        <v>0</v>
      </c>
      <c r="L168" s="39" t="s">
        <v>894</v>
      </c>
      <c r="M168" s="39" t="s">
        <v>895</v>
      </c>
      <c r="N168" s="39" t="s">
        <v>2508</v>
      </c>
      <c r="P168" s="39" t="s">
        <v>2508</v>
      </c>
      <c r="R168" s="39" t="s">
        <v>869</v>
      </c>
      <c r="S168" s="39" t="b">
        <f t="shared" si="4"/>
        <v>1</v>
      </c>
      <c r="T168" s="39" t="s">
        <v>868</v>
      </c>
      <c r="U168" s="39" t="b">
        <f t="shared" si="5"/>
        <v>1</v>
      </c>
      <c r="V168" s="39" t="s">
        <v>2564</v>
      </c>
      <c r="W168" s="39" t="s">
        <v>2564</v>
      </c>
      <c r="X168" s="83" t="s">
        <v>894</v>
      </c>
      <c r="Y168" s="84" t="s">
        <v>895</v>
      </c>
      <c r="Z168" s="83" t="s">
        <v>2508</v>
      </c>
      <c r="AA168" s="84" t="s">
        <v>2508</v>
      </c>
      <c r="AB168" s="108"/>
      <c r="AC168" s="107"/>
      <c r="AD168" s="84"/>
      <c r="AE168" s="83"/>
      <c r="AF168" s="84"/>
      <c r="AG168" s="83"/>
      <c r="AH168" s="84"/>
      <c r="AI168" s="39" t="s">
        <v>88</v>
      </c>
      <c r="AJ168" s="39" t="s">
        <v>45</v>
      </c>
      <c r="AK168" s="39" t="s">
        <v>896</v>
      </c>
      <c r="AM168" s="39" t="s">
        <v>896</v>
      </c>
      <c r="AN168" s="39" t="s">
        <v>896</v>
      </c>
      <c r="AP168" s="39" t="s">
        <v>897</v>
      </c>
      <c r="AQ168" s="39" t="s">
        <v>898</v>
      </c>
      <c r="AR168" s="39" t="s">
        <v>68</v>
      </c>
      <c r="AU168" s="44">
        <v>6280086422481</v>
      </c>
      <c r="AX168" s="39" t="s">
        <v>899</v>
      </c>
      <c r="AZ168" s="39" t="s">
        <v>868</v>
      </c>
      <c r="BA168" s="39" t="s">
        <v>1907</v>
      </c>
      <c r="BB168" s="39" t="s">
        <v>869</v>
      </c>
      <c r="BC168" s="39" t="s">
        <v>1932</v>
      </c>
      <c r="BD168" s="39" t="b">
        <v>1</v>
      </c>
      <c r="BE168" s="39" t="b">
        <v>1</v>
      </c>
      <c r="BF168" s="39" t="s">
        <v>894</v>
      </c>
      <c r="BG168" s="39" t="s">
        <v>895</v>
      </c>
      <c r="BH168" s="39" t="s">
        <v>2218</v>
      </c>
      <c r="BI168" s="39" t="s">
        <v>2219</v>
      </c>
      <c r="BJ168" s="39" t="b">
        <v>1</v>
      </c>
      <c r="BK168" s="39" t="b">
        <v>1</v>
      </c>
      <c r="BN168" s="39">
        <v>0</v>
      </c>
      <c r="BO168" s="39" t="s">
        <v>2790</v>
      </c>
      <c r="BP168" s="39" t="s">
        <v>2808</v>
      </c>
    </row>
    <row r="169" spans="1:68">
      <c r="A169" s="39" t="s">
        <v>20</v>
      </c>
      <c r="B169" s="39" t="s">
        <v>21</v>
      </c>
      <c r="C169" s="39" t="s">
        <v>805</v>
      </c>
      <c r="D169" s="39" t="s">
        <v>866</v>
      </c>
      <c r="E169" s="39" t="s">
        <v>867</v>
      </c>
      <c r="F169" s="39" t="s">
        <v>868</v>
      </c>
      <c r="G169" s="39" t="s">
        <v>869</v>
      </c>
      <c r="H169" s="39" t="s">
        <v>319</v>
      </c>
      <c r="I169" s="39" t="b">
        <v>0</v>
      </c>
      <c r="J169" s="39" t="s">
        <v>319</v>
      </c>
      <c r="K169" s="39" t="b">
        <v>0</v>
      </c>
      <c r="L169" s="39" t="s">
        <v>1530</v>
      </c>
      <c r="M169" s="39" t="s">
        <v>1529</v>
      </c>
      <c r="N169" s="39" t="s">
        <v>2508</v>
      </c>
      <c r="P169" s="39" t="s">
        <v>2543</v>
      </c>
      <c r="Q169" s="39" t="s">
        <v>881</v>
      </c>
      <c r="R169" s="39" t="s">
        <v>881</v>
      </c>
      <c r="S169" s="39" t="b">
        <f t="shared" si="4"/>
        <v>0</v>
      </c>
      <c r="T169" s="39" t="s">
        <v>868</v>
      </c>
      <c r="U169" s="39" t="b">
        <f t="shared" si="5"/>
        <v>1</v>
      </c>
      <c r="V169" s="39" t="s">
        <v>2564</v>
      </c>
      <c r="W169" s="39" t="s">
        <v>2561</v>
      </c>
      <c r="X169" s="83" t="s">
        <v>1530</v>
      </c>
      <c r="Y169" s="84" t="s">
        <v>1529</v>
      </c>
      <c r="Z169" s="83" t="s">
        <v>2508</v>
      </c>
      <c r="AA169" s="84" t="s">
        <v>2508</v>
      </c>
      <c r="AB169" s="108"/>
      <c r="AC169" s="107"/>
      <c r="AD169" s="84"/>
      <c r="AE169" s="83"/>
      <c r="AF169" s="84"/>
      <c r="AG169" s="83"/>
      <c r="AH169" s="84"/>
      <c r="AI169" s="39" t="s">
        <v>88</v>
      </c>
      <c r="AJ169" s="39" t="s">
        <v>45</v>
      </c>
      <c r="AK169" s="39" t="s">
        <v>1531</v>
      </c>
      <c r="AM169" s="39" t="s">
        <v>1531</v>
      </c>
      <c r="AN169" s="39" t="s">
        <v>1531</v>
      </c>
      <c r="AP169" s="39" t="s">
        <v>1532</v>
      </c>
      <c r="AQ169" s="39" t="s">
        <v>1533</v>
      </c>
      <c r="AR169" s="39" t="s">
        <v>68</v>
      </c>
      <c r="AU169" s="44">
        <v>6289602778083</v>
      </c>
      <c r="AX169" s="39" t="s">
        <v>1534</v>
      </c>
      <c r="AZ169" s="39" t="s">
        <v>868</v>
      </c>
      <c r="BA169" s="39" t="s">
        <v>1907</v>
      </c>
      <c r="BB169" s="39" t="s">
        <v>869</v>
      </c>
      <c r="BC169" s="39" t="s">
        <v>1932</v>
      </c>
      <c r="BD169" s="39" t="b">
        <v>1</v>
      </c>
      <c r="BE169" s="39" t="b">
        <v>1</v>
      </c>
      <c r="BF169" s="39" t="s">
        <v>1530</v>
      </c>
      <c r="BG169" s="39" t="s">
        <v>1529</v>
      </c>
      <c r="BH169" s="39" t="s">
        <v>2398</v>
      </c>
      <c r="BI169" s="39" t="s">
        <v>2399</v>
      </c>
      <c r="BJ169" s="39" t="b">
        <v>1</v>
      </c>
      <c r="BK169" s="39" t="b">
        <v>1</v>
      </c>
      <c r="BN169" s="39">
        <v>0</v>
      </c>
      <c r="BO169" s="39" t="s">
        <v>2790</v>
      </c>
      <c r="BP169" s="39" t="s">
        <v>2808</v>
      </c>
    </row>
    <row r="170" spans="1:68">
      <c r="A170" s="39" t="s">
        <v>20</v>
      </c>
      <c r="B170" s="39" t="s">
        <v>21</v>
      </c>
      <c r="C170" s="39" t="s">
        <v>805</v>
      </c>
      <c r="D170" s="39" t="s">
        <v>866</v>
      </c>
      <c r="E170" s="39" t="s">
        <v>867</v>
      </c>
      <c r="F170" s="39" t="s">
        <v>868</v>
      </c>
      <c r="G170" s="39" t="s">
        <v>869</v>
      </c>
      <c r="H170" s="39" t="s">
        <v>319</v>
      </c>
      <c r="I170" s="39" t="b">
        <v>0</v>
      </c>
      <c r="J170" s="39" t="s">
        <v>319</v>
      </c>
      <c r="K170" s="39" t="b">
        <v>0</v>
      </c>
      <c r="L170" s="39" t="s">
        <v>1599</v>
      </c>
      <c r="M170" s="39" t="s">
        <v>1598</v>
      </c>
      <c r="N170" s="39" t="s">
        <v>2508</v>
      </c>
      <c r="P170" s="39" t="s">
        <v>2543</v>
      </c>
      <c r="Q170" s="39" t="s">
        <v>881</v>
      </c>
      <c r="R170" s="39" t="s">
        <v>881</v>
      </c>
      <c r="S170" s="39" t="b">
        <f t="shared" si="4"/>
        <v>0</v>
      </c>
      <c r="T170" s="39" t="s">
        <v>868</v>
      </c>
      <c r="U170" s="39" t="b">
        <f t="shared" si="5"/>
        <v>1</v>
      </c>
      <c r="V170" s="39" t="s">
        <v>2564</v>
      </c>
      <c r="W170" s="39" t="s">
        <v>2561</v>
      </c>
      <c r="X170" s="83" t="s">
        <v>1599</v>
      </c>
      <c r="Y170" s="84" t="s">
        <v>1598</v>
      </c>
      <c r="Z170" s="83" t="s">
        <v>2508</v>
      </c>
      <c r="AA170" s="84" t="s">
        <v>2508</v>
      </c>
      <c r="AB170" s="108"/>
      <c r="AC170" s="107"/>
      <c r="AD170" s="84"/>
      <c r="AE170" s="83"/>
      <c r="AF170" s="84"/>
      <c r="AG170" s="83"/>
      <c r="AH170" s="84"/>
      <c r="AI170" s="39" t="s">
        <v>88</v>
      </c>
      <c r="AJ170" s="39" t="s">
        <v>45</v>
      </c>
      <c r="AK170" s="39" t="s">
        <v>1600</v>
      </c>
      <c r="AM170" s="39" t="s">
        <v>1600</v>
      </c>
      <c r="AN170" s="39" t="s">
        <v>1600</v>
      </c>
      <c r="AP170" s="39" t="s">
        <v>1601</v>
      </c>
      <c r="AQ170" s="39" t="s">
        <v>1602</v>
      </c>
      <c r="AR170" s="39" t="s">
        <v>68</v>
      </c>
      <c r="AU170" s="44">
        <v>628985561838</v>
      </c>
      <c r="AX170" s="39" t="s">
        <v>1603</v>
      </c>
      <c r="AZ170" s="39" t="s">
        <v>868</v>
      </c>
      <c r="BA170" s="39" t="s">
        <v>1907</v>
      </c>
      <c r="BB170" s="39" t="s">
        <v>869</v>
      </c>
      <c r="BC170" s="39" t="s">
        <v>1932</v>
      </c>
      <c r="BD170" s="39" t="b">
        <v>1</v>
      </c>
      <c r="BE170" s="39" t="b">
        <v>1</v>
      </c>
      <c r="BF170" s="39" t="s">
        <v>1599</v>
      </c>
      <c r="BG170" s="39" t="s">
        <v>1598</v>
      </c>
      <c r="BH170" s="39" t="s">
        <v>2414</v>
      </c>
      <c r="BI170" s="39" t="s">
        <v>2415</v>
      </c>
      <c r="BJ170" s="39" t="b">
        <v>1</v>
      </c>
      <c r="BK170" s="39" t="b">
        <v>1</v>
      </c>
      <c r="BN170" s="39">
        <v>0</v>
      </c>
      <c r="BO170" s="39" t="s">
        <v>2790</v>
      </c>
      <c r="BP170" s="39" t="s">
        <v>2808</v>
      </c>
    </row>
    <row r="171" spans="1:68">
      <c r="A171" s="39" t="s">
        <v>20</v>
      </c>
      <c r="B171" s="39" t="s">
        <v>21</v>
      </c>
      <c r="C171" s="39" t="s">
        <v>805</v>
      </c>
      <c r="D171" s="39" t="s">
        <v>1386</v>
      </c>
      <c r="E171" s="39" t="s">
        <v>1387</v>
      </c>
      <c r="F171" s="39" t="s">
        <v>1388</v>
      </c>
      <c r="G171" s="39" t="s">
        <v>1389</v>
      </c>
      <c r="H171" s="39" t="s">
        <v>165</v>
      </c>
      <c r="I171" s="39" t="b">
        <v>0</v>
      </c>
      <c r="J171" s="39" t="s">
        <v>165</v>
      </c>
      <c r="K171" s="39" t="b">
        <v>0</v>
      </c>
      <c r="L171" s="39" t="s">
        <v>1509</v>
      </c>
      <c r="M171" s="39" t="s">
        <v>1508</v>
      </c>
      <c r="N171" s="39" t="s">
        <v>2508</v>
      </c>
      <c r="P171" s="39" t="s">
        <v>2508</v>
      </c>
      <c r="R171" s="39" t="s">
        <v>1389</v>
      </c>
      <c r="S171" s="39" t="b">
        <f t="shared" si="4"/>
        <v>1</v>
      </c>
      <c r="T171" s="39" t="s">
        <v>1388</v>
      </c>
      <c r="U171" s="39" t="b">
        <f t="shared" si="5"/>
        <v>1</v>
      </c>
      <c r="V171" s="39" t="s">
        <v>2564</v>
      </c>
      <c r="W171" s="39" t="s">
        <v>2564</v>
      </c>
      <c r="X171" s="83" t="s">
        <v>1509</v>
      </c>
      <c r="Y171" s="84" t="s">
        <v>1508</v>
      </c>
      <c r="Z171" s="83" t="s">
        <v>2508</v>
      </c>
      <c r="AA171" s="84" t="s">
        <v>2508</v>
      </c>
      <c r="AB171" s="108"/>
      <c r="AC171" s="107"/>
      <c r="AD171" s="84"/>
      <c r="AE171" s="83"/>
      <c r="AF171" s="84"/>
      <c r="AG171" s="83"/>
      <c r="AH171" s="84"/>
      <c r="AI171" s="39" t="s">
        <v>88</v>
      </c>
      <c r="AJ171" s="39" t="s">
        <v>44</v>
      </c>
      <c r="AK171" s="39" t="s">
        <v>1510</v>
      </c>
      <c r="AM171" s="39" t="s">
        <v>1510</v>
      </c>
      <c r="AN171" s="39" t="s">
        <v>1510</v>
      </c>
      <c r="AO171" s="39" t="b">
        <v>0</v>
      </c>
      <c r="AP171" s="39" t="s">
        <v>1511</v>
      </c>
      <c r="AQ171" s="39" t="s">
        <v>1512</v>
      </c>
      <c r="AR171" s="39" t="s">
        <v>68</v>
      </c>
      <c r="AS171" s="39" t="s">
        <v>32</v>
      </c>
      <c r="AT171" s="39">
        <v>6289602777914</v>
      </c>
      <c r="AU171" s="44">
        <v>6289602777914</v>
      </c>
      <c r="AV171" s="39" t="s">
        <v>1513</v>
      </c>
      <c r="AW171" s="39" t="s">
        <v>35</v>
      </c>
      <c r="AX171" s="39" t="s">
        <v>1514</v>
      </c>
      <c r="AY171" s="39" t="s">
        <v>373</v>
      </c>
      <c r="AZ171" s="39" t="s">
        <v>1388</v>
      </c>
      <c r="BA171" s="39" t="s">
        <v>1906</v>
      </c>
      <c r="BB171" s="39" t="s">
        <v>1389</v>
      </c>
      <c r="BC171" s="39" t="s">
        <v>1937</v>
      </c>
      <c r="BD171" s="39" t="b">
        <v>1</v>
      </c>
      <c r="BE171" s="39" t="b">
        <v>1</v>
      </c>
      <c r="BF171" s="39" t="s">
        <v>1509</v>
      </c>
      <c r="BG171" s="39" t="s">
        <v>1508</v>
      </c>
      <c r="BH171" s="39" t="s">
        <v>2394</v>
      </c>
      <c r="BI171" s="39" t="s">
        <v>2395</v>
      </c>
      <c r="BJ171" s="39" t="b">
        <v>1</v>
      </c>
      <c r="BK171" s="39" t="b">
        <v>1</v>
      </c>
      <c r="BN171" s="39">
        <v>0</v>
      </c>
      <c r="BO171" s="39" t="s">
        <v>2791</v>
      </c>
      <c r="BP171" s="39" t="s">
        <v>2808</v>
      </c>
    </row>
    <row r="172" spans="1:68">
      <c r="A172" s="39" t="s">
        <v>20</v>
      </c>
      <c r="B172" s="39" t="s">
        <v>21</v>
      </c>
      <c r="C172" s="39" t="s">
        <v>805</v>
      </c>
      <c r="D172" s="39" t="s">
        <v>1386</v>
      </c>
      <c r="E172" s="39" t="s">
        <v>1387</v>
      </c>
      <c r="F172" s="39" t="s">
        <v>1388</v>
      </c>
      <c r="G172" s="39" t="s">
        <v>1389</v>
      </c>
      <c r="H172" s="39" t="s">
        <v>165</v>
      </c>
      <c r="I172" s="39" t="b">
        <v>0</v>
      </c>
      <c r="J172" s="39" t="s">
        <v>165</v>
      </c>
      <c r="K172" s="39" t="b">
        <v>0</v>
      </c>
      <c r="L172" s="39" t="s">
        <v>1542</v>
      </c>
      <c r="M172" s="39" t="s">
        <v>1541</v>
      </c>
      <c r="N172" s="39" t="s">
        <v>2508</v>
      </c>
      <c r="P172" s="39" t="s">
        <v>2508</v>
      </c>
      <c r="R172" s="39" t="s">
        <v>1389</v>
      </c>
      <c r="S172" s="39" t="b">
        <f t="shared" si="4"/>
        <v>1</v>
      </c>
      <c r="T172" s="39" t="s">
        <v>1388</v>
      </c>
      <c r="U172" s="39" t="b">
        <f t="shared" si="5"/>
        <v>1</v>
      </c>
      <c r="V172" s="39" t="s">
        <v>2564</v>
      </c>
      <c r="W172" s="39" t="s">
        <v>2564</v>
      </c>
      <c r="X172" s="83" t="s">
        <v>1542</v>
      </c>
      <c r="Y172" s="84" t="s">
        <v>1541</v>
      </c>
      <c r="Z172" s="83" t="s">
        <v>2508</v>
      </c>
      <c r="AA172" s="84" t="s">
        <v>2508</v>
      </c>
      <c r="AB172" s="108"/>
      <c r="AC172" s="107"/>
      <c r="AD172" s="84"/>
      <c r="AE172" s="83"/>
      <c r="AF172" s="84"/>
      <c r="AG172" s="83"/>
      <c r="AH172" s="84"/>
      <c r="AI172" s="39" t="s">
        <v>88</v>
      </c>
      <c r="AJ172" s="39" t="s">
        <v>45</v>
      </c>
      <c r="AK172" s="39" t="s">
        <v>1543</v>
      </c>
      <c r="AM172" s="39" t="s">
        <v>1543</v>
      </c>
      <c r="AN172" s="39" t="s">
        <v>1543</v>
      </c>
      <c r="AP172" s="39" t="s">
        <v>1544</v>
      </c>
      <c r="AQ172" s="39" t="s">
        <v>1545</v>
      </c>
      <c r="AR172" s="39" t="s">
        <v>68</v>
      </c>
      <c r="AS172" s="39" t="s">
        <v>32</v>
      </c>
      <c r="AU172" s="44">
        <v>6289602777908</v>
      </c>
      <c r="AX172" s="39" t="s">
        <v>1546</v>
      </c>
      <c r="AZ172" s="39" t="s">
        <v>1388</v>
      </c>
      <c r="BA172" s="39" t="s">
        <v>1906</v>
      </c>
      <c r="BB172" s="39" t="s">
        <v>1389</v>
      </c>
      <c r="BC172" s="39" t="s">
        <v>1937</v>
      </c>
      <c r="BD172" s="39" t="b">
        <v>1</v>
      </c>
      <c r="BE172" s="39" t="b">
        <v>1</v>
      </c>
      <c r="BF172" s="39" t="s">
        <v>1542</v>
      </c>
      <c r="BG172" s="39" t="s">
        <v>1541</v>
      </c>
      <c r="BH172" s="39" t="s">
        <v>2400</v>
      </c>
      <c r="BI172" s="39" t="s">
        <v>2401</v>
      </c>
      <c r="BJ172" s="39" t="b">
        <v>1</v>
      </c>
      <c r="BK172" s="39" t="b">
        <v>1</v>
      </c>
      <c r="BN172" s="39">
        <v>0</v>
      </c>
      <c r="BO172" s="39" t="s">
        <v>2791</v>
      </c>
      <c r="BP172" s="39" t="s">
        <v>2808</v>
      </c>
    </row>
    <row r="173" spans="1:68">
      <c r="A173" s="39" t="s">
        <v>20</v>
      </c>
      <c r="B173" s="39" t="s">
        <v>21</v>
      </c>
      <c r="C173" s="39" t="s">
        <v>805</v>
      </c>
      <c r="D173" s="39" t="s">
        <v>1386</v>
      </c>
      <c r="E173" s="39" t="s">
        <v>1387</v>
      </c>
      <c r="F173" s="39" t="s">
        <v>1388</v>
      </c>
      <c r="G173" s="39" t="s">
        <v>1389</v>
      </c>
      <c r="H173" s="39" t="s">
        <v>165</v>
      </c>
      <c r="I173" s="39" t="b">
        <v>0</v>
      </c>
      <c r="J173" s="39" t="s">
        <v>165</v>
      </c>
      <c r="K173" s="39" t="b">
        <v>0</v>
      </c>
      <c r="L173" s="39" t="s">
        <v>1624</v>
      </c>
      <c r="M173" s="39" t="s">
        <v>1623</v>
      </c>
      <c r="N173" s="39" t="s">
        <v>2508</v>
      </c>
      <c r="P173" s="39" t="s">
        <v>2508</v>
      </c>
      <c r="R173" s="39" t="s">
        <v>1389</v>
      </c>
      <c r="S173" s="39" t="b">
        <f t="shared" si="4"/>
        <v>1</v>
      </c>
      <c r="T173" s="39" t="s">
        <v>1388</v>
      </c>
      <c r="U173" s="39" t="b">
        <f t="shared" si="5"/>
        <v>1</v>
      </c>
      <c r="V173" s="39" t="s">
        <v>2564</v>
      </c>
      <c r="W173" s="39" t="s">
        <v>2564</v>
      </c>
      <c r="X173" s="83" t="s">
        <v>1624</v>
      </c>
      <c r="Y173" s="84" t="s">
        <v>1623</v>
      </c>
      <c r="Z173" s="83" t="s">
        <v>2508</v>
      </c>
      <c r="AA173" s="84" t="s">
        <v>2508</v>
      </c>
      <c r="AB173" s="108"/>
      <c r="AC173" s="107"/>
      <c r="AD173" s="84"/>
      <c r="AE173" s="83"/>
      <c r="AF173" s="84"/>
      <c r="AG173" s="83"/>
      <c r="AH173" s="84"/>
      <c r="AI173" s="39" t="s">
        <v>88</v>
      </c>
      <c r="AJ173" s="39" t="s">
        <v>45</v>
      </c>
      <c r="AK173" s="39" t="s">
        <v>1625</v>
      </c>
      <c r="AM173" s="39" t="s">
        <v>1625</v>
      </c>
      <c r="AN173" s="39" t="s">
        <v>1625</v>
      </c>
      <c r="AP173" s="39" t="s">
        <v>1626</v>
      </c>
      <c r="AQ173" s="39" t="s">
        <v>1627</v>
      </c>
      <c r="AR173" s="39" t="s">
        <v>68</v>
      </c>
      <c r="AU173" s="44">
        <v>628985560072</v>
      </c>
      <c r="AX173" s="39" t="s">
        <v>1628</v>
      </c>
      <c r="AZ173" s="39" t="s">
        <v>1388</v>
      </c>
      <c r="BA173" s="39" t="s">
        <v>1906</v>
      </c>
      <c r="BB173" s="39" t="s">
        <v>1389</v>
      </c>
      <c r="BC173" s="39" t="s">
        <v>1937</v>
      </c>
      <c r="BD173" s="39" t="b">
        <v>1</v>
      </c>
      <c r="BE173" s="39" t="b">
        <v>1</v>
      </c>
      <c r="BF173" s="39" t="s">
        <v>1624</v>
      </c>
      <c r="BG173" s="39" t="s">
        <v>1623</v>
      </c>
      <c r="BH173" s="39" t="s">
        <v>2420</v>
      </c>
      <c r="BI173" s="39" t="s">
        <v>2421</v>
      </c>
      <c r="BJ173" s="39" t="b">
        <v>1</v>
      </c>
      <c r="BK173" s="39" t="b">
        <v>1</v>
      </c>
      <c r="BN173" s="39">
        <v>0</v>
      </c>
      <c r="BO173" s="39" t="s">
        <v>2791</v>
      </c>
      <c r="BP173" s="39" t="s">
        <v>2808</v>
      </c>
    </row>
    <row r="174" spans="1:68">
      <c r="A174" s="39" t="s">
        <v>20</v>
      </c>
      <c r="B174" s="39" t="s">
        <v>21</v>
      </c>
      <c r="C174" s="39" t="s">
        <v>805</v>
      </c>
      <c r="D174" s="39" t="s">
        <v>1386</v>
      </c>
      <c r="E174" s="39" t="s">
        <v>1387</v>
      </c>
      <c r="F174" s="39" t="s">
        <v>1388</v>
      </c>
      <c r="G174" s="39" t="s">
        <v>1389</v>
      </c>
      <c r="H174" s="39" t="s">
        <v>165</v>
      </c>
      <c r="I174" s="39" t="b">
        <v>0</v>
      </c>
      <c r="J174" s="39" t="s">
        <v>165</v>
      </c>
      <c r="K174" s="39" t="b">
        <v>0</v>
      </c>
      <c r="L174" s="39" t="s">
        <v>1390</v>
      </c>
      <c r="M174" s="39" t="s">
        <v>1391</v>
      </c>
      <c r="N174" s="39" t="s">
        <v>2508</v>
      </c>
      <c r="P174" s="39" t="s">
        <v>2508</v>
      </c>
      <c r="R174" s="39" t="s">
        <v>1389</v>
      </c>
      <c r="S174" s="39" t="b">
        <f t="shared" si="4"/>
        <v>1</v>
      </c>
      <c r="T174" s="39" t="s">
        <v>1388</v>
      </c>
      <c r="U174" s="39" t="b">
        <f t="shared" si="5"/>
        <v>1</v>
      </c>
      <c r="V174" s="39" t="s">
        <v>2564</v>
      </c>
      <c r="W174" s="39" t="s">
        <v>2564</v>
      </c>
      <c r="X174" s="83" t="s">
        <v>1390</v>
      </c>
      <c r="Y174" s="84" t="s">
        <v>1391</v>
      </c>
      <c r="Z174" s="83" t="s">
        <v>2508</v>
      </c>
      <c r="AA174" s="84" t="s">
        <v>2508</v>
      </c>
      <c r="AB174" s="108"/>
      <c r="AC174" s="107"/>
      <c r="AD174" s="84"/>
      <c r="AE174" s="83"/>
      <c r="AF174" s="84"/>
      <c r="AG174" s="83"/>
      <c r="AH174" s="84"/>
      <c r="AI174" s="39" t="s">
        <v>88</v>
      </c>
      <c r="AJ174" s="39" t="s">
        <v>45</v>
      </c>
      <c r="AK174" s="39" t="s">
        <v>1392</v>
      </c>
      <c r="AM174" s="39" t="s">
        <v>1392</v>
      </c>
      <c r="AN174" s="39" t="s">
        <v>1392</v>
      </c>
      <c r="AP174" s="39" t="s">
        <v>1393</v>
      </c>
      <c r="AQ174" s="39" t="s">
        <v>1394</v>
      </c>
      <c r="AR174" s="39" t="s">
        <v>68</v>
      </c>
      <c r="AU174" s="44">
        <v>6281514444101</v>
      </c>
      <c r="AX174" s="39" t="s">
        <v>1395</v>
      </c>
      <c r="AZ174" s="39" t="s">
        <v>1388</v>
      </c>
      <c r="BA174" s="39" t="s">
        <v>1906</v>
      </c>
      <c r="BB174" s="39" t="s">
        <v>1389</v>
      </c>
      <c r="BC174" s="39" t="s">
        <v>1937</v>
      </c>
      <c r="BD174" s="39" t="b">
        <v>1</v>
      </c>
      <c r="BE174" s="39" t="b">
        <v>1</v>
      </c>
      <c r="BF174" s="39" t="s">
        <v>1390</v>
      </c>
      <c r="BG174" s="39" t="s">
        <v>1391</v>
      </c>
      <c r="BH174" s="39" t="s">
        <v>2358</v>
      </c>
      <c r="BI174" s="39" t="s">
        <v>2359</v>
      </c>
      <c r="BJ174" s="39" t="b">
        <v>1</v>
      </c>
      <c r="BK174" s="39" t="b">
        <v>1</v>
      </c>
      <c r="BN174" s="39">
        <v>0</v>
      </c>
      <c r="BO174" s="39" t="s">
        <v>2791</v>
      </c>
      <c r="BP174" s="39" t="s">
        <v>2808</v>
      </c>
    </row>
    <row r="175" spans="1:68">
      <c r="A175" s="39" t="s">
        <v>20</v>
      </c>
      <c r="B175" s="39" t="s">
        <v>21</v>
      </c>
      <c r="C175" s="39" t="s">
        <v>805</v>
      </c>
      <c r="D175" s="39" t="s">
        <v>1386</v>
      </c>
      <c r="E175" s="39" t="s">
        <v>1387</v>
      </c>
      <c r="F175" s="39" t="s">
        <v>1388</v>
      </c>
      <c r="G175" s="39" t="s">
        <v>1389</v>
      </c>
      <c r="H175" s="39" t="s">
        <v>165</v>
      </c>
      <c r="I175" s="39" t="b">
        <v>0</v>
      </c>
      <c r="J175" s="39" t="s">
        <v>165</v>
      </c>
      <c r="K175" s="39" t="b">
        <v>0</v>
      </c>
      <c r="L175" s="39" t="s">
        <v>1396</v>
      </c>
      <c r="M175" s="39" t="s">
        <v>1397</v>
      </c>
      <c r="N175" s="39" t="s">
        <v>2508</v>
      </c>
      <c r="P175" s="39" t="s">
        <v>2508</v>
      </c>
      <c r="R175" s="39" t="s">
        <v>1389</v>
      </c>
      <c r="S175" s="39" t="b">
        <f t="shared" si="4"/>
        <v>1</v>
      </c>
      <c r="T175" s="39" t="s">
        <v>1388</v>
      </c>
      <c r="U175" s="39" t="b">
        <f t="shared" si="5"/>
        <v>1</v>
      </c>
      <c r="V175" s="39" t="s">
        <v>2564</v>
      </c>
      <c r="W175" s="39" t="s">
        <v>2564</v>
      </c>
      <c r="X175" s="83" t="s">
        <v>1396</v>
      </c>
      <c r="Y175" s="84" t="s">
        <v>1397</v>
      </c>
      <c r="Z175" s="83" t="s">
        <v>2508</v>
      </c>
      <c r="AA175" s="84" t="s">
        <v>2508</v>
      </c>
      <c r="AB175" s="108"/>
      <c r="AC175" s="107"/>
      <c r="AD175" s="84"/>
      <c r="AE175" s="83"/>
      <c r="AF175" s="84"/>
      <c r="AG175" s="83"/>
      <c r="AH175" s="84"/>
      <c r="AI175" s="39" t="s">
        <v>88</v>
      </c>
      <c r="AJ175" s="39" t="s">
        <v>45</v>
      </c>
      <c r="AK175" s="39" t="s">
        <v>1398</v>
      </c>
      <c r="AM175" s="39" t="s">
        <v>1398</v>
      </c>
      <c r="AN175" s="39" t="s">
        <v>1398</v>
      </c>
      <c r="AP175" s="39" t="s">
        <v>1399</v>
      </c>
      <c r="AQ175" s="39" t="s">
        <v>1400</v>
      </c>
      <c r="AR175" s="39" t="s">
        <v>68</v>
      </c>
      <c r="AU175" s="44">
        <v>628567330339</v>
      </c>
      <c r="AX175" s="39" t="s">
        <v>1401</v>
      </c>
      <c r="AZ175" s="39" t="s">
        <v>1388</v>
      </c>
      <c r="BA175" s="39" t="s">
        <v>1906</v>
      </c>
      <c r="BB175" s="39" t="s">
        <v>1389</v>
      </c>
      <c r="BC175" s="39" t="s">
        <v>1937</v>
      </c>
      <c r="BD175" s="39" t="b">
        <v>1</v>
      </c>
      <c r="BE175" s="39" t="b">
        <v>1</v>
      </c>
      <c r="BF175" s="39" t="s">
        <v>1396</v>
      </c>
      <c r="BG175" s="39" t="s">
        <v>1397</v>
      </c>
      <c r="BH175" s="39" t="s">
        <v>2360</v>
      </c>
      <c r="BI175" s="39" t="s">
        <v>2361</v>
      </c>
      <c r="BJ175" s="39" t="b">
        <v>1</v>
      </c>
      <c r="BK175" s="39" t="b">
        <v>1</v>
      </c>
      <c r="BN175" s="39">
        <v>0</v>
      </c>
      <c r="BO175" s="39" t="s">
        <v>2791</v>
      </c>
      <c r="BP175" s="39" t="s">
        <v>2808</v>
      </c>
    </row>
    <row r="176" spans="1:68">
      <c r="A176" s="39" t="s">
        <v>20</v>
      </c>
      <c r="B176" s="39" t="s">
        <v>21</v>
      </c>
      <c r="C176" s="39" t="s">
        <v>805</v>
      </c>
      <c r="D176" s="39" t="s">
        <v>1386</v>
      </c>
      <c r="E176" s="39" t="s">
        <v>1387</v>
      </c>
      <c r="F176" s="39" t="s">
        <v>1388</v>
      </c>
      <c r="G176" s="39" t="s">
        <v>1389</v>
      </c>
      <c r="H176" s="39" t="s">
        <v>165</v>
      </c>
      <c r="I176" s="39" t="b">
        <v>0</v>
      </c>
      <c r="J176" s="39" t="s">
        <v>165</v>
      </c>
      <c r="K176" s="39" t="b">
        <v>0</v>
      </c>
      <c r="L176" s="39" t="s">
        <v>1402</v>
      </c>
      <c r="M176" s="39" t="s">
        <v>1403</v>
      </c>
      <c r="N176" s="39" t="s">
        <v>2508</v>
      </c>
      <c r="P176" s="39" t="s">
        <v>2508</v>
      </c>
      <c r="R176" s="39" t="s">
        <v>1389</v>
      </c>
      <c r="S176" s="39" t="b">
        <f t="shared" si="4"/>
        <v>1</v>
      </c>
      <c r="T176" s="39" t="s">
        <v>1388</v>
      </c>
      <c r="U176" s="39" t="b">
        <f t="shared" si="5"/>
        <v>1</v>
      </c>
      <c r="V176" s="39" t="s">
        <v>2564</v>
      </c>
      <c r="W176" s="39" t="s">
        <v>2564</v>
      </c>
      <c r="X176" s="83" t="s">
        <v>1402</v>
      </c>
      <c r="Y176" s="84" t="s">
        <v>1403</v>
      </c>
      <c r="Z176" s="83" t="s">
        <v>2508</v>
      </c>
      <c r="AA176" s="84" t="s">
        <v>2508</v>
      </c>
      <c r="AB176" s="108"/>
      <c r="AC176" s="107"/>
      <c r="AD176" s="84"/>
      <c r="AE176" s="83"/>
      <c r="AF176" s="84"/>
      <c r="AG176" s="83"/>
      <c r="AH176" s="84"/>
      <c r="AI176" s="39" t="s">
        <v>88</v>
      </c>
      <c r="AJ176" s="39" t="s">
        <v>45</v>
      </c>
      <c r="AK176" s="39" t="s">
        <v>1404</v>
      </c>
      <c r="AM176" s="39" t="s">
        <v>1404</v>
      </c>
      <c r="AN176" s="39" t="s">
        <v>1404</v>
      </c>
      <c r="AP176" s="39" t="s">
        <v>1405</v>
      </c>
      <c r="AQ176" s="39" t="s">
        <v>1406</v>
      </c>
      <c r="AR176" s="39" t="s">
        <v>68</v>
      </c>
      <c r="AU176" s="44">
        <v>628561601601</v>
      </c>
      <c r="AX176" s="39" t="s">
        <v>1407</v>
      </c>
      <c r="AZ176" s="39" t="s">
        <v>1388</v>
      </c>
      <c r="BA176" s="39" t="s">
        <v>1906</v>
      </c>
      <c r="BB176" s="39" t="s">
        <v>1389</v>
      </c>
      <c r="BC176" s="39" t="s">
        <v>1937</v>
      </c>
      <c r="BD176" s="39" t="b">
        <v>1</v>
      </c>
      <c r="BE176" s="39" t="b">
        <v>1</v>
      </c>
      <c r="BF176" s="39" t="s">
        <v>1402</v>
      </c>
      <c r="BG176" s="39" t="s">
        <v>1403</v>
      </c>
      <c r="BH176" s="39" t="s">
        <v>2362</v>
      </c>
      <c r="BI176" s="39" t="s">
        <v>2363</v>
      </c>
      <c r="BJ176" s="39" t="b">
        <v>1</v>
      </c>
      <c r="BK176" s="39" t="b">
        <v>1</v>
      </c>
      <c r="BN176" s="39">
        <v>0</v>
      </c>
      <c r="BO176" s="39" t="s">
        <v>2791</v>
      </c>
      <c r="BP176" s="39" t="s">
        <v>2808</v>
      </c>
    </row>
    <row r="177" spans="1:68">
      <c r="A177" s="39" t="s">
        <v>20</v>
      </c>
      <c r="B177" s="39" t="s">
        <v>21</v>
      </c>
      <c r="C177" s="39" t="s">
        <v>805</v>
      </c>
      <c r="D177" s="39" t="s">
        <v>1386</v>
      </c>
      <c r="E177" s="39" t="s">
        <v>1387</v>
      </c>
      <c r="F177" s="39" t="s">
        <v>1388</v>
      </c>
      <c r="G177" s="39" t="s">
        <v>1389</v>
      </c>
      <c r="H177" s="39" t="s">
        <v>165</v>
      </c>
      <c r="I177" s="39" t="b">
        <v>0</v>
      </c>
      <c r="J177" s="39" t="s">
        <v>165</v>
      </c>
      <c r="K177" s="39" t="b">
        <v>0</v>
      </c>
      <c r="L177" s="39" t="s">
        <v>1408</v>
      </c>
      <c r="M177" s="39" t="s">
        <v>1409</v>
      </c>
      <c r="N177" s="39" t="s">
        <v>2508</v>
      </c>
      <c r="P177" s="39" t="s">
        <v>2508</v>
      </c>
      <c r="R177" s="39" t="s">
        <v>1389</v>
      </c>
      <c r="S177" s="39" t="b">
        <f t="shared" si="4"/>
        <v>1</v>
      </c>
      <c r="T177" s="39" t="s">
        <v>1388</v>
      </c>
      <c r="U177" s="39" t="b">
        <f t="shared" si="5"/>
        <v>1</v>
      </c>
      <c r="V177" s="39" t="s">
        <v>2564</v>
      </c>
      <c r="W177" s="39" t="s">
        <v>2564</v>
      </c>
      <c r="X177" s="83" t="s">
        <v>2580</v>
      </c>
      <c r="Y177" s="84" t="s">
        <v>2603</v>
      </c>
      <c r="Z177" s="83" t="s">
        <v>2508</v>
      </c>
      <c r="AA177" s="84" t="s">
        <v>2508</v>
      </c>
      <c r="AB177" s="108"/>
      <c r="AC177" s="107"/>
      <c r="AD177" s="84"/>
      <c r="AE177" s="83" t="s">
        <v>1408</v>
      </c>
      <c r="AF177" s="84" t="s">
        <v>1409</v>
      </c>
      <c r="AG177" s="83" t="s">
        <v>2508</v>
      </c>
      <c r="AH177" s="84" t="s">
        <v>2508</v>
      </c>
      <c r="AI177" s="39" t="s">
        <v>88</v>
      </c>
      <c r="AJ177" s="39" t="s">
        <v>45</v>
      </c>
      <c r="AK177" s="39" t="s">
        <v>1410</v>
      </c>
      <c r="AM177" s="39" t="s">
        <v>1410</v>
      </c>
      <c r="AN177" s="39" t="s">
        <v>1410</v>
      </c>
      <c r="AP177" s="39" t="s">
        <v>1411</v>
      </c>
      <c r="AQ177" s="39" t="s">
        <v>1412</v>
      </c>
      <c r="AR177" s="39" t="s">
        <v>68</v>
      </c>
      <c r="AU177" s="44">
        <v>6285772096969</v>
      </c>
      <c r="AX177" s="39" t="s">
        <v>1413</v>
      </c>
      <c r="AZ177" s="39" t="s">
        <v>1388</v>
      </c>
      <c r="BA177" s="39" t="s">
        <v>1906</v>
      </c>
      <c r="BB177" s="39" t="s">
        <v>1389</v>
      </c>
      <c r="BC177" s="39" t="s">
        <v>1937</v>
      </c>
      <c r="BD177" s="39" t="b">
        <v>1</v>
      </c>
      <c r="BE177" s="39" t="b">
        <v>1</v>
      </c>
      <c r="BF177" s="39" t="s">
        <v>1408</v>
      </c>
      <c r="BG177" s="39" t="s">
        <v>1409</v>
      </c>
      <c r="BH177" s="39" t="s">
        <v>2364</v>
      </c>
      <c r="BI177" s="39" t="s">
        <v>2365</v>
      </c>
      <c r="BJ177" s="39" t="b">
        <v>1</v>
      </c>
      <c r="BK177" s="39" t="b">
        <v>1</v>
      </c>
      <c r="BN177" s="39">
        <v>0</v>
      </c>
      <c r="BO177" s="39" t="s">
        <v>2791</v>
      </c>
      <c r="BP177" s="39" t="s">
        <v>2808</v>
      </c>
    </row>
    <row r="178" spans="1:68">
      <c r="A178" s="39" t="s">
        <v>20</v>
      </c>
      <c r="B178" s="39" t="s">
        <v>21</v>
      </c>
      <c r="C178" s="39" t="s">
        <v>2751</v>
      </c>
      <c r="D178" s="39" t="s">
        <v>641</v>
      </c>
      <c r="E178" s="39" t="s">
        <v>642</v>
      </c>
      <c r="F178" s="39" t="s">
        <v>643</v>
      </c>
      <c r="G178" s="39" t="s">
        <v>644</v>
      </c>
      <c r="H178" s="39" t="s">
        <v>635</v>
      </c>
      <c r="I178" s="39" t="b">
        <v>0</v>
      </c>
      <c r="J178" s="39" t="s">
        <v>635</v>
      </c>
      <c r="K178" s="39" t="b">
        <v>0</v>
      </c>
      <c r="L178" s="39" t="s">
        <v>645</v>
      </c>
      <c r="M178" s="39" t="s">
        <v>646</v>
      </c>
      <c r="N178" s="39" t="s">
        <v>2508</v>
      </c>
      <c r="P178" s="39" t="s">
        <v>2508</v>
      </c>
      <c r="R178" s="39" t="s">
        <v>644</v>
      </c>
      <c r="S178" s="39" t="b">
        <f t="shared" si="4"/>
        <v>1</v>
      </c>
      <c r="T178" s="39" t="s">
        <v>643</v>
      </c>
      <c r="U178" s="39" t="b">
        <f t="shared" si="5"/>
        <v>1</v>
      </c>
      <c r="V178" s="39" t="s">
        <v>2564</v>
      </c>
      <c r="W178" s="39" t="s">
        <v>2564</v>
      </c>
      <c r="X178" s="83" t="s">
        <v>645</v>
      </c>
      <c r="Y178" s="84" t="s">
        <v>646</v>
      </c>
      <c r="Z178" s="83" t="s">
        <v>2508</v>
      </c>
      <c r="AA178" s="84" t="s">
        <v>2508</v>
      </c>
      <c r="AB178" s="108"/>
      <c r="AC178" s="107"/>
      <c r="AD178" s="84"/>
      <c r="AE178" s="83"/>
      <c r="AF178" s="84"/>
      <c r="AG178" s="83"/>
      <c r="AH178" s="84"/>
      <c r="AI178" s="39" t="s">
        <v>88</v>
      </c>
      <c r="AJ178" s="39" t="s">
        <v>45</v>
      </c>
      <c r="AK178" s="39" t="s">
        <v>647</v>
      </c>
      <c r="AM178" s="39" t="s">
        <v>647</v>
      </c>
      <c r="AN178" s="39" t="s">
        <v>648</v>
      </c>
      <c r="AO178" s="39" t="b">
        <v>0</v>
      </c>
      <c r="AP178" s="39" t="s">
        <v>649</v>
      </c>
      <c r="AQ178" s="39" t="s">
        <v>650</v>
      </c>
      <c r="AR178" s="39" t="s">
        <v>310</v>
      </c>
      <c r="AS178" s="39" t="s">
        <v>32</v>
      </c>
      <c r="AU178" s="44">
        <v>62857744182397</v>
      </c>
      <c r="AV178" s="39" t="s">
        <v>651</v>
      </c>
      <c r="AW178" s="39" t="s">
        <v>312</v>
      </c>
      <c r="AX178" s="39" t="s">
        <v>652</v>
      </c>
      <c r="AY178" s="39" t="s">
        <v>373</v>
      </c>
      <c r="AZ178" s="39" t="s">
        <v>643</v>
      </c>
      <c r="BA178" s="39" t="s">
        <v>1908</v>
      </c>
      <c r="BB178" s="39" t="s">
        <v>644</v>
      </c>
      <c r="BC178" s="39" t="s">
        <v>1928</v>
      </c>
      <c r="BD178" s="39" t="b">
        <v>1</v>
      </c>
      <c r="BE178" s="39" t="b">
        <v>1</v>
      </c>
      <c r="BF178" s="39" t="s">
        <v>645</v>
      </c>
      <c r="BG178" s="39" t="s">
        <v>646</v>
      </c>
      <c r="BH178" s="39" t="s">
        <v>1964</v>
      </c>
      <c r="BI178" s="39" t="s">
        <v>1965</v>
      </c>
      <c r="BJ178" s="39" t="b">
        <v>1</v>
      </c>
      <c r="BK178" s="39" t="b">
        <v>1</v>
      </c>
      <c r="BN178" s="39">
        <v>0</v>
      </c>
      <c r="BO178" s="39" t="s">
        <v>2792</v>
      </c>
      <c r="BP178" s="39" t="s">
        <v>2809</v>
      </c>
    </row>
    <row r="179" spans="1:68">
      <c r="A179" s="39" t="s">
        <v>20</v>
      </c>
      <c r="B179" s="39" t="s">
        <v>21</v>
      </c>
      <c r="C179" s="39" t="s">
        <v>2751</v>
      </c>
      <c r="D179" s="39" t="s">
        <v>641</v>
      </c>
      <c r="E179" s="39" t="s">
        <v>642</v>
      </c>
      <c r="F179" s="39" t="s">
        <v>643</v>
      </c>
      <c r="G179" s="39" t="s">
        <v>644</v>
      </c>
      <c r="H179" s="39" t="s">
        <v>635</v>
      </c>
      <c r="I179" s="39" t="b">
        <v>0</v>
      </c>
      <c r="J179" s="39" t="s">
        <v>635</v>
      </c>
      <c r="K179" s="39" t="b">
        <v>0</v>
      </c>
      <c r="L179" s="39" t="s">
        <v>653</v>
      </c>
      <c r="M179" s="39" t="s">
        <v>654</v>
      </c>
      <c r="N179" s="39" t="s">
        <v>2508</v>
      </c>
      <c r="P179" s="39" t="s">
        <v>2508</v>
      </c>
      <c r="R179" s="39" t="s">
        <v>644</v>
      </c>
      <c r="S179" s="39" t="b">
        <f t="shared" si="4"/>
        <v>1</v>
      </c>
      <c r="T179" s="39" t="s">
        <v>643</v>
      </c>
      <c r="U179" s="39" t="b">
        <f t="shared" si="5"/>
        <v>1</v>
      </c>
      <c r="V179" s="39" t="s">
        <v>2564</v>
      </c>
      <c r="W179" s="39" t="s">
        <v>2564</v>
      </c>
      <c r="X179" s="83" t="s">
        <v>653</v>
      </c>
      <c r="Y179" s="84" t="s">
        <v>654</v>
      </c>
      <c r="Z179" s="83" t="s">
        <v>2508</v>
      </c>
      <c r="AA179" s="84" t="s">
        <v>2508</v>
      </c>
      <c r="AB179" s="108"/>
      <c r="AC179" s="107"/>
      <c r="AD179" s="84"/>
      <c r="AE179" s="83"/>
      <c r="AF179" s="84"/>
      <c r="AG179" s="83"/>
      <c r="AH179" s="84"/>
      <c r="AI179" s="39" t="s">
        <v>88</v>
      </c>
      <c r="AJ179" s="39" t="s">
        <v>45</v>
      </c>
      <c r="AK179" s="39" t="s">
        <v>655</v>
      </c>
      <c r="AM179" s="39" t="s">
        <v>655</v>
      </c>
      <c r="AN179" s="39" t="s">
        <v>656</v>
      </c>
      <c r="AO179" s="39" t="b">
        <v>0</v>
      </c>
      <c r="AP179" s="39" t="s">
        <v>657</v>
      </c>
      <c r="AQ179" s="39" t="s">
        <v>658</v>
      </c>
      <c r="AR179" s="39" t="s">
        <v>310</v>
      </c>
      <c r="AS179" s="39" t="s">
        <v>32</v>
      </c>
      <c r="AU179" s="44">
        <v>6285694188616</v>
      </c>
      <c r="AV179" s="39" t="s">
        <v>659</v>
      </c>
      <c r="AW179" s="39" t="s">
        <v>312</v>
      </c>
      <c r="AX179" s="39" t="s">
        <v>660</v>
      </c>
      <c r="AY179" s="39" t="s">
        <v>373</v>
      </c>
      <c r="AZ179" s="39" t="s">
        <v>643</v>
      </c>
      <c r="BA179" s="39" t="s">
        <v>1908</v>
      </c>
      <c r="BB179" s="39" t="s">
        <v>644</v>
      </c>
      <c r="BC179" s="39" t="s">
        <v>1928</v>
      </c>
      <c r="BD179" s="39" t="b">
        <v>1</v>
      </c>
      <c r="BE179" s="39" t="b">
        <v>1</v>
      </c>
      <c r="BF179" s="39" t="s">
        <v>653</v>
      </c>
      <c r="BG179" s="39" t="s">
        <v>654</v>
      </c>
      <c r="BH179" s="39" t="s">
        <v>1966</v>
      </c>
      <c r="BI179" s="39" t="s">
        <v>1967</v>
      </c>
      <c r="BJ179" s="39" t="b">
        <v>1</v>
      </c>
      <c r="BK179" s="39" t="b">
        <v>1</v>
      </c>
      <c r="BN179" s="39">
        <v>0</v>
      </c>
      <c r="BO179" s="39" t="s">
        <v>2792</v>
      </c>
      <c r="BP179" s="39" t="s">
        <v>2809</v>
      </c>
    </row>
    <row r="180" spans="1:68">
      <c r="A180" s="39" t="s">
        <v>20</v>
      </c>
      <c r="B180" s="39" t="s">
        <v>21</v>
      </c>
      <c r="C180" s="39" t="s">
        <v>2751</v>
      </c>
      <c r="D180" s="39" t="s">
        <v>641</v>
      </c>
      <c r="E180" s="39" t="s">
        <v>642</v>
      </c>
      <c r="F180" s="39" t="s">
        <v>643</v>
      </c>
      <c r="G180" s="39" t="s">
        <v>644</v>
      </c>
      <c r="H180" s="39" t="s">
        <v>635</v>
      </c>
      <c r="I180" s="39" t="b">
        <v>0</v>
      </c>
      <c r="J180" s="39" t="s">
        <v>635</v>
      </c>
      <c r="K180" s="39" t="b">
        <v>0</v>
      </c>
      <c r="L180" s="39" t="s">
        <v>661</v>
      </c>
      <c r="M180" s="39" t="s">
        <v>662</v>
      </c>
      <c r="N180" s="39" t="s">
        <v>2508</v>
      </c>
      <c r="P180" s="39" t="s">
        <v>2508</v>
      </c>
      <c r="R180" s="39" t="s">
        <v>644</v>
      </c>
      <c r="S180" s="39" t="b">
        <f t="shared" si="4"/>
        <v>1</v>
      </c>
      <c r="T180" s="39" t="s">
        <v>643</v>
      </c>
      <c r="U180" s="39" t="b">
        <f t="shared" si="5"/>
        <v>1</v>
      </c>
      <c r="V180" s="39" t="s">
        <v>2564</v>
      </c>
      <c r="W180" s="39" t="s">
        <v>2564</v>
      </c>
      <c r="X180" s="83" t="s">
        <v>661</v>
      </c>
      <c r="Y180" s="84" t="s">
        <v>662</v>
      </c>
      <c r="Z180" s="83" t="s">
        <v>2508</v>
      </c>
      <c r="AA180" s="84" t="s">
        <v>2508</v>
      </c>
      <c r="AB180" s="108"/>
      <c r="AC180" s="107"/>
      <c r="AD180" s="84"/>
      <c r="AE180" s="83"/>
      <c r="AF180" s="84"/>
      <c r="AG180" s="83"/>
      <c r="AH180" s="84"/>
      <c r="AI180" s="39" t="s">
        <v>88</v>
      </c>
      <c r="AJ180" s="39" t="s">
        <v>45</v>
      </c>
      <c r="AK180" s="39" t="s">
        <v>663</v>
      </c>
      <c r="AM180" s="39" t="s">
        <v>663</v>
      </c>
      <c r="AN180" s="39" t="s">
        <v>664</v>
      </c>
      <c r="AO180" s="39" t="b">
        <v>0</v>
      </c>
      <c r="AP180" s="39" t="s">
        <v>665</v>
      </c>
      <c r="AQ180" s="39" t="s">
        <v>666</v>
      </c>
      <c r="AR180" s="39" t="s">
        <v>310</v>
      </c>
      <c r="AS180" s="39" t="s">
        <v>32</v>
      </c>
      <c r="AU180" s="44">
        <v>62856926204967</v>
      </c>
      <c r="AV180" s="39" t="s">
        <v>667</v>
      </c>
      <c r="AW180" s="39" t="s">
        <v>312</v>
      </c>
      <c r="AX180" s="39" t="s">
        <v>668</v>
      </c>
      <c r="AY180" s="39" t="s">
        <v>373</v>
      </c>
      <c r="AZ180" s="39" t="s">
        <v>643</v>
      </c>
      <c r="BA180" s="39" t="s">
        <v>1908</v>
      </c>
      <c r="BB180" s="39" t="s">
        <v>644</v>
      </c>
      <c r="BC180" s="39" t="s">
        <v>1928</v>
      </c>
      <c r="BD180" s="39" t="b">
        <v>1</v>
      </c>
      <c r="BE180" s="39" t="b">
        <v>1</v>
      </c>
      <c r="BF180" s="39" t="s">
        <v>661</v>
      </c>
      <c r="BG180" s="39" t="s">
        <v>662</v>
      </c>
      <c r="BH180" s="39" t="s">
        <v>1968</v>
      </c>
      <c r="BI180" s="39" t="s">
        <v>1969</v>
      </c>
      <c r="BJ180" s="39" t="b">
        <v>1</v>
      </c>
      <c r="BK180" s="39" t="b">
        <v>1</v>
      </c>
      <c r="BN180" s="39">
        <v>0</v>
      </c>
      <c r="BO180" s="39" t="s">
        <v>2792</v>
      </c>
      <c r="BP180" s="39" t="s">
        <v>2809</v>
      </c>
    </row>
    <row r="181" spans="1:68">
      <c r="A181" s="39" t="s">
        <v>20</v>
      </c>
      <c r="B181" s="39" t="s">
        <v>21</v>
      </c>
      <c r="C181" s="39" t="s">
        <v>2751</v>
      </c>
      <c r="D181" s="39" t="s">
        <v>641</v>
      </c>
      <c r="E181" s="39" t="s">
        <v>642</v>
      </c>
      <c r="F181" s="39" t="s">
        <v>643</v>
      </c>
      <c r="G181" s="39" t="s">
        <v>644</v>
      </c>
      <c r="H181" s="39" t="s">
        <v>635</v>
      </c>
      <c r="I181" s="39" t="b">
        <v>0</v>
      </c>
      <c r="J181" s="39" t="s">
        <v>635</v>
      </c>
      <c r="K181" s="39" t="b">
        <v>0</v>
      </c>
      <c r="L181" s="39" t="s">
        <v>1605</v>
      </c>
      <c r="M181" s="39" t="s">
        <v>1604</v>
      </c>
      <c r="N181" s="39" t="s">
        <v>2508</v>
      </c>
      <c r="P181" s="39" t="s">
        <v>2543</v>
      </c>
      <c r="R181" s="39" t="s">
        <v>634</v>
      </c>
      <c r="S181" s="39" t="b">
        <f t="shared" si="4"/>
        <v>0</v>
      </c>
      <c r="T181" s="39" t="s">
        <v>643</v>
      </c>
      <c r="U181" s="39" t="b">
        <f t="shared" si="5"/>
        <v>1</v>
      </c>
      <c r="V181" s="39" t="s">
        <v>2564</v>
      </c>
      <c r="W181" s="39" t="s">
        <v>2561</v>
      </c>
      <c r="X181" s="83" t="s">
        <v>1605</v>
      </c>
      <c r="Y181" s="84" t="s">
        <v>1604</v>
      </c>
      <c r="Z181" s="83" t="s">
        <v>2508</v>
      </c>
      <c r="AA181" s="84" t="s">
        <v>2543</v>
      </c>
      <c r="AB181" s="108"/>
      <c r="AC181" s="107"/>
      <c r="AD181" s="84"/>
      <c r="AE181" s="83"/>
      <c r="AF181" s="84"/>
      <c r="AG181" s="83"/>
      <c r="AH181" s="84"/>
      <c r="AI181" s="39" t="s">
        <v>88</v>
      </c>
      <c r="AJ181" s="39" t="s">
        <v>45</v>
      </c>
      <c r="AK181" s="39" t="s">
        <v>1606</v>
      </c>
      <c r="AM181" s="39" t="s">
        <v>1606</v>
      </c>
      <c r="AN181" s="39" t="s">
        <v>1606</v>
      </c>
      <c r="AP181" s="39" t="s">
        <v>1607</v>
      </c>
      <c r="AQ181" s="39" t="s">
        <v>1608</v>
      </c>
      <c r="AR181" s="39" t="s">
        <v>68</v>
      </c>
      <c r="AU181" s="44">
        <v>62895425330105</v>
      </c>
      <c r="AX181" s="39" t="s">
        <v>1609</v>
      </c>
      <c r="AZ181" s="39" t="s">
        <v>643</v>
      </c>
      <c r="BA181" s="39" t="s">
        <v>1908</v>
      </c>
      <c r="BB181" s="39" t="s">
        <v>644</v>
      </c>
      <c r="BC181" s="39" t="s">
        <v>1928</v>
      </c>
      <c r="BD181" s="39" t="b">
        <v>1</v>
      </c>
      <c r="BE181" s="39" t="b">
        <v>1</v>
      </c>
      <c r="BF181" s="39" t="s">
        <v>1605</v>
      </c>
      <c r="BG181" s="39" t="s">
        <v>1604</v>
      </c>
      <c r="BH181" s="39" t="s">
        <v>1978</v>
      </c>
      <c r="BI181" s="39" t="s">
        <v>1979</v>
      </c>
      <c r="BJ181" s="39" t="b">
        <v>1</v>
      </c>
      <c r="BK181" s="39" t="b">
        <v>1</v>
      </c>
      <c r="BN181" s="39" t="s">
        <v>2505</v>
      </c>
      <c r="BO181" s="39" t="s">
        <v>2792</v>
      </c>
      <c r="BP181" s="39" t="s">
        <v>2809</v>
      </c>
    </row>
    <row r="182" spans="1:68">
      <c r="A182" s="39" t="s">
        <v>20</v>
      </c>
      <c r="B182" s="39" t="s">
        <v>21</v>
      </c>
      <c r="C182" s="39" t="s">
        <v>2751</v>
      </c>
      <c r="D182" s="39" t="s">
        <v>641</v>
      </c>
      <c r="E182" s="39" t="s">
        <v>642</v>
      </c>
      <c r="F182" s="39" t="s">
        <v>643</v>
      </c>
      <c r="G182" s="39" t="s">
        <v>644</v>
      </c>
      <c r="H182" s="39" t="s">
        <v>635</v>
      </c>
      <c r="I182" s="39" t="b">
        <v>0</v>
      </c>
      <c r="J182" s="39" t="s">
        <v>635</v>
      </c>
      <c r="K182" s="39" t="b">
        <v>0</v>
      </c>
      <c r="L182" s="39" t="s">
        <v>1332</v>
      </c>
      <c r="M182" s="39" t="s">
        <v>1333</v>
      </c>
      <c r="N182" s="39" t="s">
        <v>2508</v>
      </c>
      <c r="R182" s="39" t="s">
        <v>644</v>
      </c>
      <c r="S182" s="39" t="b">
        <f t="shared" si="4"/>
        <v>1</v>
      </c>
      <c r="T182" s="39" t="s">
        <v>643</v>
      </c>
      <c r="U182" s="39" t="b">
        <f t="shared" si="5"/>
        <v>1</v>
      </c>
      <c r="V182" s="39" t="s">
        <v>2564</v>
      </c>
      <c r="W182" s="39" t="s">
        <v>2564</v>
      </c>
      <c r="X182" s="83" t="s">
        <v>1332</v>
      </c>
      <c r="Y182" s="84" t="s">
        <v>1333</v>
      </c>
      <c r="Z182" s="83" t="s">
        <v>2508</v>
      </c>
      <c r="AA182" s="84" t="s">
        <v>2508</v>
      </c>
      <c r="AB182" s="108"/>
      <c r="AC182" s="107"/>
      <c r="AD182" s="84"/>
      <c r="AE182" s="83"/>
      <c r="AF182" s="84"/>
      <c r="AG182" s="83"/>
      <c r="AH182" s="84"/>
      <c r="AI182" s="39" t="s">
        <v>88</v>
      </c>
      <c r="AJ182" s="39" t="s">
        <v>45</v>
      </c>
      <c r="AK182" s="39" t="s">
        <v>1334</v>
      </c>
      <c r="AM182" s="39" t="s">
        <v>1334</v>
      </c>
      <c r="AN182" s="39" t="s">
        <v>1335</v>
      </c>
      <c r="AO182" s="39" t="b">
        <v>0</v>
      </c>
      <c r="AP182" s="39" t="s">
        <v>1336</v>
      </c>
      <c r="AQ182" s="39" t="s">
        <v>1337</v>
      </c>
      <c r="AR182" s="39" t="s">
        <v>310</v>
      </c>
      <c r="AS182" s="39" t="s">
        <v>32</v>
      </c>
      <c r="AU182" s="44">
        <v>6285810446668</v>
      </c>
      <c r="AV182" s="39" t="s">
        <v>1338</v>
      </c>
      <c r="AX182" s="39" t="s">
        <v>1339</v>
      </c>
      <c r="AY182" s="39" t="s">
        <v>373</v>
      </c>
      <c r="AZ182" s="39" t="s">
        <v>643</v>
      </c>
      <c r="BA182" s="39" t="s">
        <v>1908</v>
      </c>
      <c r="BB182" s="39" t="s">
        <v>644</v>
      </c>
      <c r="BC182" s="39" t="s">
        <v>1928</v>
      </c>
      <c r="BD182" s="39" t="b">
        <v>1</v>
      </c>
      <c r="BE182" s="39" t="b">
        <v>1</v>
      </c>
      <c r="BF182" s="39" t="s">
        <v>1332</v>
      </c>
      <c r="BG182" s="39" t="s">
        <v>1333</v>
      </c>
      <c r="BH182" s="39" t="s">
        <v>1970</v>
      </c>
      <c r="BI182" s="39" t="s">
        <v>1971</v>
      </c>
      <c r="BJ182" s="39" t="b">
        <v>1</v>
      </c>
      <c r="BK182" s="39" t="b">
        <v>1</v>
      </c>
      <c r="BN182" s="39">
        <v>0</v>
      </c>
      <c r="BO182" s="39" t="s">
        <v>2792</v>
      </c>
      <c r="BP182" s="39" t="s">
        <v>2809</v>
      </c>
    </row>
    <row r="183" spans="1:68">
      <c r="A183" s="39" t="s">
        <v>20</v>
      </c>
      <c r="B183" s="39" t="s">
        <v>21</v>
      </c>
      <c r="C183" s="39" t="s">
        <v>2751</v>
      </c>
      <c r="D183" s="39" t="s">
        <v>641</v>
      </c>
      <c r="E183" s="39" t="s">
        <v>642</v>
      </c>
      <c r="F183" s="39" t="s">
        <v>643</v>
      </c>
      <c r="G183" s="39" t="s">
        <v>644</v>
      </c>
      <c r="H183" s="39" t="s">
        <v>635</v>
      </c>
      <c r="I183" s="39" t="b">
        <v>0</v>
      </c>
      <c r="J183" s="39" t="s">
        <v>635</v>
      </c>
      <c r="K183" s="39" t="b">
        <v>0</v>
      </c>
      <c r="L183" s="39" t="s">
        <v>1340</v>
      </c>
      <c r="M183" s="39" t="s">
        <v>1341</v>
      </c>
      <c r="N183" s="39" t="s">
        <v>2508</v>
      </c>
      <c r="R183" s="39" t="s">
        <v>644</v>
      </c>
      <c r="S183" s="39" t="b">
        <f t="shared" si="4"/>
        <v>1</v>
      </c>
      <c r="T183" s="39" t="s">
        <v>643</v>
      </c>
      <c r="U183" s="39" t="b">
        <f t="shared" si="5"/>
        <v>1</v>
      </c>
      <c r="V183" s="39" t="s">
        <v>2564</v>
      </c>
      <c r="W183" s="39" t="s">
        <v>2564</v>
      </c>
      <c r="X183" s="83" t="s">
        <v>1340</v>
      </c>
      <c r="Y183" s="84" t="s">
        <v>1341</v>
      </c>
      <c r="Z183" s="83" t="s">
        <v>2508</v>
      </c>
      <c r="AA183" s="84" t="s">
        <v>2508</v>
      </c>
      <c r="AB183" s="108"/>
      <c r="AC183" s="107"/>
      <c r="AD183" s="84"/>
      <c r="AE183" s="83"/>
      <c r="AF183" s="84"/>
      <c r="AG183" s="83"/>
      <c r="AH183" s="84"/>
      <c r="AI183" s="39" t="s">
        <v>88</v>
      </c>
      <c r="AJ183" s="39" t="s">
        <v>45</v>
      </c>
      <c r="AK183" s="39" t="s">
        <v>1342</v>
      </c>
      <c r="AM183" s="39" t="s">
        <v>1342</v>
      </c>
      <c r="AN183" s="39" t="s">
        <v>1343</v>
      </c>
      <c r="AO183" s="39" t="b">
        <v>0</v>
      </c>
      <c r="AP183" s="39" t="s">
        <v>1344</v>
      </c>
      <c r="AQ183" s="39" t="s">
        <v>1345</v>
      </c>
      <c r="AR183" s="39" t="s">
        <v>310</v>
      </c>
      <c r="AS183" s="39" t="s">
        <v>32</v>
      </c>
      <c r="AU183" s="44">
        <v>6285894090411</v>
      </c>
      <c r="AV183" s="39" t="s">
        <v>1346</v>
      </c>
      <c r="AX183" s="39" t="s">
        <v>1347</v>
      </c>
      <c r="AY183" s="39" t="s">
        <v>373</v>
      </c>
      <c r="AZ183" s="39" t="s">
        <v>643</v>
      </c>
      <c r="BA183" s="39" t="s">
        <v>1908</v>
      </c>
      <c r="BB183" s="39" t="s">
        <v>644</v>
      </c>
      <c r="BC183" s="39" t="s">
        <v>1928</v>
      </c>
      <c r="BD183" s="39" t="b">
        <v>1</v>
      </c>
      <c r="BE183" s="39" t="b">
        <v>1</v>
      </c>
      <c r="BF183" s="39" t="s">
        <v>1340</v>
      </c>
      <c r="BG183" s="39" t="s">
        <v>1341</v>
      </c>
      <c r="BH183" s="39" t="s">
        <v>1972</v>
      </c>
      <c r="BI183" s="39" t="s">
        <v>1973</v>
      </c>
      <c r="BJ183" s="39" t="b">
        <v>1</v>
      </c>
      <c r="BK183" s="39" t="b">
        <v>1</v>
      </c>
      <c r="BN183" s="39">
        <v>0</v>
      </c>
      <c r="BO183" s="39" t="s">
        <v>2792</v>
      </c>
      <c r="BP183" s="39" t="s">
        <v>2809</v>
      </c>
    </row>
    <row r="184" spans="1:68">
      <c r="A184" s="39" t="s">
        <v>20</v>
      </c>
      <c r="B184" s="39" t="s">
        <v>21</v>
      </c>
      <c r="C184" s="39" t="s">
        <v>2751</v>
      </c>
      <c r="D184" s="39" t="s">
        <v>641</v>
      </c>
      <c r="E184" s="39" t="s">
        <v>642</v>
      </c>
      <c r="F184" s="39" t="s">
        <v>643</v>
      </c>
      <c r="G184" s="39" t="s">
        <v>644</v>
      </c>
      <c r="H184" s="39" t="s">
        <v>635</v>
      </c>
      <c r="I184" s="39" t="b">
        <v>0</v>
      </c>
      <c r="J184" s="39" t="s">
        <v>635</v>
      </c>
      <c r="K184" s="39" t="b">
        <v>0</v>
      </c>
      <c r="L184" s="39" t="s">
        <v>1348</v>
      </c>
      <c r="M184" s="39" t="s">
        <v>1349</v>
      </c>
      <c r="N184" s="39" t="s">
        <v>2508</v>
      </c>
      <c r="R184" s="39" t="s">
        <v>644</v>
      </c>
      <c r="S184" s="39" t="b">
        <f t="shared" si="4"/>
        <v>1</v>
      </c>
      <c r="T184" s="39" t="s">
        <v>643</v>
      </c>
      <c r="U184" s="39" t="b">
        <f t="shared" si="5"/>
        <v>1</v>
      </c>
      <c r="V184" s="39" t="s">
        <v>2564</v>
      </c>
      <c r="W184" s="39" t="s">
        <v>2564</v>
      </c>
      <c r="X184" s="83" t="s">
        <v>1348</v>
      </c>
      <c r="Y184" s="84" t="s">
        <v>1349</v>
      </c>
      <c r="Z184" s="83" t="s">
        <v>2508</v>
      </c>
      <c r="AA184" s="84" t="s">
        <v>2508</v>
      </c>
      <c r="AB184" s="108"/>
      <c r="AC184" s="107"/>
      <c r="AD184" s="84"/>
      <c r="AE184" s="83"/>
      <c r="AF184" s="84"/>
      <c r="AG184" s="83"/>
      <c r="AH184" s="84"/>
      <c r="AI184" s="39" t="s">
        <v>88</v>
      </c>
      <c r="AJ184" s="39" t="s">
        <v>45</v>
      </c>
      <c r="AK184" s="39" t="s">
        <v>1350</v>
      </c>
      <c r="AM184" s="39" t="s">
        <v>1350</v>
      </c>
      <c r="AN184" s="39" t="s">
        <v>1350</v>
      </c>
      <c r="AP184" s="39" t="s">
        <v>1351</v>
      </c>
      <c r="AQ184" s="39" t="s">
        <v>1352</v>
      </c>
      <c r="AR184" s="39" t="s">
        <v>68</v>
      </c>
      <c r="AU184" s="44">
        <v>6285813307836</v>
      </c>
      <c r="AX184" s="39" t="s">
        <v>1353</v>
      </c>
      <c r="AZ184" s="39" t="s">
        <v>643</v>
      </c>
      <c r="BA184" s="39" t="s">
        <v>1908</v>
      </c>
      <c r="BB184" s="39" t="s">
        <v>644</v>
      </c>
      <c r="BC184" s="39" t="s">
        <v>1928</v>
      </c>
      <c r="BD184" s="39" t="b">
        <v>1</v>
      </c>
      <c r="BE184" s="39" t="b">
        <v>1</v>
      </c>
      <c r="BF184" s="39" t="s">
        <v>1348</v>
      </c>
      <c r="BG184" s="39" t="s">
        <v>1349</v>
      </c>
      <c r="BH184" s="39" t="s">
        <v>1974</v>
      </c>
      <c r="BI184" s="39" t="s">
        <v>1975</v>
      </c>
      <c r="BJ184" s="39" t="b">
        <v>1</v>
      </c>
      <c r="BK184" s="39" t="b">
        <v>1</v>
      </c>
      <c r="BN184" s="39">
        <v>0</v>
      </c>
      <c r="BO184" s="39" t="s">
        <v>2792</v>
      </c>
      <c r="BP184" s="39" t="s">
        <v>2809</v>
      </c>
    </row>
    <row r="185" spans="1:68">
      <c r="A185" s="39" t="s">
        <v>20</v>
      </c>
      <c r="B185" s="39" t="s">
        <v>21</v>
      </c>
      <c r="C185" s="39" t="s">
        <v>2751</v>
      </c>
      <c r="D185" s="39" t="s">
        <v>641</v>
      </c>
      <c r="E185" s="39" t="s">
        <v>642</v>
      </c>
      <c r="F185" s="39" t="s">
        <v>643</v>
      </c>
      <c r="G185" s="39" t="s">
        <v>644</v>
      </c>
      <c r="H185" s="39" t="s">
        <v>635</v>
      </c>
      <c r="I185" s="39" t="b">
        <v>0</v>
      </c>
      <c r="J185" s="39" t="s">
        <v>635</v>
      </c>
      <c r="K185" s="39" t="b">
        <v>0</v>
      </c>
      <c r="L185" s="39" t="s">
        <v>1354</v>
      </c>
      <c r="M185" s="39" t="s">
        <v>1355</v>
      </c>
      <c r="N185" s="39" t="s">
        <v>2508</v>
      </c>
      <c r="P185" s="39" t="s">
        <v>2508</v>
      </c>
      <c r="R185" s="39" t="s">
        <v>644</v>
      </c>
      <c r="S185" s="39" t="b">
        <f t="shared" si="4"/>
        <v>1</v>
      </c>
      <c r="T185" s="39" t="s">
        <v>643</v>
      </c>
      <c r="U185" s="39" t="b">
        <f t="shared" si="5"/>
        <v>1</v>
      </c>
      <c r="V185" s="39" t="s">
        <v>2564</v>
      </c>
      <c r="W185" s="39" t="s">
        <v>2564</v>
      </c>
      <c r="X185" s="83" t="s">
        <v>1354</v>
      </c>
      <c r="Y185" s="84" t="s">
        <v>1355</v>
      </c>
      <c r="Z185" s="83" t="s">
        <v>2508</v>
      </c>
      <c r="AA185" s="84" t="s">
        <v>2508</v>
      </c>
      <c r="AB185" s="108"/>
      <c r="AC185" s="107"/>
      <c r="AD185" s="84"/>
      <c r="AE185" s="83"/>
      <c r="AF185" s="84"/>
      <c r="AG185" s="83"/>
      <c r="AH185" s="84"/>
      <c r="AI185" s="39" t="s">
        <v>88</v>
      </c>
      <c r="AJ185" s="39" t="s">
        <v>45</v>
      </c>
      <c r="AK185" s="39" t="s">
        <v>1356</v>
      </c>
      <c r="AM185" s="39" t="s">
        <v>1356</v>
      </c>
      <c r="AN185" s="39" t="s">
        <v>1357</v>
      </c>
      <c r="AO185" s="39" t="b">
        <v>0</v>
      </c>
      <c r="AP185" s="39" t="s">
        <v>1358</v>
      </c>
      <c r="AQ185" s="39" t="s">
        <v>1359</v>
      </c>
      <c r="AR185" s="39" t="s">
        <v>310</v>
      </c>
      <c r="AS185" s="39" t="s">
        <v>32</v>
      </c>
      <c r="AU185" s="44">
        <v>6285813310570</v>
      </c>
      <c r="AV185" s="39" t="s">
        <v>1360</v>
      </c>
      <c r="AW185" s="39" t="s">
        <v>312</v>
      </c>
      <c r="AX185" s="39" t="s">
        <v>1361</v>
      </c>
      <c r="AY185" s="39" t="s">
        <v>373</v>
      </c>
      <c r="AZ185" s="39" t="s">
        <v>643</v>
      </c>
      <c r="BA185" s="39" t="s">
        <v>1908</v>
      </c>
      <c r="BB185" s="39" t="s">
        <v>644</v>
      </c>
      <c r="BC185" s="39" t="s">
        <v>1928</v>
      </c>
      <c r="BD185" s="39" t="b">
        <v>1</v>
      </c>
      <c r="BE185" s="39" t="b">
        <v>1</v>
      </c>
      <c r="BF185" s="39" t="s">
        <v>1354</v>
      </c>
      <c r="BG185" s="39" t="s">
        <v>1355</v>
      </c>
      <c r="BH185" s="39" t="s">
        <v>1976</v>
      </c>
      <c r="BI185" s="39" t="s">
        <v>1977</v>
      </c>
      <c r="BJ185" s="39" t="b">
        <v>1</v>
      </c>
      <c r="BK185" s="39" t="b">
        <v>1</v>
      </c>
      <c r="BN185" s="39">
        <v>0</v>
      </c>
      <c r="BO185" s="39" t="s">
        <v>2792</v>
      </c>
      <c r="BP185" s="39" t="s">
        <v>2809</v>
      </c>
    </row>
    <row r="186" spans="1:68">
      <c r="A186" s="39" t="s">
        <v>20</v>
      </c>
      <c r="B186" s="39" t="s">
        <v>21</v>
      </c>
      <c r="C186" s="39" t="s">
        <v>2751</v>
      </c>
      <c r="D186" s="39" t="s">
        <v>641</v>
      </c>
      <c r="E186" s="39" t="s">
        <v>642</v>
      </c>
      <c r="F186" s="39" t="s">
        <v>643</v>
      </c>
      <c r="G186" s="39" t="s">
        <v>644</v>
      </c>
      <c r="H186" s="39" t="s">
        <v>635</v>
      </c>
      <c r="I186" s="39" t="b">
        <f t="shared" ref="I186" si="6">H186=F186</f>
        <v>0</v>
      </c>
      <c r="J186" s="39" t="s">
        <v>635</v>
      </c>
      <c r="K186" s="39" t="b">
        <f t="shared" ref="K186" si="7">J186=G186</f>
        <v>0</v>
      </c>
      <c r="L186" t="s">
        <v>634</v>
      </c>
      <c r="M186" t="s">
        <v>914</v>
      </c>
      <c r="N186" s="39" t="s">
        <v>2511</v>
      </c>
      <c r="P186" s="39" t="s">
        <v>2510</v>
      </c>
      <c r="S186" s="39" t="b">
        <f t="shared" si="4"/>
        <v>0</v>
      </c>
      <c r="U186" s="39" t="b">
        <f t="shared" si="5"/>
        <v>0</v>
      </c>
      <c r="V186" s="39" t="s">
        <v>2562</v>
      </c>
      <c r="W186" s="39" t="s">
        <v>2562</v>
      </c>
      <c r="X186" s="83" t="s">
        <v>2611</v>
      </c>
      <c r="Y186" s="84" t="s">
        <v>2612</v>
      </c>
      <c r="Z186" s="83" t="s">
        <v>2509</v>
      </c>
      <c r="AA186" s="84" t="s">
        <v>2509</v>
      </c>
      <c r="AB186" s="108">
        <v>623180003051</v>
      </c>
      <c r="AC186" s="107"/>
      <c r="AD186" s="84"/>
      <c r="AE186" s="83"/>
      <c r="AF186" s="84"/>
      <c r="AG186" s="83"/>
      <c r="AH186" s="84"/>
      <c r="AI186" s="39" t="s">
        <v>88</v>
      </c>
      <c r="AJ186" s="39" t="str">
        <f>IF(LEN(AT186)&gt;4,"Ada","Tidak Ada")</f>
        <v>Tidak Ada</v>
      </c>
      <c r="AK186" s="39" t="s">
        <v>915</v>
      </c>
      <c r="AM186" s="39" t="s">
        <v>915</v>
      </c>
      <c r="AN186" s="39" t="s">
        <v>915</v>
      </c>
      <c r="AO186" s="39" t="b">
        <v>0</v>
      </c>
      <c r="AP186" s="39" t="s">
        <v>916</v>
      </c>
      <c r="AQ186" s="39" t="s">
        <v>917</v>
      </c>
      <c r="AR186" s="39" t="s">
        <v>310</v>
      </c>
      <c r="AS186" s="39" t="s">
        <v>32</v>
      </c>
      <c r="AU186" s="44">
        <v>0</v>
      </c>
      <c r="AV186" s="39" t="s">
        <v>918</v>
      </c>
      <c r="AW186" s="39" t="s">
        <v>312</v>
      </c>
      <c r="AX186" s="39" t="s">
        <v>919</v>
      </c>
      <c r="AY186" s="39" t="s">
        <v>609</v>
      </c>
      <c r="BO186" s="39" t="s">
        <v>2792</v>
      </c>
      <c r="BP186" s="39" t="s">
        <v>2809</v>
      </c>
    </row>
    <row r="187" spans="1:68">
      <c r="A187" s="39" t="s">
        <v>20</v>
      </c>
      <c r="B187" s="39" t="s">
        <v>21</v>
      </c>
      <c r="C187" s="39" t="s">
        <v>2751</v>
      </c>
      <c r="D187" s="39" t="s">
        <v>151</v>
      </c>
      <c r="E187" s="39" t="s">
        <v>932</v>
      </c>
      <c r="F187" s="39" t="s">
        <v>25</v>
      </c>
      <c r="G187" s="39" t="s">
        <v>26</v>
      </c>
      <c r="H187" s="39" t="s">
        <v>933</v>
      </c>
      <c r="I187" s="39" t="b">
        <v>0</v>
      </c>
      <c r="J187" s="39" t="s">
        <v>933</v>
      </c>
      <c r="K187" s="39" t="b">
        <v>0</v>
      </c>
      <c r="L187" s="39" t="s">
        <v>934</v>
      </c>
      <c r="M187" s="39" t="s">
        <v>935</v>
      </c>
      <c r="N187" s="39" t="s">
        <v>2508</v>
      </c>
      <c r="R187" s="39" t="s">
        <v>26</v>
      </c>
      <c r="S187" s="39" t="b">
        <f t="shared" si="4"/>
        <v>1</v>
      </c>
      <c r="T187" s="39" t="s">
        <v>25</v>
      </c>
      <c r="U187" s="39" t="b">
        <f t="shared" si="5"/>
        <v>1</v>
      </c>
      <c r="V187" s="39" t="s">
        <v>2564</v>
      </c>
      <c r="W187" s="39" t="s">
        <v>2564</v>
      </c>
      <c r="X187" s="83" t="s">
        <v>934</v>
      </c>
      <c r="Y187" s="84" t="s">
        <v>935</v>
      </c>
      <c r="Z187" s="83" t="s">
        <v>2508</v>
      </c>
      <c r="AA187" s="84" t="s">
        <v>2508</v>
      </c>
      <c r="AB187" s="108"/>
      <c r="AC187" s="107"/>
      <c r="AD187" s="84"/>
      <c r="AE187" s="83"/>
      <c r="AF187" s="84"/>
      <c r="AG187" s="83"/>
      <c r="AH187" s="84"/>
      <c r="AI187" s="39" t="s">
        <v>88</v>
      </c>
      <c r="AJ187" s="39" t="s">
        <v>45</v>
      </c>
      <c r="AK187" s="39" t="s">
        <v>936</v>
      </c>
      <c r="AM187" s="39" t="s">
        <v>936</v>
      </c>
      <c r="AN187" s="39" t="s">
        <v>936</v>
      </c>
      <c r="AO187" s="39" t="b">
        <v>0</v>
      </c>
      <c r="AP187" s="39" t="s">
        <v>937</v>
      </c>
      <c r="AQ187" s="39" t="s">
        <v>938</v>
      </c>
      <c r="AR187" s="39" t="s">
        <v>310</v>
      </c>
      <c r="AS187" s="39" t="s">
        <v>32</v>
      </c>
      <c r="AU187" s="44">
        <v>6285710632634</v>
      </c>
      <c r="AV187" s="39" t="s">
        <v>939</v>
      </c>
      <c r="AW187" s="39" t="s">
        <v>312</v>
      </c>
      <c r="AX187" s="39" t="s">
        <v>940</v>
      </c>
      <c r="AY187" s="39" t="s">
        <v>373</v>
      </c>
      <c r="AZ187" s="39" t="s">
        <v>25</v>
      </c>
      <c r="BA187" s="39" t="s">
        <v>933</v>
      </c>
      <c r="BB187" s="39" t="s">
        <v>26</v>
      </c>
      <c r="BC187" s="39" t="s">
        <v>1934</v>
      </c>
      <c r="BD187" s="39" t="b">
        <v>1</v>
      </c>
      <c r="BE187" s="39" t="b">
        <v>1</v>
      </c>
      <c r="BF187" s="39" t="s">
        <v>934</v>
      </c>
      <c r="BG187" s="39" t="s">
        <v>935</v>
      </c>
      <c r="BH187" s="39" t="s">
        <v>2226</v>
      </c>
      <c r="BI187" s="39" t="s">
        <v>2227</v>
      </c>
      <c r="BJ187" s="39" t="b">
        <v>1</v>
      </c>
      <c r="BK187" s="39" t="b">
        <v>1</v>
      </c>
      <c r="BN187" s="39">
        <v>0</v>
      </c>
      <c r="BO187" s="39" t="s">
        <v>2793</v>
      </c>
      <c r="BP187" s="39" t="s">
        <v>2809</v>
      </c>
    </row>
    <row r="188" spans="1:68">
      <c r="A188" s="39" t="s">
        <v>20</v>
      </c>
      <c r="B188" s="39" t="s">
        <v>21</v>
      </c>
      <c r="C188" s="39" t="s">
        <v>2751</v>
      </c>
      <c r="D188" s="39" t="s">
        <v>151</v>
      </c>
      <c r="E188" s="39" t="s">
        <v>152</v>
      </c>
      <c r="F188" s="39" t="s">
        <v>153</v>
      </c>
      <c r="G188" s="39" t="s">
        <v>154</v>
      </c>
      <c r="H188" s="39" t="s">
        <v>135</v>
      </c>
      <c r="I188" s="39" t="b">
        <v>0</v>
      </c>
      <c r="J188" s="39" t="s">
        <v>135</v>
      </c>
      <c r="K188" s="39" t="b">
        <v>0</v>
      </c>
      <c r="L188" s="39">
        <v>2613050983</v>
      </c>
      <c r="M188" s="39" t="s">
        <v>155</v>
      </c>
      <c r="N188" s="39" t="s">
        <v>2508</v>
      </c>
      <c r="R188" s="39" t="s">
        <v>154</v>
      </c>
      <c r="S188" s="39" t="b">
        <f t="shared" si="4"/>
        <v>1</v>
      </c>
      <c r="T188" s="39" t="s">
        <v>153</v>
      </c>
      <c r="U188" s="39" t="b">
        <f t="shared" si="5"/>
        <v>1</v>
      </c>
      <c r="V188" s="39" t="s">
        <v>2564</v>
      </c>
      <c r="W188" s="39" t="s">
        <v>2564</v>
      </c>
      <c r="X188" s="83">
        <v>2613050983</v>
      </c>
      <c r="Y188" s="84" t="s">
        <v>155</v>
      </c>
      <c r="Z188" s="83" t="s">
        <v>2508</v>
      </c>
      <c r="AA188" s="84" t="s">
        <v>2508</v>
      </c>
      <c r="AB188" s="108"/>
      <c r="AC188" s="107"/>
      <c r="AD188" s="84"/>
      <c r="AE188" s="83"/>
      <c r="AF188" s="84"/>
      <c r="AG188" s="83"/>
      <c r="AH188" s="84"/>
      <c r="AI188" s="39" t="s">
        <v>88</v>
      </c>
      <c r="AJ188" s="39" t="s">
        <v>45</v>
      </c>
      <c r="AK188" s="39" t="s">
        <v>156</v>
      </c>
      <c r="AM188" s="39" t="s">
        <v>156</v>
      </c>
      <c r="AN188" s="39" t="s">
        <v>156</v>
      </c>
      <c r="AP188" s="39" t="s">
        <v>157</v>
      </c>
      <c r="AQ188" s="39" t="s">
        <v>158</v>
      </c>
      <c r="AR188" s="39" t="s">
        <v>68</v>
      </c>
      <c r="AU188" s="44">
        <v>6285891943338</v>
      </c>
      <c r="AX188" s="39" t="s">
        <v>159</v>
      </c>
      <c r="AZ188" s="39" t="s">
        <v>153</v>
      </c>
      <c r="BA188" s="39" t="s">
        <v>1905</v>
      </c>
      <c r="BB188" s="39" t="s">
        <v>154</v>
      </c>
      <c r="BC188" s="39" t="s">
        <v>1917</v>
      </c>
      <c r="BD188" s="39" t="b">
        <v>1</v>
      </c>
      <c r="BE188" s="39" t="b">
        <v>1</v>
      </c>
      <c r="BF188" s="39">
        <v>2613050983</v>
      </c>
      <c r="BG188" s="39" t="s">
        <v>155</v>
      </c>
      <c r="BH188" s="39" t="s">
        <v>2024</v>
      </c>
      <c r="BI188" s="39" t="s">
        <v>2025</v>
      </c>
      <c r="BJ188" s="39" t="b">
        <v>1</v>
      </c>
      <c r="BK188" s="39" t="b">
        <v>1</v>
      </c>
      <c r="BN188" s="39">
        <v>0</v>
      </c>
      <c r="BO188" s="39" t="s">
        <v>2793</v>
      </c>
      <c r="BP188" s="39" t="s">
        <v>2809</v>
      </c>
    </row>
    <row r="189" spans="1:68">
      <c r="A189" s="39" t="s">
        <v>20</v>
      </c>
      <c r="B189" s="39" t="s">
        <v>21</v>
      </c>
      <c r="C189" s="39" t="s">
        <v>2751</v>
      </c>
      <c r="D189" s="39" t="s">
        <v>151</v>
      </c>
      <c r="E189" s="39" t="s">
        <v>152</v>
      </c>
      <c r="F189" s="39" t="s">
        <v>153</v>
      </c>
      <c r="G189" s="39" t="s">
        <v>154</v>
      </c>
      <c r="H189" s="39" t="s">
        <v>135</v>
      </c>
      <c r="I189" s="39" t="b">
        <v>0</v>
      </c>
      <c r="J189" s="39" t="s">
        <v>135</v>
      </c>
      <c r="K189" s="39" t="b">
        <v>0</v>
      </c>
      <c r="L189" s="39" t="s">
        <v>610</v>
      </c>
      <c r="M189" s="39" t="s">
        <v>611</v>
      </c>
      <c r="N189" s="39" t="s">
        <v>2508</v>
      </c>
      <c r="R189" s="39" t="s">
        <v>154</v>
      </c>
      <c r="S189" s="39" t="b">
        <f t="shared" si="4"/>
        <v>1</v>
      </c>
      <c r="T189" s="39" t="s">
        <v>153</v>
      </c>
      <c r="U189" s="39" t="b">
        <f t="shared" si="5"/>
        <v>1</v>
      </c>
      <c r="V189" s="39" t="s">
        <v>2564</v>
      </c>
      <c r="W189" s="39" t="s">
        <v>2564</v>
      </c>
      <c r="X189" s="83" t="s">
        <v>610</v>
      </c>
      <c r="Y189" s="84" t="s">
        <v>611</v>
      </c>
      <c r="Z189" s="83" t="s">
        <v>2508</v>
      </c>
      <c r="AA189" s="84" t="s">
        <v>2508</v>
      </c>
      <c r="AB189" s="108"/>
      <c r="AC189" s="107"/>
      <c r="AD189" s="84"/>
      <c r="AE189" s="83"/>
      <c r="AF189" s="84"/>
      <c r="AG189" s="83"/>
      <c r="AH189" s="84"/>
      <c r="AI189" s="39" t="s">
        <v>88</v>
      </c>
      <c r="AJ189" s="39" t="s">
        <v>45</v>
      </c>
      <c r="AK189" s="39" t="s">
        <v>612</v>
      </c>
      <c r="AM189" s="39" t="s">
        <v>612</v>
      </c>
      <c r="AN189" s="39" t="s">
        <v>612</v>
      </c>
      <c r="AO189" s="39" t="b">
        <v>0</v>
      </c>
      <c r="AP189" s="39" t="s">
        <v>613</v>
      </c>
      <c r="AQ189" s="39" t="s">
        <v>614</v>
      </c>
      <c r="AR189" s="39" t="s">
        <v>310</v>
      </c>
      <c r="AS189" s="39" t="s">
        <v>32</v>
      </c>
      <c r="AU189" s="44">
        <v>6285719720181</v>
      </c>
      <c r="AV189" s="39" t="s">
        <v>615</v>
      </c>
      <c r="AW189" s="39" t="s">
        <v>312</v>
      </c>
      <c r="AX189" s="39" t="s">
        <v>616</v>
      </c>
      <c r="AY189" s="39" t="s">
        <v>609</v>
      </c>
      <c r="AZ189" s="39" t="s">
        <v>153</v>
      </c>
      <c r="BA189" s="39" t="s">
        <v>1905</v>
      </c>
      <c r="BB189" s="39" t="s">
        <v>154</v>
      </c>
      <c r="BC189" s="39" t="s">
        <v>1917</v>
      </c>
      <c r="BD189" s="39" t="b">
        <v>1</v>
      </c>
      <c r="BE189" s="39" t="b">
        <v>1</v>
      </c>
      <c r="BF189" s="39" t="s">
        <v>610</v>
      </c>
      <c r="BG189" s="39" t="s">
        <v>611</v>
      </c>
      <c r="BH189" s="39" t="s">
        <v>2158</v>
      </c>
      <c r="BI189" s="39" t="s">
        <v>2159</v>
      </c>
      <c r="BJ189" s="39" t="b">
        <v>1</v>
      </c>
      <c r="BK189" s="39" t="b">
        <v>1</v>
      </c>
      <c r="BN189" s="39">
        <v>0</v>
      </c>
      <c r="BO189" s="39" t="s">
        <v>2793</v>
      </c>
      <c r="BP189" s="39" t="s">
        <v>2809</v>
      </c>
    </row>
    <row r="190" spans="1:68">
      <c r="A190" s="39" t="s">
        <v>20</v>
      </c>
      <c r="B190" s="39" t="s">
        <v>21</v>
      </c>
      <c r="C190" s="39" t="s">
        <v>2751</v>
      </c>
      <c r="D190" s="39" t="s">
        <v>151</v>
      </c>
      <c r="E190" s="39" t="s">
        <v>152</v>
      </c>
      <c r="F190" s="39" t="s">
        <v>153</v>
      </c>
      <c r="G190" s="39" t="s">
        <v>154</v>
      </c>
      <c r="H190" s="39" t="s">
        <v>135</v>
      </c>
      <c r="I190" s="39" t="b">
        <v>0</v>
      </c>
      <c r="J190" s="39" t="s">
        <v>135</v>
      </c>
      <c r="K190" s="39" t="b">
        <v>0</v>
      </c>
      <c r="L190" s="39" t="s">
        <v>624</v>
      </c>
      <c r="M190" s="39" t="s">
        <v>625</v>
      </c>
      <c r="N190" s="39" t="s">
        <v>2508</v>
      </c>
      <c r="R190" s="39" t="s">
        <v>154</v>
      </c>
      <c r="S190" s="39" t="b">
        <f t="shared" si="4"/>
        <v>1</v>
      </c>
      <c r="T190" s="39" t="s">
        <v>153</v>
      </c>
      <c r="U190" s="39" t="b">
        <f t="shared" si="5"/>
        <v>1</v>
      </c>
      <c r="V190" s="39" t="s">
        <v>2564</v>
      </c>
      <c r="W190" s="39" t="s">
        <v>2564</v>
      </c>
      <c r="X190" s="83" t="s">
        <v>624</v>
      </c>
      <c r="Y190" s="84" t="s">
        <v>625</v>
      </c>
      <c r="Z190" s="83" t="s">
        <v>2508</v>
      </c>
      <c r="AA190" s="84" t="s">
        <v>2508</v>
      </c>
      <c r="AB190" s="108"/>
      <c r="AC190" s="107"/>
      <c r="AD190" s="84"/>
      <c r="AE190" s="83"/>
      <c r="AF190" s="84"/>
      <c r="AG190" s="83"/>
      <c r="AH190" s="84"/>
      <c r="AI190" s="39" t="s">
        <v>88</v>
      </c>
      <c r="AJ190" s="39" t="s">
        <v>45</v>
      </c>
      <c r="AK190" s="39" t="s">
        <v>626</v>
      </c>
      <c r="AM190" s="39" t="s">
        <v>626</v>
      </c>
      <c r="AN190" s="39" t="s">
        <v>626</v>
      </c>
      <c r="AO190" s="39" t="b">
        <v>0</v>
      </c>
      <c r="AP190" s="39" t="s">
        <v>627</v>
      </c>
      <c r="AQ190" s="39" t="s">
        <v>628</v>
      </c>
      <c r="AR190" s="39" t="s">
        <v>310</v>
      </c>
      <c r="AS190" s="39" t="s">
        <v>32</v>
      </c>
      <c r="AU190" s="44">
        <v>62981585552228</v>
      </c>
      <c r="AV190" s="39" t="s">
        <v>629</v>
      </c>
      <c r="AW190" s="39" t="s">
        <v>312</v>
      </c>
      <c r="AX190" s="39" t="s">
        <v>630</v>
      </c>
      <c r="AY190" s="39" t="s">
        <v>609</v>
      </c>
      <c r="AZ190" s="39" t="s">
        <v>153</v>
      </c>
      <c r="BA190" s="39" t="s">
        <v>1905</v>
      </c>
      <c r="BB190" s="39" t="s">
        <v>154</v>
      </c>
      <c r="BC190" s="39" t="s">
        <v>1917</v>
      </c>
      <c r="BD190" s="39" t="b">
        <v>1</v>
      </c>
      <c r="BE190" s="39" t="b">
        <v>1</v>
      </c>
      <c r="BF190" s="39" t="s">
        <v>624</v>
      </c>
      <c r="BG190" s="39" t="s">
        <v>625</v>
      </c>
      <c r="BH190" s="39" t="s">
        <v>2162</v>
      </c>
      <c r="BI190" s="39" t="s">
        <v>2163</v>
      </c>
      <c r="BJ190" s="39" t="b">
        <v>1</v>
      </c>
      <c r="BK190" s="39" t="b">
        <v>1</v>
      </c>
      <c r="BN190" s="39">
        <v>0</v>
      </c>
      <c r="BO190" s="39" t="s">
        <v>2793</v>
      </c>
      <c r="BP190" s="39" t="s">
        <v>2809</v>
      </c>
    </row>
    <row r="191" spans="1:68">
      <c r="A191" s="39" t="s">
        <v>20</v>
      </c>
      <c r="B191" s="39" t="s">
        <v>21</v>
      </c>
      <c r="C191" s="39" t="s">
        <v>2751</v>
      </c>
      <c r="D191" s="39" t="s">
        <v>151</v>
      </c>
      <c r="E191" s="39" t="s">
        <v>152</v>
      </c>
      <c r="F191" s="39" t="s">
        <v>153</v>
      </c>
      <c r="G191" s="39" t="s">
        <v>154</v>
      </c>
      <c r="H191" s="39" t="s">
        <v>135</v>
      </c>
      <c r="I191" s="39" t="b">
        <v>0</v>
      </c>
      <c r="J191" s="39" t="s">
        <v>135</v>
      </c>
      <c r="K191" s="39" t="b">
        <v>0</v>
      </c>
      <c r="L191" s="39" t="s">
        <v>1068</v>
      </c>
      <c r="M191" s="39" t="s">
        <v>1069</v>
      </c>
      <c r="N191" s="39" t="s">
        <v>2508</v>
      </c>
      <c r="R191" s="39" t="s">
        <v>154</v>
      </c>
      <c r="S191" s="39" t="b">
        <f t="shared" si="4"/>
        <v>1</v>
      </c>
      <c r="T191" s="39" t="s">
        <v>153</v>
      </c>
      <c r="U191" s="39" t="b">
        <f t="shared" si="5"/>
        <v>1</v>
      </c>
      <c r="V191" s="39" t="s">
        <v>2564</v>
      </c>
      <c r="W191" s="39" t="s">
        <v>2564</v>
      </c>
      <c r="X191" s="83" t="s">
        <v>1068</v>
      </c>
      <c r="Y191" s="84" t="s">
        <v>1069</v>
      </c>
      <c r="Z191" s="83" t="s">
        <v>2508</v>
      </c>
      <c r="AA191" s="84" t="s">
        <v>2508</v>
      </c>
      <c r="AB191" s="108"/>
      <c r="AC191" s="107"/>
      <c r="AD191" s="84"/>
      <c r="AE191" s="83"/>
      <c r="AF191" s="84"/>
      <c r="AG191" s="83"/>
      <c r="AH191" s="84"/>
      <c r="AI191" s="39" t="s">
        <v>88</v>
      </c>
      <c r="AJ191" s="39" t="s">
        <v>45</v>
      </c>
      <c r="AK191" s="39" t="s">
        <v>1070</v>
      </c>
      <c r="AM191" s="39" t="s">
        <v>1070</v>
      </c>
      <c r="AN191" s="39" t="s">
        <v>1070</v>
      </c>
      <c r="AO191" s="39" t="b">
        <v>0</v>
      </c>
      <c r="AP191" s="39" t="s">
        <v>1071</v>
      </c>
      <c r="AQ191" s="39" t="s">
        <v>1072</v>
      </c>
      <c r="AR191" s="39" t="s">
        <v>310</v>
      </c>
      <c r="AS191" s="39" t="s">
        <v>32</v>
      </c>
      <c r="AU191" s="44">
        <v>62985811333313</v>
      </c>
      <c r="AV191" s="39" t="s">
        <v>1073</v>
      </c>
      <c r="AW191" s="39" t="s">
        <v>312</v>
      </c>
      <c r="AX191" s="39" t="s">
        <v>1074</v>
      </c>
      <c r="AY191" s="39" t="s">
        <v>609</v>
      </c>
      <c r="AZ191" s="39" t="s">
        <v>153</v>
      </c>
      <c r="BA191" s="39" t="s">
        <v>1905</v>
      </c>
      <c r="BB191" s="39" t="s">
        <v>154</v>
      </c>
      <c r="BC191" s="39" t="s">
        <v>1917</v>
      </c>
      <c r="BD191" s="39" t="b">
        <v>1</v>
      </c>
      <c r="BE191" s="39" t="b">
        <v>1</v>
      </c>
      <c r="BF191" s="39" t="s">
        <v>1068</v>
      </c>
      <c r="BG191" s="39" t="s">
        <v>1069</v>
      </c>
      <c r="BH191" s="39" t="s">
        <v>2270</v>
      </c>
      <c r="BI191" s="39" t="s">
        <v>2271</v>
      </c>
      <c r="BJ191" s="39" t="b">
        <v>1</v>
      </c>
      <c r="BK191" s="39" t="b">
        <v>1</v>
      </c>
      <c r="BN191" s="39">
        <v>0</v>
      </c>
      <c r="BO191" s="39" t="s">
        <v>2793</v>
      </c>
      <c r="BP191" s="39" t="s">
        <v>2809</v>
      </c>
    </row>
    <row r="192" spans="1:68">
      <c r="A192" s="39" t="s">
        <v>20</v>
      </c>
      <c r="B192" s="39" t="s">
        <v>21</v>
      </c>
      <c r="C192" s="39" t="s">
        <v>2751</v>
      </c>
      <c r="D192" s="39" t="s">
        <v>151</v>
      </c>
      <c r="E192" s="39" t="s">
        <v>152</v>
      </c>
      <c r="F192" s="39" t="s">
        <v>153</v>
      </c>
      <c r="G192" s="39" t="s">
        <v>154</v>
      </c>
      <c r="H192" s="39" t="s">
        <v>135</v>
      </c>
      <c r="I192" s="39" t="b">
        <v>0</v>
      </c>
      <c r="J192" s="39" t="s">
        <v>135</v>
      </c>
      <c r="K192" s="39" t="b">
        <v>0</v>
      </c>
      <c r="L192" s="39" t="s">
        <v>1075</v>
      </c>
      <c r="M192" s="39" t="s">
        <v>1076</v>
      </c>
      <c r="N192" s="39" t="s">
        <v>2508</v>
      </c>
      <c r="R192" s="39" t="s">
        <v>154</v>
      </c>
      <c r="S192" s="39" t="b">
        <f t="shared" si="4"/>
        <v>1</v>
      </c>
      <c r="T192" s="39" t="s">
        <v>153</v>
      </c>
      <c r="U192" s="39" t="b">
        <f t="shared" si="5"/>
        <v>1</v>
      </c>
      <c r="V192" s="39" t="s">
        <v>2564</v>
      </c>
      <c r="W192" s="39" t="s">
        <v>2564</v>
      </c>
      <c r="X192" s="83" t="s">
        <v>1075</v>
      </c>
      <c r="Y192" s="84" t="s">
        <v>1076</v>
      </c>
      <c r="Z192" s="83" t="s">
        <v>2508</v>
      </c>
      <c r="AA192" s="84" t="s">
        <v>2508</v>
      </c>
      <c r="AB192" s="108"/>
      <c r="AC192" s="107"/>
      <c r="AD192" s="84"/>
      <c r="AE192" s="83"/>
      <c r="AF192" s="84"/>
      <c r="AG192" s="83"/>
      <c r="AH192" s="84"/>
      <c r="AI192" s="39" t="s">
        <v>88</v>
      </c>
      <c r="AJ192" s="39" t="s">
        <v>45</v>
      </c>
      <c r="AK192" s="39" t="s">
        <v>1077</v>
      </c>
      <c r="AM192" s="39" t="s">
        <v>1077</v>
      </c>
      <c r="AN192" s="39" t="s">
        <v>1077</v>
      </c>
      <c r="AO192" s="39" t="b">
        <v>0</v>
      </c>
      <c r="AP192" s="39" t="s">
        <v>1078</v>
      </c>
      <c r="AQ192" s="39" t="s">
        <v>1079</v>
      </c>
      <c r="AR192" s="39" t="s">
        <v>310</v>
      </c>
      <c r="AS192" s="39" t="s">
        <v>32</v>
      </c>
      <c r="AU192" s="44">
        <v>6285777799909</v>
      </c>
      <c r="AV192" s="39" t="s">
        <v>1080</v>
      </c>
      <c r="AW192" s="39" t="s">
        <v>312</v>
      </c>
      <c r="AX192" s="39" t="s">
        <v>1081</v>
      </c>
      <c r="AY192" s="39" t="s">
        <v>609</v>
      </c>
      <c r="AZ192" s="39" t="s">
        <v>153</v>
      </c>
      <c r="BA192" s="39" t="s">
        <v>1905</v>
      </c>
      <c r="BB192" s="39" t="s">
        <v>154</v>
      </c>
      <c r="BC192" s="39" t="s">
        <v>1917</v>
      </c>
      <c r="BD192" s="39" t="b">
        <v>1</v>
      </c>
      <c r="BE192" s="39" t="b">
        <v>1</v>
      </c>
      <c r="BF192" s="39" t="s">
        <v>1075</v>
      </c>
      <c r="BG192" s="39" t="s">
        <v>1076</v>
      </c>
      <c r="BH192" s="39" t="s">
        <v>2272</v>
      </c>
      <c r="BI192" s="39" t="s">
        <v>2273</v>
      </c>
      <c r="BJ192" s="39" t="b">
        <v>1</v>
      </c>
      <c r="BK192" s="39" t="b">
        <v>1</v>
      </c>
      <c r="BN192" s="39">
        <v>0</v>
      </c>
      <c r="BO192" s="39" t="s">
        <v>2793</v>
      </c>
      <c r="BP192" s="39" t="s">
        <v>2809</v>
      </c>
    </row>
    <row r="193" spans="1:68">
      <c r="A193" s="39" t="s">
        <v>20</v>
      </c>
      <c r="B193" s="39" t="s">
        <v>21</v>
      </c>
      <c r="C193" s="39" t="s">
        <v>2751</v>
      </c>
      <c r="D193" s="39" t="s">
        <v>631</v>
      </c>
      <c r="E193" s="39" t="s">
        <v>632</v>
      </c>
      <c r="F193" s="39" t="s">
        <v>633</v>
      </c>
      <c r="G193" s="39" t="s">
        <v>634</v>
      </c>
      <c r="H193" s="39" t="s">
        <v>635</v>
      </c>
      <c r="I193" s="39" t="b">
        <v>0</v>
      </c>
      <c r="J193" s="39" t="s">
        <v>635</v>
      </c>
      <c r="K193" s="39" t="b">
        <v>0</v>
      </c>
      <c r="L193" s="39" t="s">
        <v>636</v>
      </c>
      <c r="M193" s="39" t="s">
        <v>637</v>
      </c>
      <c r="N193" s="39" t="s">
        <v>2508</v>
      </c>
      <c r="P193" s="39" t="s">
        <v>2508</v>
      </c>
      <c r="R193" s="39" t="s">
        <v>634</v>
      </c>
      <c r="S193" s="39" t="b">
        <f t="shared" si="4"/>
        <v>1</v>
      </c>
      <c r="T193" s="39" t="s">
        <v>633</v>
      </c>
      <c r="U193" s="39" t="b">
        <f t="shared" si="5"/>
        <v>1</v>
      </c>
      <c r="V193" s="39" t="s">
        <v>2564</v>
      </c>
      <c r="W193" s="39" t="s">
        <v>2564</v>
      </c>
      <c r="X193" s="83" t="s">
        <v>636</v>
      </c>
      <c r="Y193" s="84" t="s">
        <v>637</v>
      </c>
      <c r="Z193" s="83" t="s">
        <v>2508</v>
      </c>
      <c r="AA193" s="84" t="s">
        <v>2508</v>
      </c>
      <c r="AB193" s="108"/>
      <c r="AC193" s="107"/>
      <c r="AD193" s="84"/>
      <c r="AE193" s="83"/>
      <c r="AF193" s="84"/>
      <c r="AG193" s="83"/>
      <c r="AH193" s="84"/>
      <c r="AI193" s="39" t="s">
        <v>88</v>
      </c>
      <c r="AJ193" s="39" t="s">
        <v>45</v>
      </c>
      <c r="AK193" s="39" t="s">
        <v>638</v>
      </c>
      <c r="AM193" s="39" t="s">
        <v>638</v>
      </c>
      <c r="AN193" s="39" t="s">
        <v>638</v>
      </c>
      <c r="AP193" s="39">
        <v>0</v>
      </c>
      <c r="AQ193" s="39" t="s">
        <v>639</v>
      </c>
      <c r="AR193" s="39" t="s">
        <v>68</v>
      </c>
      <c r="AU193" s="44">
        <v>62815146917247</v>
      </c>
      <c r="AX193" s="39" t="s">
        <v>640</v>
      </c>
      <c r="AZ193" s="39" t="s">
        <v>633</v>
      </c>
      <c r="BA193" s="39" t="s">
        <v>1908</v>
      </c>
      <c r="BB193" s="39" t="s">
        <v>634</v>
      </c>
      <c r="BC193" s="39" t="s">
        <v>1928</v>
      </c>
      <c r="BD193" s="39" t="b">
        <v>1</v>
      </c>
      <c r="BE193" s="39" t="b">
        <v>1</v>
      </c>
      <c r="BF193" s="39" t="s">
        <v>636</v>
      </c>
      <c r="BG193" s="39" t="s">
        <v>637</v>
      </c>
      <c r="BH193" s="39" t="s">
        <v>1980</v>
      </c>
      <c r="BI193" s="39" t="s">
        <v>1981</v>
      </c>
      <c r="BJ193" s="39" t="b">
        <v>1</v>
      </c>
      <c r="BK193" s="39" t="b">
        <v>1</v>
      </c>
      <c r="BN193" s="39">
        <v>0</v>
      </c>
      <c r="BO193" s="39" t="s">
        <v>2794</v>
      </c>
      <c r="BP193" s="39" t="s">
        <v>2809</v>
      </c>
    </row>
    <row r="194" spans="1:68">
      <c r="A194" s="39" t="s">
        <v>20</v>
      </c>
      <c r="B194" s="39" t="s">
        <v>21</v>
      </c>
      <c r="C194" s="39" t="s">
        <v>2751</v>
      </c>
      <c r="D194" s="39" t="s">
        <v>631</v>
      </c>
      <c r="E194" s="39" t="s">
        <v>632</v>
      </c>
      <c r="F194" s="39" t="s">
        <v>633</v>
      </c>
      <c r="G194" s="39" t="s">
        <v>634</v>
      </c>
      <c r="H194" s="39" t="s">
        <v>635</v>
      </c>
      <c r="I194" s="39" t="b">
        <v>0</v>
      </c>
      <c r="J194" s="39" t="s">
        <v>635</v>
      </c>
      <c r="K194" s="39" t="b">
        <v>0</v>
      </c>
      <c r="L194" s="39" t="s">
        <v>1522</v>
      </c>
      <c r="M194" s="39" t="s">
        <v>1521</v>
      </c>
      <c r="N194" s="39" t="s">
        <v>2508</v>
      </c>
      <c r="R194" s="39" t="s">
        <v>634</v>
      </c>
      <c r="S194" s="39" t="b">
        <f t="shared" si="4"/>
        <v>1</v>
      </c>
      <c r="T194" s="39" t="s">
        <v>633</v>
      </c>
      <c r="U194" s="39" t="b">
        <f t="shared" si="5"/>
        <v>1</v>
      </c>
      <c r="V194" s="39" t="s">
        <v>2564</v>
      </c>
      <c r="W194" s="39" t="s">
        <v>2564</v>
      </c>
      <c r="X194" s="83" t="s">
        <v>1522</v>
      </c>
      <c r="Y194" s="84" t="s">
        <v>1521</v>
      </c>
      <c r="Z194" s="83" t="s">
        <v>2508</v>
      </c>
      <c r="AA194" s="84" t="s">
        <v>2508</v>
      </c>
      <c r="AB194" s="108"/>
      <c r="AC194" s="107"/>
      <c r="AD194" s="84"/>
      <c r="AE194" s="83"/>
      <c r="AF194" s="84"/>
      <c r="AG194" s="83"/>
      <c r="AH194" s="84"/>
      <c r="AI194" s="39" t="s">
        <v>88</v>
      </c>
      <c r="AJ194" s="39" t="s">
        <v>45</v>
      </c>
      <c r="AK194" s="39" t="s">
        <v>1523</v>
      </c>
      <c r="AM194" s="39" t="s">
        <v>1523</v>
      </c>
      <c r="AN194" s="39" t="s">
        <v>1524</v>
      </c>
      <c r="AO194" s="39" t="b">
        <v>0</v>
      </c>
      <c r="AP194" s="39" t="s">
        <v>1525</v>
      </c>
      <c r="AQ194" s="39" t="s">
        <v>1526</v>
      </c>
      <c r="AR194" s="39" t="s">
        <v>310</v>
      </c>
      <c r="AS194" s="39" t="s">
        <v>32</v>
      </c>
      <c r="AU194" s="44">
        <v>628996266997</v>
      </c>
      <c r="AV194" s="39" t="s">
        <v>1527</v>
      </c>
      <c r="AW194" s="39" t="s">
        <v>312</v>
      </c>
      <c r="AX194" s="39" t="s">
        <v>1528</v>
      </c>
      <c r="AY194" s="39" t="s">
        <v>373</v>
      </c>
      <c r="AZ194" s="39" t="s">
        <v>633</v>
      </c>
      <c r="BA194" s="39" t="s">
        <v>1908</v>
      </c>
      <c r="BB194" s="39" t="s">
        <v>634</v>
      </c>
      <c r="BC194" s="39" t="s">
        <v>1928</v>
      </c>
      <c r="BD194" s="39" t="b">
        <v>1</v>
      </c>
      <c r="BE194" s="39" t="b">
        <v>1</v>
      </c>
      <c r="BF194" s="39" t="s">
        <v>1522</v>
      </c>
      <c r="BG194" s="39" t="s">
        <v>1521</v>
      </c>
      <c r="BH194" s="39" t="s">
        <v>1986</v>
      </c>
      <c r="BI194" s="39" t="s">
        <v>1987</v>
      </c>
      <c r="BJ194" s="39" t="b">
        <v>1</v>
      </c>
      <c r="BK194" s="39" t="b">
        <v>1</v>
      </c>
      <c r="BN194" s="39">
        <v>0</v>
      </c>
      <c r="BO194" s="39" t="s">
        <v>2794</v>
      </c>
      <c r="BP194" s="39" t="s">
        <v>2809</v>
      </c>
    </row>
    <row r="195" spans="1:68">
      <c r="A195" s="39" t="s">
        <v>20</v>
      </c>
      <c r="B195" s="39" t="s">
        <v>21</v>
      </c>
      <c r="C195" s="39" t="s">
        <v>2751</v>
      </c>
      <c r="D195" s="39" t="s">
        <v>631</v>
      </c>
      <c r="E195" s="39" t="s">
        <v>632</v>
      </c>
      <c r="F195" s="39" t="s">
        <v>633</v>
      </c>
      <c r="G195" s="39" t="s">
        <v>634</v>
      </c>
      <c r="H195" s="39" t="s">
        <v>635</v>
      </c>
      <c r="I195" s="39" t="b">
        <v>0</v>
      </c>
      <c r="J195" s="39" t="s">
        <v>635</v>
      </c>
      <c r="K195" s="39" t="b">
        <v>0</v>
      </c>
      <c r="L195" s="39" t="s">
        <v>1536</v>
      </c>
      <c r="M195" s="39" t="s">
        <v>1535</v>
      </c>
      <c r="N195" s="39" t="s">
        <v>2508</v>
      </c>
      <c r="R195" s="39" t="s">
        <v>634</v>
      </c>
      <c r="S195" s="39" t="b">
        <f t="shared" si="4"/>
        <v>1</v>
      </c>
      <c r="T195" s="39" t="s">
        <v>633</v>
      </c>
      <c r="U195" s="39" t="b">
        <f t="shared" si="5"/>
        <v>1</v>
      </c>
      <c r="V195" s="39" t="s">
        <v>2564</v>
      </c>
      <c r="W195" s="39" t="s">
        <v>2564</v>
      </c>
      <c r="X195" s="83" t="s">
        <v>1536</v>
      </c>
      <c r="Y195" s="84" t="s">
        <v>1535</v>
      </c>
      <c r="Z195" s="83" t="s">
        <v>2508</v>
      </c>
      <c r="AA195" s="84" t="s">
        <v>2508</v>
      </c>
      <c r="AB195" s="108"/>
      <c r="AC195" s="107"/>
      <c r="AD195" s="84"/>
      <c r="AE195" s="83"/>
      <c r="AF195" s="84"/>
      <c r="AG195" s="83"/>
      <c r="AH195" s="84"/>
      <c r="AI195" s="39" t="s">
        <v>88</v>
      </c>
      <c r="AJ195" s="39" t="s">
        <v>45</v>
      </c>
      <c r="AK195" s="39" t="s">
        <v>1537</v>
      </c>
      <c r="AM195" s="39" t="s">
        <v>1537</v>
      </c>
      <c r="AN195" s="39" t="s">
        <v>1537</v>
      </c>
      <c r="AP195" s="39" t="s">
        <v>1538</v>
      </c>
      <c r="AQ195" s="39" t="s">
        <v>1539</v>
      </c>
      <c r="AR195" s="39" t="s">
        <v>68</v>
      </c>
      <c r="AU195" s="44">
        <v>6289673364930</v>
      </c>
      <c r="AX195" s="39" t="s">
        <v>1540</v>
      </c>
      <c r="AZ195" s="39" t="s">
        <v>633</v>
      </c>
      <c r="BA195" s="39" t="s">
        <v>1908</v>
      </c>
      <c r="BB195" s="39" t="s">
        <v>634</v>
      </c>
      <c r="BC195" s="39" t="s">
        <v>1928</v>
      </c>
      <c r="BD195" s="39" t="b">
        <v>1</v>
      </c>
      <c r="BE195" s="39" t="b">
        <v>1</v>
      </c>
      <c r="BF195" s="39" t="s">
        <v>1536</v>
      </c>
      <c r="BG195" s="39" t="s">
        <v>1535</v>
      </c>
      <c r="BH195" s="39" t="s">
        <v>1988</v>
      </c>
      <c r="BI195" s="39" t="s">
        <v>1989</v>
      </c>
      <c r="BJ195" s="39" t="b">
        <v>1</v>
      </c>
      <c r="BK195" s="39" t="b">
        <v>1</v>
      </c>
      <c r="BN195" s="39">
        <v>0</v>
      </c>
      <c r="BO195" s="39" t="s">
        <v>2794</v>
      </c>
      <c r="BP195" s="39" t="s">
        <v>2809</v>
      </c>
    </row>
    <row r="196" spans="1:68">
      <c r="A196" s="39" t="s">
        <v>20</v>
      </c>
      <c r="B196" s="39" t="s">
        <v>21</v>
      </c>
      <c r="C196" s="39" t="s">
        <v>2751</v>
      </c>
      <c r="D196" s="39" t="s">
        <v>631</v>
      </c>
      <c r="E196" s="39" t="s">
        <v>632</v>
      </c>
      <c r="F196" s="39" t="s">
        <v>633</v>
      </c>
      <c r="G196" s="39" t="s">
        <v>634</v>
      </c>
      <c r="H196" s="39" t="s">
        <v>635</v>
      </c>
      <c r="I196" s="39" t="b">
        <v>0</v>
      </c>
      <c r="J196" s="39" t="s">
        <v>635</v>
      </c>
      <c r="K196" s="39" t="b">
        <v>0</v>
      </c>
      <c r="L196" s="39" t="s">
        <v>1586</v>
      </c>
      <c r="M196" s="39" t="s">
        <v>1585</v>
      </c>
      <c r="N196" s="39" t="s">
        <v>2508</v>
      </c>
      <c r="R196" s="39" t="s">
        <v>634</v>
      </c>
      <c r="S196" s="39" t="b">
        <f t="shared" si="4"/>
        <v>1</v>
      </c>
      <c r="T196" s="39" t="s">
        <v>633</v>
      </c>
      <c r="U196" s="39" t="b">
        <f t="shared" si="5"/>
        <v>1</v>
      </c>
      <c r="V196" s="39" t="s">
        <v>2564</v>
      </c>
      <c r="W196" s="39" t="s">
        <v>2564</v>
      </c>
      <c r="X196" s="83" t="s">
        <v>1586</v>
      </c>
      <c r="Y196" s="84" t="s">
        <v>1585</v>
      </c>
      <c r="Z196" s="83" t="s">
        <v>2508</v>
      </c>
      <c r="AA196" s="84" t="s">
        <v>2508</v>
      </c>
      <c r="AB196" s="108"/>
      <c r="AC196" s="107"/>
      <c r="AD196" s="84"/>
      <c r="AE196" s="83"/>
      <c r="AF196" s="84"/>
      <c r="AG196" s="83"/>
      <c r="AH196" s="84"/>
      <c r="AI196" s="39" t="s">
        <v>88</v>
      </c>
      <c r="AJ196" s="39" t="s">
        <v>45</v>
      </c>
      <c r="AK196" s="39" t="s">
        <v>1587</v>
      </c>
      <c r="AM196" s="39" t="s">
        <v>1587</v>
      </c>
      <c r="AN196" s="39" t="s">
        <v>1587</v>
      </c>
      <c r="AO196" s="39" t="b">
        <v>0</v>
      </c>
      <c r="AP196" s="39" t="s">
        <v>1588</v>
      </c>
      <c r="AQ196" s="39" t="s">
        <v>1589</v>
      </c>
      <c r="AR196" s="39" t="s">
        <v>310</v>
      </c>
      <c r="AS196" s="39" t="s">
        <v>32</v>
      </c>
      <c r="AU196" s="44">
        <v>6289687862223</v>
      </c>
      <c r="AV196" s="39" t="s">
        <v>1590</v>
      </c>
      <c r="AW196" s="39" t="s">
        <v>312</v>
      </c>
      <c r="AX196" s="39" t="s">
        <v>1591</v>
      </c>
      <c r="AY196" s="39" t="s">
        <v>373</v>
      </c>
      <c r="AZ196" s="39" t="s">
        <v>633</v>
      </c>
      <c r="BA196" s="39" t="s">
        <v>1908</v>
      </c>
      <c r="BB196" s="39" t="s">
        <v>634</v>
      </c>
      <c r="BC196" s="39" t="s">
        <v>1928</v>
      </c>
      <c r="BD196" s="39" t="b">
        <v>1</v>
      </c>
      <c r="BE196" s="39" t="b">
        <v>1</v>
      </c>
      <c r="BF196" s="39" t="s">
        <v>1586</v>
      </c>
      <c r="BG196" s="39" t="s">
        <v>1585</v>
      </c>
      <c r="BH196" s="39" t="s">
        <v>1990</v>
      </c>
      <c r="BI196" s="39" t="s">
        <v>1991</v>
      </c>
      <c r="BJ196" s="39" t="b">
        <v>1</v>
      </c>
      <c r="BK196" s="39" t="b">
        <v>1</v>
      </c>
      <c r="BN196" s="39">
        <v>0</v>
      </c>
      <c r="BO196" s="39" t="s">
        <v>2794</v>
      </c>
      <c r="BP196" s="39" t="s">
        <v>2809</v>
      </c>
    </row>
    <row r="197" spans="1:68">
      <c r="A197" s="39" t="s">
        <v>20</v>
      </c>
      <c r="B197" s="39" t="s">
        <v>21</v>
      </c>
      <c r="C197" s="39" t="s">
        <v>2751</v>
      </c>
      <c r="D197" s="39" t="s">
        <v>631</v>
      </c>
      <c r="E197" s="39" t="s">
        <v>632</v>
      </c>
      <c r="F197" s="39" t="s">
        <v>633</v>
      </c>
      <c r="G197" s="39" t="s">
        <v>634</v>
      </c>
      <c r="H197" s="39" t="s">
        <v>635</v>
      </c>
      <c r="I197" s="39" t="b">
        <v>0</v>
      </c>
      <c r="J197" s="39" t="s">
        <v>635</v>
      </c>
      <c r="K197" s="39" t="b">
        <v>0</v>
      </c>
      <c r="L197" s="39" t="s">
        <v>1636</v>
      </c>
      <c r="M197" s="39" t="s">
        <v>1635</v>
      </c>
      <c r="N197" s="39" t="s">
        <v>2508</v>
      </c>
      <c r="P197" s="39" t="s">
        <v>2508</v>
      </c>
      <c r="R197" s="39" t="s">
        <v>634</v>
      </c>
      <c r="S197" s="39" t="b">
        <f t="shared" ref="S197:S260" si="8">R197=G197</f>
        <v>1</v>
      </c>
      <c r="T197" s="39" t="s">
        <v>633</v>
      </c>
      <c r="U197" s="39" t="b">
        <f t="shared" ref="U197:U260" si="9">T197=F197</f>
        <v>1</v>
      </c>
      <c r="V197" s="39" t="s">
        <v>2564</v>
      </c>
      <c r="W197" s="39" t="s">
        <v>2564</v>
      </c>
      <c r="X197" s="83" t="s">
        <v>1636</v>
      </c>
      <c r="Y197" s="84" t="s">
        <v>1635</v>
      </c>
      <c r="Z197" s="83" t="s">
        <v>2508</v>
      </c>
      <c r="AA197" s="84" t="s">
        <v>2508</v>
      </c>
      <c r="AB197" s="108"/>
      <c r="AC197" s="107"/>
      <c r="AD197" s="84"/>
      <c r="AE197" s="83"/>
      <c r="AF197" s="84"/>
      <c r="AG197" s="83"/>
      <c r="AH197" s="84"/>
      <c r="AI197" s="39" t="s">
        <v>88</v>
      </c>
      <c r="AJ197" s="39" t="s">
        <v>45</v>
      </c>
      <c r="AK197" s="39" t="s">
        <v>1637</v>
      </c>
      <c r="AM197" s="39" t="s">
        <v>1637</v>
      </c>
      <c r="AN197" s="39" t="s">
        <v>1637</v>
      </c>
      <c r="AP197" s="39" t="s">
        <v>1638</v>
      </c>
      <c r="AQ197" s="39" t="s">
        <v>1639</v>
      </c>
      <c r="AR197" s="39" t="s">
        <v>68</v>
      </c>
      <c r="AU197" s="44">
        <v>6208996267013</v>
      </c>
      <c r="AX197" s="39" t="s">
        <v>1640</v>
      </c>
      <c r="AZ197" s="39" t="s">
        <v>633</v>
      </c>
      <c r="BA197" s="39" t="s">
        <v>1908</v>
      </c>
      <c r="BB197" s="39" t="s">
        <v>634</v>
      </c>
      <c r="BC197" s="39" t="s">
        <v>1928</v>
      </c>
      <c r="BD197" s="39" t="b">
        <v>1</v>
      </c>
      <c r="BE197" s="39" t="b">
        <v>1</v>
      </c>
      <c r="BF197" s="39" t="s">
        <v>1636</v>
      </c>
      <c r="BG197" s="39" t="s">
        <v>1635</v>
      </c>
      <c r="BH197" s="39" t="s">
        <v>1992</v>
      </c>
      <c r="BI197" s="39" t="s">
        <v>1993</v>
      </c>
      <c r="BJ197" s="39" t="b">
        <v>1</v>
      </c>
      <c r="BK197" s="39" t="b">
        <v>1</v>
      </c>
      <c r="BN197" s="39">
        <v>0</v>
      </c>
      <c r="BO197" s="39" t="s">
        <v>2794</v>
      </c>
      <c r="BP197" s="39" t="s">
        <v>2809</v>
      </c>
    </row>
    <row r="198" spans="1:68">
      <c r="A198" s="39" t="s">
        <v>20</v>
      </c>
      <c r="B198" s="39" t="s">
        <v>21</v>
      </c>
      <c r="C198" s="39" t="s">
        <v>2751</v>
      </c>
      <c r="D198" s="39" t="s">
        <v>631</v>
      </c>
      <c r="E198" s="39" t="s">
        <v>632</v>
      </c>
      <c r="F198" s="39" t="s">
        <v>633</v>
      </c>
      <c r="G198" s="39" t="s">
        <v>634</v>
      </c>
      <c r="H198" s="39" t="s">
        <v>635</v>
      </c>
      <c r="I198" s="39" t="b">
        <v>0</v>
      </c>
      <c r="J198" s="39" t="s">
        <v>635</v>
      </c>
      <c r="K198" s="39" t="b">
        <v>0</v>
      </c>
      <c r="L198" s="39" t="s">
        <v>1316</v>
      </c>
      <c r="M198" s="39" t="s">
        <v>1317</v>
      </c>
      <c r="N198" s="39" t="s">
        <v>2508</v>
      </c>
      <c r="P198" s="39" t="s">
        <v>2508</v>
      </c>
      <c r="R198" s="39" t="s">
        <v>634</v>
      </c>
      <c r="S198" s="39" t="b">
        <f t="shared" si="8"/>
        <v>1</v>
      </c>
      <c r="T198" s="39" t="s">
        <v>633</v>
      </c>
      <c r="U198" s="39" t="b">
        <f t="shared" si="9"/>
        <v>1</v>
      </c>
      <c r="V198" s="39" t="s">
        <v>2564</v>
      </c>
      <c r="W198" s="39" t="s">
        <v>2564</v>
      </c>
      <c r="X198" s="83" t="s">
        <v>1316</v>
      </c>
      <c r="Y198" s="84" t="s">
        <v>1317</v>
      </c>
      <c r="Z198" s="83" t="s">
        <v>2508</v>
      </c>
      <c r="AA198" s="84" t="s">
        <v>2508</v>
      </c>
      <c r="AB198" s="108"/>
      <c r="AC198" s="107"/>
      <c r="AD198" s="84"/>
      <c r="AE198" s="83"/>
      <c r="AF198" s="84"/>
      <c r="AG198" s="83"/>
      <c r="AH198" s="84"/>
      <c r="AI198" s="39" t="s">
        <v>88</v>
      </c>
      <c r="AJ198" s="39" t="s">
        <v>45</v>
      </c>
      <c r="AK198" s="39" t="s">
        <v>1318</v>
      </c>
      <c r="AM198" s="39" t="s">
        <v>1318</v>
      </c>
      <c r="AN198" s="39" t="s">
        <v>1319</v>
      </c>
      <c r="AO198" s="39" t="b">
        <v>0</v>
      </c>
      <c r="AP198" s="39" t="s">
        <v>1320</v>
      </c>
      <c r="AQ198" s="39" t="s">
        <v>1321</v>
      </c>
      <c r="AR198" s="39" t="s">
        <v>310</v>
      </c>
      <c r="AS198" s="39" t="s">
        <v>32</v>
      </c>
      <c r="AU198" s="44">
        <v>6281700000077</v>
      </c>
      <c r="AV198" s="39" t="s">
        <v>1322</v>
      </c>
      <c r="AW198" s="39" t="s">
        <v>312</v>
      </c>
      <c r="AX198" s="39" t="s">
        <v>1323</v>
      </c>
      <c r="AY198" s="39" t="s">
        <v>373</v>
      </c>
      <c r="AZ198" s="39" t="s">
        <v>633</v>
      </c>
      <c r="BA198" s="39" t="s">
        <v>1908</v>
      </c>
      <c r="BB198" s="39" t="s">
        <v>634</v>
      </c>
      <c r="BC198" s="39" t="s">
        <v>1928</v>
      </c>
      <c r="BD198" s="39" t="b">
        <v>1</v>
      </c>
      <c r="BE198" s="39" t="b">
        <v>1</v>
      </c>
      <c r="BF198" s="39" t="s">
        <v>1316</v>
      </c>
      <c r="BG198" s="39" t="s">
        <v>1317</v>
      </c>
      <c r="BH198" s="39" t="s">
        <v>1982</v>
      </c>
      <c r="BI198" s="39" t="s">
        <v>1983</v>
      </c>
      <c r="BJ198" s="39" t="b">
        <v>1</v>
      </c>
      <c r="BK198" s="39" t="b">
        <v>1</v>
      </c>
      <c r="BN198" s="39">
        <v>0</v>
      </c>
      <c r="BO198" s="39" t="s">
        <v>2794</v>
      </c>
      <c r="BP198" s="39" t="s">
        <v>2809</v>
      </c>
    </row>
    <row r="199" spans="1:68">
      <c r="A199" s="39" t="s">
        <v>20</v>
      </c>
      <c r="B199" s="39" t="s">
        <v>21</v>
      </c>
      <c r="C199" s="39" t="s">
        <v>2751</v>
      </c>
      <c r="D199" s="39" t="s">
        <v>631</v>
      </c>
      <c r="E199" s="39" t="s">
        <v>632</v>
      </c>
      <c r="F199" s="39" t="s">
        <v>633</v>
      </c>
      <c r="G199" s="39" t="s">
        <v>634</v>
      </c>
      <c r="H199" s="39" t="s">
        <v>635</v>
      </c>
      <c r="I199" s="39" t="b">
        <v>0</v>
      </c>
      <c r="J199" s="39" t="s">
        <v>635</v>
      </c>
      <c r="K199" s="39" t="b">
        <v>0</v>
      </c>
      <c r="L199" s="39" t="s">
        <v>1324</v>
      </c>
      <c r="M199" s="39" t="s">
        <v>1325</v>
      </c>
      <c r="N199" s="39" t="s">
        <v>2508</v>
      </c>
      <c r="R199" s="39" t="s">
        <v>634</v>
      </c>
      <c r="S199" s="39" t="b">
        <f t="shared" si="8"/>
        <v>1</v>
      </c>
      <c r="T199" s="39" t="s">
        <v>633</v>
      </c>
      <c r="U199" s="39" t="b">
        <f t="shared" si="9"/>
        <v>1</v>
      </c>
      <c r="V199" s="39" t="s">
        <v>2564</v>
      </c>
      <c r="W199" s="39" t="s">
        <v>2564</v>
      </c>
      <c r="X199" s="83" t="s">
        <v>1324</v>
      </c>
      <c r="Y199" s="84" t="s">
        <v>1325</v>
      </c>
      <c r="Z199" s="83" t="s">
        <v>2508</v>
      </c>
      <c r="AA199" s="84" t="s">
        <v>2508</v>
      </c>
      <c r="AB199" s="108"/>
      <c r="AC199" s="107"/>
      <c r="AD199" s="84"/>
      <c r="AE199" s="83"/>
      <c r="AF199" s="84"/>
      <c r="AG199" s="83"/>
      <c r="AH199" s="84"/>
      <c r="AI199" s="39" t="s">
        <v>88</v>
      </c>
      <c r="AJ199" s="39" t="s">
        <v>45</v>
      </c>
      <c r="AK199" s="39" t="s">
        <v>1326</v>
      </c>
      <c r="AM199" s="39" t="s">
        <v>1326</v>
      </c>
      <c r="AN199" s="39" t="s">
        <v>1327</v>
      </c>
      <c r="AO199" s="39" t="b">
        <v>0</v>
      </c>
      <c r="AP199" s="39" t="s">
        <v>1328</v>
      </c>
      <c r="AQ199" s="39" t="s">
        <v>1329</v>
      </c>
      <c r="AR199" s="39" t="s">
        <v>310</v>
      </c>
      <c r="AS199" s="39" t="s">
        <v>32</v>
      </c>
      <c r="AU199" s="44">
        <v>6285692620496</v>
      </c>
      <c r="AV199" s="39" t="s">
        <v>1330</v>
      </c>
      <c r="AX199" s="39" t="s">
        <v>1331</v>
      </c>
      <c r="AY199" s="39" t="s">
        <v>373</v>
      </c>
      <c r="AZ199" s="39" t="s">
        <v>633</v>
      </c>
      <c r="BA199" s="39" t="s">
        <v>1908</v>
      </c>
      <c r="BB199" s="39" t="s">
        <v>634</v>
      </c>
      <c r="BC199" s="39" t="s">
        <v>1928</v>
      </c>
      <c r="BD199" s="39" t="b">
        <v>1</v>
      </c>
      <c r="BE199" s="39" t="b">
        <v>1</v>
      </c>
      <c r="BF199" s="39" t="s">
        <v>1324</v>
      </c>
      <c r="BG199" s="39" t="s">
        <v>1325</v>
      </c>
      <c r="BH199" s="39" t="s">
        <v>1984</v>
      </c>
      <c r="BI199" s="39" t="s">
        <v>1985</v>
      </c>
      <c r="BJ199" s="39" t="b">
        <v>1</v>
      </c>
      <c r="BK199" s="39" t="b">
        <v>1</v>
      </c>
      <c r="BN199" s="39">
        <v>0</v>
      </c>
      <c r="BO199" s="39" t="s">
        <v>2794</v>
      </c>
      <c r="BP199" s="39" t="s">
        <v>2809</v>
      </c>
    </row>
    <row r="200" spans="1:68">
      <c r="A200" s="39" t="s">
        <v>20</v>
      </c>
      <c r="B200" s="39" t="s">
        <v>21</v>
      </c>
      <c r="C200" s="39" t="s">
        <v>2751</v>
      </c>
      <c r="D200" s="39" t="s">
        <v>131</v>
      </c>
      <c r="E200" s="39" t="s">
        <v>132</v>
      </c>
      <c r="F200" s="39" t="s">
        <v>133</v>
      </c>
      <c r="G200" s="39" t="s">
        <v>134</v>
      </c>
      <c r="H200" s="39" t="s">
        <v>135</v>
      </c>
      <c r="I200" s="39" t="b">
        <v>0</v>
      </c>
      <c r="J200" s="39" t="s">
        <v>135</v>
      </c>
      <c r="K200" s="39" t="b">
        <v>0</v>
      </c>
      <c r="L200" s="39">
        <v>2613050980</v>
      </c>
      <c r="M200" s="39" t="s">
        <v>136</v>
      </c>
      <c r="N200" s="39" t="s">
        <v>2508</v>
      </c>
      <c r="P200" s="39" t="s">
        <v>2509</v>
      </c>
      <c r="R200" s="39" t="s">
        <v>134</v>
      </c>
      <c r="S200" s="39" t="b">
        <f t="shared" si="8"/>
        <v>1</v>
      </c>
      <c r="T200" s="39" t="s">
        <v>133</v>
      </c>
      <c r="U200" s="39" t="b">
        <f t="shared" si="9"/>
        <v>1</v>
      </c>
      <c r="V200" s="39" t="s">
        <v>2564</v>
      </c>
      <c r="W200" s="39" t="s">
        <v>2564</v>
      </c>
      <c r="X200" s="83">
        <v>2613050980</v>
      </c>
      <c r="Y200" s="84" t="s">
        <v>136</v>
      </c>
      <c r="Z200" s="83" t="s">
        <v>2508</v>
      </c>
      <c r="AA200" s="84" t="s">
        <v>2509</v>
      </c>
      <c r="AB200" s="108"/>
      <c r="AC200" s="107"/>
      <c r="AD200" s="84"/>
      <c r="AE200" s="83"/>
      <c r="AF200" s="84"/>
      <c r="AG200" s="83"/>
      <c r="AH200" s="84"/>
      <c r="AI200" s="39" t="s">
        <v>88</v>
      </c>
      <c r="AJ200" s="39" t="s">
        <v>45</v>
      </c>
      <c r="AK200" s="39" t="s">
        <v>137</v>
      </c>
      <c r="AM200" s="39" t="s">
        <v>137</v>
      </c>
      <c r="AN200" s="39" t="s">
        <v>137</v>
      </c>
      <c r="AP200" s="39" t="s">
        <v>138</v>
      </c>
      <c r="AQ200" s="39" t="s">
        <v>139</v>
      </c>
      <c r="AR200" s="39" t="s">
        <v>119</v>
      </c>
      <c r="AU200" s="44">
        <v>6285722728319</v>
      </c>
      <c r="AX200" s="39" t="s">
        <v>140</v>
      </c>
      <c r="AZ200" s="39" t="s">
        <v>133</v>
      </c>
      <c r="BA200" s="39" t="s">
        <v>1905</v>
      </c>
      <c r="BB200" s="39" t="s">
        <v>134</v>
      </c>
      <c r="BC200" s="39" t="s">
        <v>1916</v>
      </c>
      <c r="BD200" s="39" t="b">
        <v>1</v>
      </c>
      <c r="BE200" s="39" t="b">
        <v>1</v>
      </c>
      <c r="BF200" s="39">
        <v>2613050980</v>
      </c>
      <c r="BG200" s="39" t="s">
        <v>136</v>
      </c>
      <c r="BH200" s="39" t="s">
        <v>2018</v>
      </c>
      <c r="BI200" s="39" t="s">
        <v>2019</v>
      </c>
      <c r="BJ200" s="39" t="b">
        <v>1</v>
      </c>
      <c r="BK200" s="39" t="b">
        <v>1</v>
      </c>
      <c r="BN200" s="39">
        <v>0</v>
      </c>
      <c r="BO200" s="39" t="s">
        <v>2795</v>
      </c>
      <c r="BP200" s="39" t="s">
        <v>2809</v>
      </c>
    </row>
    <row r="201" spans="1:68">
      <c r="A201" s="39" t="s">
        <v>20</v>
      </c>
      <c r="B201" s="39" t="s">
        <v>21</v>
      </c>
      <c r="C201" s="39" t="s">
        <v>2751</v>
      </c>
      <c r="D201" s="39" t="s">
        <v>131</v>
      </c>
      <c r="E201" s="39" t="s">
        <v>132</v>
      </c>
      <c r="F201" s="39" t="s">
        <v>133</v>
      </c>
      <c r="G201" s="39" t="s">
        <v>134</v>
      </c>
      <c r="H201" s="39" t="s">
        <v>135</v>
      </c>
      <c r="I201" s="39" t="b">
        <v>0</v>
      </c>
      <c r="J201" s="39" t="s">
        <v>135</v>
      </c>
      <c r="K201" s="39" t="b">
        <v>0</v>
      </c>
      <c r="L201" s="39">
        <v>2613050981</v>
      </c>
      <c r="M201" s="39" t="s">
        <v>141</v>
      </c>
      <c r="N201" s="39" t="s">
        <v>2508</v>
      </c>
      <c r="R201" s="39" t="s">
        <v>134</v>
      </c>
      <c r="S201" s="39" t="b">
        <f t="shared" si="8"/>
        <v>1</v>
      </c>
      <c r="T201" s="39" t="s">
        <v>133</v>
      </c>
      <c r="U201" s="39" t="b">
        <f t="shared" si="9"/>
        <v>1</v>
      </c>
      <c r="V201" s="39" t="s">
        <v>2564</v>
      </c>
      <c r="W201" s="39" t="s">
        <v>2564</v>
      </c>
      <c r="X201" s="83">
        <v>2613050981</v>
      </c>
      <c r="Y201" s="84" t="s">
        <v>141</v>
      </c>
      <c r="Z201" s="83" t="s">
        <v>2508</v>
      </c>
      <c r="AA201" s="84" t="s">
        <v>2509</v>
      </c>
      <c r="AB201" s="108"/>
      <c r="AC201" s="107"/>
      <c r="AD201" s="84"/>
      <c r="AE201" s="83"/>
      <c r="AF201" s="84"/>
      <c r="AG201" s="83"/>
      <c r="AH201" s="84"/>
      <c r="AI201" s="39" t="s">
        <v>88</v>
      </c>
      <c r="AJ201" s="39" t="s">
        <v>45</v>
      </c>
      <c r="AK201" s="39" t="s">
        <v>142</v>
      </c>
      <c r="AM201" s="39" t="s">
        <v>142</v>
      </c>
      <c r="AN201" s="39" t="s">
        <v>142</v>
      </c>
      <c r="AP201" s="39" t="s">
        <v>143</v>
      </c>
      <c r="AQ201" s="39" t="s">
        <v>144</v>
      </c>
      <c r="AR201" s="39" t="s">
        <v>68</v>
      </c>
      <c r="AU201" s="44">
        <v>6285891947779</v>
      </c>
      <c r="AX201" s="39" t="s">
        <v>145</v>
      </c>
      <c r="AZ201" s="39" t="s">
        <v>133</v>
      </c>
      <c r="BA201" s="39" t="s">
        <v>1905</v>
      </c>
      <c r="BB201" s="39" t="s">
        <v>134</v>
      </c>
      <c r="BC201" s="39" t="s">
        <v>1916</v>
      </c>
      <c r="BD201" s="39" t="b">
        <v>1</v>
      </c>
      <c r="BE201" s="39" t="b">
        <v>1</v>
      </c>
      <c r="BF201" s="39">
        <v>2613050981</v>
      </c>
      <c r="BG201" s="39" t="s">
        <v>141</v>
      </c>
      <c r="BH201" s="39" t="s">
        <v>2020</v>
      </c>
      <c r="BI201" s="39" t="s">
        <v>2021</v>
      </c>
      <c r="BJ201" s="39" t="b">
        <v>1</v>
      </c>
      <c r="BK201" s="39" t="b">
        <v>1</v>
      </c>
      <c r="BN201" s="39">
        <v>0</v>
      </c>
      <c r="BO201" s="39" t="s">
        <v>2795</v>
      </c>
      <c r="BP201" s="39" t="s">
        <v>2809</v>
      </c>
    </row>
    <row r="202" spans="1:68">
      <c r="A202" s="39" t="s">
        <v>20</v>
      </c>
      <c r="B202" s="39" t="s">
        <v>21</v>
      </c>
      <c r="C202" s="39" t="s">
        <v>2751</v>
      </c>
      <c r="D202" s="39" t="s">
        <v>131</v>
      </c>
      <c r="E202" s="39" t="s">
        <v>132</v>
      </c>
      <c r="F202" s="39" t="s">
        <v>133</v>
      </c>
      <c r="G202" s="39" t="s">
        <v>134</v>
      </c>
      <c r="H202" s="39" t="s">
        <v>135</v>
      </c>
      <c r="I202" s="39" t="b">
        <v>0</v>
      </c>
      <c r="J202" s="39" t="s">
        <v>135</v>
      </c>
      <c r="K202" s="39" t="b">
        <v>0</v>
      </c>
      <c r="L202" s="39">
        <v>2613050982</v>
      </c>
      <c r="M202" s="39" t="s">
        <v>146</v>
      </c>
      <c r="N202" s="39" t="s">
        <v>2508</v>
      </c>
      <c r="R202" s="39" t="s">
        <v>134</v>
      </c>
      <c r="S202" s="39" t="b">
        <f t="shared" si="8"/>
        <v>1</v>
      </c>
      <c r="T202" s="39" t="s">
        <v>133</v>
      </c>
      <c r="U202" s="39" t="b">
        <f t="shared" si="9"/>
        <v>1</v>
      </c>
      <c r="V202" s="39" t="s">
        <v>2564</v>
      </c>
      <c r="W202" s="39" t="s">
        <v>2564</v>
      </c>
      <c r="X202" s="83">
        <v>2613050982</v>
      </c>
      <c r="Y202" s="84" t="s">
        <v>146</v>
      </c>
      <c r="Z202" s="83" t="s">
        <v>2508</v>
      </c>
      <c r="AA202" s="84" t="s">
        <v>2508</v>
      </c>
      <c r="AB202" s="108"/>
      <c r="AC202" s="107"/>
      <c r="AD202" s="84"/>
      <c r="AE202" s="83"/>
      <c r="AF202" s="84"/>
      <c r="AG202" s="83"/>
      <c r="AH202" s="84"/>
      <c r="AI202" s="39" t="s">
        <v>88</v>
      </c>
      <c r="AJ202" s="39" t="s">
        <v>45</v>
      </c>
      <c r="AK202" s="39" t="s">
        <v>147</v>
      </c>
      <c r="AM202" s="39" t="s">
        <v>147</v>
      </c>
      <c r="AN202" s="39" t="s">
        <v>147</v>
      </c>
      <c r="AP202" s="39" t="s">
        <v>148</v>
      </c>
      <c r="AQ202" s="39" t="s">
        <v>149</v>
      </c>
      <c r="AR202" s="39" t="s">
        <v>68</v>
      </c>
      <c r="AU202" s="44">
        <v>6285891960007</v>
      </c>
      <c r="AX202" s="39" t="s">
        <v>150</v>
      </c>
      <c r="AZ202" s="39" t="s">
        <v>133</v>
      </c>
      <c r="BA202" s="39" t="s">
        <v>1905</v>
      </c>
      <c r="BB202" s="39" t="s">
        <v>134</v>
      </c>
      <c r="BC202" s="39" t="s">
        <v>1916</v>
      </c>
      <c r="BD202" s="39" t="b">
        <v>1</v>
      </c>
      <c r="BE202" s="39" t="b">
        <v>1</v>
      </c>
      <c r="BF202" s="39">
        <v>2613050982</v>
      </c>
      <c r="BG202" s="39" t="s">
        <v>146</v>
      </c>
      <c r="BH202" s="39" t="s">
        <v>2022</v>
      </c>
      <c r="BI202" s="39" t="s">
        <v>2023</v>
      </c>
      <c r="BJ202" s="39" t="b">
        <v>1</v>
      </c>
      <c r="BK202" s="39" t="b">
        <v>1</v>
      </c>
      <c r="BN202" s="39">
        <v>0</v>
      </c>
      <c r="BO202" s="39" t="s">
        <v>2795</v>
      </c>
      <c r="BP202" s="39" t="s">
        <v>2809</v>
      </c>
    </row>
    <row r="203" spans="1:68">
      <c r="A203" s="39" t="s">
        <v>20</v>
      </c>
      <c r="B203" s="39" t="s">
        <v>21</v>
      </c>
      <c r="C203" s="39" t="s">
        <v>2751</v>
      </c>
      <c r="D203" s="39" t="s">
        <v>131</v>
      </c>
      <c r="E203" s="39" t="s">
        <v>132</v>
      </c>
      <c r="F203" s="39" t="s">
        <v>133</v>
      </c>
      <c r="G203" s="39" t="s">
        <v>134</v>
      </c>
      <c r="H203" s="39" t="s">
        <v>135</v>
      </c>
      <c r="I203" s="39" t="b">
        <v>0</v>
      </c>
      <c r="J203" s="39" t="s">
        <v>135</v>
      </c>
      <c r="K203" s="39" t="b">
        <v>0</v>
      </c>
      <c r="L203" s="39">
        <v>2613053164</v>
      </c>
      <c r="M203" s="39" t="s">
        <v>305</v>
      </c>
      <c r="N203" s="39" t="s">
        <v>2508</v>
      </c>
      <c r="R203" s="39" t="s">
        <v>134</v>
      </c>
      <c r="S203" s="39" t="b">
        <f t="shared" si="8"/>
        <v>1</v>
      </c>
      <c r="T203" s="39" t="s">
        <v>133</v>
      </c>
      <c r="U203" s="39" t="b">
        <f t="shared" si="9"/>
        <v>1</v>
      </c>
      <c r="V203" s="39" t="s">
        <v>2564</v>
      </c>
      <c r="W203" s="39" t="s">
        <v>2564</v>
      </c>
      <c r="X203" s="83">
        <v>2613053164</v>
      </c>
      <c r="Y203" s="84" t="s">
        <v>305</v>
      </c>
      <c r="Z203" s="83" t="s">
        <v>2508</v>
      </c>
      <c r="AA203" s="84" t="s">
        <v>2508</v>
      </c>
      <c r="AB203" s="108"/>
      <c r="AC203" s="107"/>
      <c r="AD203" s="84"/>
      <c r="AE203" s="83"/>
      <c r="AF203" s="84"/>
      <c r="AG203" s="83"/>
      <c r="AH203" s="84"/>
      <c r="AI203" s="39" t="s">
        <v>88</v>
      </c>
      <c r="AJ203" s="39" t="s">
        <v>45</v>
      </c>
      <c r="AK203" s="39" t="s">
        <v>306</v>
      </c>
      <c r="AM203" s="39" t="s">
        <v>306</v>
      </c>
      <c r="AN203" s="39" t="s">
        <v>307</v>
      </c>
      <c r="AO203" s="39" t="b">
        <v>0</v>
      </c>
      <c r="AP203" s="39" t="s">
        <v>308</v>
      </c>
      <c r="AQ203" s="39" t="s">
        <v>309</v>
      </c>
      <c r="AR203" s="39" t="s">
        <v>310</v>
      </c>
      <c r="AS203" s="39" t="s">
        <v>32</v>
      </c>
      <c r="AU203" s="44">
        <v>6281584068363</v>
      </c>
      <c r="AV203" s="39" t="s">
        <v>311</v>
      </c>
      <c r="AW203" s="39" t="s">
        <v>312</v>
      </c>
      <c r="AX203" s="39" t="s">
        <v>313</v>
      </c>
      <c r="AY203" s="39" t="s">
        <v>240</v>
      </c>
      <c r="AZ203" s="39" t="s">
        <v>133</v>
      </c>
      <c r="BA203" s="39" t="s">
        <v>1905</v>
      </c>
      <c r="BB203" s="39" t="s">
        <v>134</v>
      </c>
      <c r="BC203" s="39" t="s">
        <v>1916</v>
      </c>
      <c r="BD203" s="39" t="b">
        <v>1</v>
      </c>
      <c r="BE203" s="39" t="b">
        <v>1</v>
      </c>
      <c r="BF203" s="39">
        <v>2613053164</v>
      </c>
      <c r="BG203" s="39" t="s">
        <v>305</v>
      </c>
      <c r="BH203" s="39" t="s">
        <v>2072</v>
      </c>
      <c r="BI203" s="39" t="s">
        <v>2073</v>
      </c>
      <c r="BJ203" s="39" t="b">
        <v>1</v>
      </c>
      <c r="BK203" s="39" t="b">
        <v>1</v>
      </c>
      <c r="BN203" s="39">
        <v>0</v>
      </c>
      <c r="BO203" s="39" t="s">
        <v>2795</v>
      </c>
      <c r="BP203" s="39" t="s">
        <v>2809</v>
      </c>
    </row>
    <row r="204" spans="1:68">
      <c r="A204" s="39" t="s">
        <v>20</v>
      </c>
      <c r="B204" s="39" t="s">
        <v>21</v>
      </c>
      <c r="C204" s="39" t="s">
        <v>2751</v>
      </c>
      <c r="D204" s="39" t="s">
        <v>131</v>
      </c>
      <c r="E204" s="39" t="s">
        <v>132</v>
      </c>
      <c r="F204" s="39" t="s">
        <v>133</v>
      </c>
      <c r="G204" s="39" t="s">
        <v>134</v>
      </c>
      <c r="H204" s="39" t="s">
        <v>135</v>
      </c>
      <c r="I204" s="39" t="b">
        <v>0</v>
      </c>
      <c r="J204" s="39" t="s">
        <v>135</v>
      </c>
      <c r="K204" s="39" t="b">
        <v>0</v>
      </c>
      <c r="L204" s="39" t="s">
        <v>602</v>
      </c>
      <c r="M204" s="39" t="s">
        <v>603</v>
      </c>
      <c r="N204" s="39" t="s">
        <v>2508</v>
      </c>
      <c r="R204" s="39" t="s">
        <v>134</v>
      </c>
      <c r="S204" s="39" t="b">
        <f t="shared" si="8"/>
        <v>1</v>
      </c>
      <c r="T204" s="39" t="s">
        <v>133</v>
      </c>
      <c r="U204" s="39" t="b">
        <f t="shared" si="9"/>
        <v>1</v>
      </c>
      <c r="V204" s="39" t="s">
        <v>2564</v>
      </c>
      <c r="W204" s="39" t="s">
        <v>2564</v>
      </c>
      <c r="X204" s="83" t="s">
        <v>602</v>
      </c>
      <c r="Y204" s="84" t="s">
        <v>603</v>
      </c>
      <c r="Z204" s="83" t="s">
        <v>2508</v>
      </c>
      <c r="AA204" s="84" t="s">
        <v>2508</v>
      </c>
      <c r="AB204" s="108"/>
      <c r="AC204" s="107"/>
      <c r="AD204" s="84"/>
      <c r="AE204" s="83"/>
      <c r="AF204" s="84"/>
      <c r="AG204" s="83"/>
      <c r="AH204" s="84"/>
      <c r="AI204" s="39" t="s">
        <v>88</v>
      </c>
      <c r="AJ204" s="39" t="s">
        <v>45</v>
      </c>
      <c r="AK204" s="39" t="s">
        <v>604</v>
      </c>
      <c r="AM204" s="39" t="s">
        <v>604</v>
      </c>
      <c r="AN204" s="39" t="s">
        <v>604</v>
      </c>
      <c r="AO204" s="39" t="b">
        <v>0</v>
      </c>
      <c r="AP204" s="39" t="s">
        <v>605</v>
      </c>
      <c r="AQ204" s="39" t="s">
        <v>606</v>
      </c>
      <c r="AR204" s="39" t="s">
        <v>310</v>
      </c>
      <c r="AS204" s="39" t="s">
        <v>32</v>
      </c>
      <c r="AU204" s="44">
        <v>6285882641933</v>
      </c>
      <c r="AV204" s="39" t="s">
        <v>607</v>
      </c>
      <c r="AW204" s="39" t="s">
        <v>312</v>
      </c>
      <c r="AX204" s="39" t="s">
        <v>608</v>
      </c>
      <c r="AY204" s="39" t="s">
        <v>609</v>
      </c>
      <c r="AZ204" s="39" t="s">
        <v>133</v>
      </c>
      <c r="BA204" s="39" t="s">
        <v>1905</v>
      </c>
      <c r="BB204" s="39" t="s">
        <v>134</v>
      </c>
      <c r="BC204" s="39" t="s">
        <v>1916</v>
      </c>
      <c r="BD204" s="39" t="b">
        <v>1</v>
      </c>
      <c r="BE204" s="39" t="b">
        <v>1</v>
      </c>
      <c r="BF204" s="39" t="s">
        <v>602</v>
      </c>
      <c r="BG204" s="39" t="s">
        <v>603</v>
      </c>
      <c r="BH204" s="39" t="s">
        <v>2156</v>
      </c>
      <c r="BI204" s="39" t="s">
        <v>2157</v>
      </c>
      <c r="BJ204" s="39" t="b">
        <v>1</v>
      </c>
      <c r="BK204" s="39" t="b">
        <v>1</v>
      </c>
      <c r="BN204" s="39">
        <v>0</v>
      </c>
      <c r="BO204" s="39" t="s">
        <v>2795</v>
      </c>
      <c r="BP204" s="39" t="s">
        <v>2809</v>
      </c>
    </row>
    <row r="205" spans="1:68">
      <c r="A205" s="39" t="s">
        <v>20</v>
      </c>
      <c r="B205" s="39" t="s">
        <v>21</v>
      </c>
      <c r="C205" s="39" t="s">
        <v>2751</v>
      </c>
      <c r="D205" s="39" t="s">
        <v>131</v>
      </c>
      <c r="E205" s="39" t="s">
        <v>132</v>
      </c>
      <c r="F205" s="39" t="s">
        <v>133</v>
      </c>
      <c r="G205" s="39" t="s">
        <v>134</v>
      </c>
      <c r="H205" s="39" t="s">
        <v>135</v>
      </c>
      <c r="I205" s="39" t="b">
        <v>0</v>
      </c>
      <c r="J205" s="39" t="s">
        <v>135</v>
      </c>
      <c r="K205" s="39" t="b">
        <v>0</v>
      </c>
      <c r="L205" s="39" t="s">
        <v>617</v>
      </c>
      <c r="M205" s="39" t="s">
        <v>618</v>
      </c>
      <c r="N205" s="39" t="s">
        <v>2508</v>
      </c>
      <c r="R205" s="39" t="s">
        <v>134</v>
      </c>
      <c r="S205" s="39" t="b">
        <f t="shared" si="8"/>
        <v>1</v>
      </c>
      <c r="T205" s="39" t="s">
        <v>133</v>
      </c>
      <c r="U205" s="39" t="b">
        <f t="shared" si="9"/>
        <v>1</v>
      </c>
      <c r="V205" s="39" t="s">
        <v>2564</v>
      </c>
      <c r="W205" s="39" t="s">
        <v>2564</v>
      </c>
      <c r="X205" s="83" t="s">
        <v>617</v>
      </c>
      <c r="Y205" s="84" t="s">
        <v>618</v>
      </c>
      <c r="Z205" s="83" t="s">
        <v>2508</v>
      </c>
      <c r="AA205" s="84" t="s">
        <v>2508</v>
      </c>
      <c r="AB205" s="108"/>
      <c r="AC205" s="107"/>
      <c r="AD205" s="84"/>
      <c r="AE205" s="83"/>
      <c r="AF205" s="84"/>
      <c r="AG205" s="83"/>
      <c r="AH205" s="84"/>
      <c r="AI205" s="39" t="s">
        <v>88</v>
      </c>
      <c r="AJ205" s="39" t="s">
        <v>45</v>
      </c>
      <c r="AK205" s="39" t="s">
        <v>619</v>
      </c>
      <c r="AM205" s="39" t="s">
        <v>619</v>
      </c>
      <c r="AN205" s="39" t="s">
        <v>619</v>
      </c>
      <c r="AO205" s="39" t="b">
        <v>0</v>
      </c>
      <c r="AP205" s="39" t="s">
        <v>620</v>
      </c>
      <c r="AQ205" s="39" t="s">
        <v>621</v>
      </c>
      <c r="AR205" s="39" t="s">
        <v>310</v>
      </c>
      <c r="AS205" s="39" t="s">
        <v>32</v>
      </c>
      <c r="AU205" s="44">
        <v>6285773051597</v>
      </c>
      <c r="AV205" s="39" t="s">
        <v>622</v>
      </c>
      <c r="AW205" s="39" t="s">
        <v>312</v>
      </c>
      <c r="AX205" s="39" t="s">
        <v>623</v>
      </c>
      <c r="AY205" s="39" t="s">
        <v>609</v>
      </c>
      <c r="AZ205" s="39" t="s">
        <v>133</v>
      </c>
      <c r="BA205" s="39" t="s">
        <v>1905</v>
      </c>
      <c r="BB205" s="39" t="s">
        <v>134</v>
      </c>
      <c r="BC205" s="39" t="s">
        <v>1916</v>
      </c>
      <c r="BD205" s="39" t="b">
        <v>1</v>
      </c>
      <c r="BE205" s="39" t="b">
        <v>1</v>
      </c>
      <c r="BF205" s="39" t="s">
        <v>617</v>
      </c>
      <c r="BG205" s="39" t="s">
        <v>618</v>
      </c>
      <c r="BH205" s="39" t="s">
        <v>2160</v>
      </c>
      <c r="BI205" s="39" t="s">
        <v>2161</v>
      </c>
      <c r="BJ205" s="39" t="b">
        <v>1</v>
      </c>
      <c r="BK205" s="39" t="b">
        <v>1</v>
      </c>
      <c r="BN205" s="39">
        <v>0</v>
      </c>
      <c r="BO205" s="39" t="s">
        <v>2795</v>
      </c>
      <c r="BP205" s="39" t="s">
        <v>2809</v>
      </c>
    </row>
    <row r="206" spans="1:68">
      <c r="A206" s="39" t="s">
        <v>20</v>
      </c>
      <c r="B206" s="39" t="s">
        <v>21</v>
      </c>
      <c r="C206" s="39" t="s">
        <v>2751</v>
      </c>
      <c r="D206" s="39" t="s">
        <v>131</v>
      </c>
      <c r="E206" s="39" t="s">
        <v>132</v>
      </c>
      <c r="F206" s="39" t="s">
        <v>133</v>
      </c>
      <c r="G206" s="39" t="s">
        <v>134</v>
      </c>
      <c r="H206" s="39" t="s">
        <v>135</v>
      </c>
      <c r="I206" s="39" t="b">
        <v>0</v>
      </c>
      <c r="J206" s="39" t="s">
        <v>135</v>
      </c>
      <c r="K206" s="39" t="b">
        <v>0</v>
      </c>
      <c r="L206" s="39" t="s">
        <v>1061</v>
      </c>
      <c r="M206" s="39" t="s">
        <v>1062</v>
      </c>
      <c r="N206" s="39" t="s">
        <v>2508</v>
      </c>
      <c r="R206" s="39" t="s">
        <v>134</v>
      </c>
      <c r="S206" s="39" t="b">
        <f t="shared" si="8"/>
        <v>1</v>
      </c>
      <c r="T206" s="39" t="s">
        <v>133</v>
      </c>
      <c r="U206" s="39" t="b">
        <f t="shared" si="9"/>
        <v>1</v>
      </c>
      <c r="V206" s="39" t="s">
        <v>2564</v>
      </c>
      <c r="W206" s="39" t="s">
        <v>2564</v>
      </c>
      <c r="X206" s="83" t="s">
        <v>1061</v>
      </c>
      <c r="Y206" s="84" t="s">
        <v>1062</v>
      </c>
      <c r="Z206" s="83" t="s">
        <v>2508</v>
      </c>
      <c r="AA206" s="84" t="s">
        <v>2508</v>
      </c>
      <c r="AB206" s="108"/>
      <c r="AC206" s="107"/>
      <c r="AD206" s="84"/>
      <c r="AE206" s="83"/>
      <c r="AF206" s="84"/>
      <c r="AG206" s="83"/>
      <c r="AH206" s="84"/>
      <c r="AI206" s="39" t="s">
        <v>88</v>
      </c>
      <c r="AJ206" s="39" t="s">
        <v>45</v>
      </c>
      <c r="AK206" s="39" t="s">
        <v>1063</v>
      </c>
      <c r="AM206" s="39" t="s">
        <v>1063</v>
      </c>
      <c r="AN206" s="39" t="s">
        <v>1063</v>
      </c>
      <c r="AO206" s="39" t="b">
        <v>0</v>
      </c>
      <c r="AP206" s="39" t="s">
        <v>1064</v>
      </c>
      <c r="AQ206" s="39" t="s">
        <v>1065</v>
      </c>
      <c r="AR206" s="39" t="s">
        <v>310</v>
      </c>
      <c r="AS206" s="39" t="s">
        <v>32</v>
      </c>
      <c r="AU206" s="44">
        <v>6285777565554</v>
      </c>
      <c r="AV206" s="39" t="s">
        <v>1066</v>
      </c>
      <c r="AW206" s="39" t="s">
        <v>312</v>
      </c>
      <c r="AX206" s="39" t="s">
        <v>1067</v>
      </c>
      <c r="AY206" s="39" t="s">
        <v>609</v>
      </c>
      <c r="AZ206" s="39" t="s">
        <v>133</v>
      </c>
      <c r="BA206" s="39" t="s">
        <v>1905</v>
      </c>
      <c r="BB206" s="39" t="s">
        <v>134</v>
      </c>
      <c r="BC206" s="39" t="s">
        <v>1916</v>
      </c>
      <c r="BD206" s="39" t="b">
        <v>1</v>
      </c>
      <c r="BE206" s="39" t="b">
        <v>1</v>
      </c>
      <c r="BF206" s="39" t="s">
        <v>1061</v>
      </c>
      <c r="BG206" s="39" t="s">
        <v>1062</v>
      </c>
      <c r="BH206" s="39" t="s">
        <v>2268</v>
      </c>
      <c r="BI206" s="39" t="s">
        <v>2269</v>
      </c>
      <c r="BJ206" s="39" t="b">
        <v>1</v>
      </c>
      <c r="BK206" s="39" t="b">
        <v>1</v>
      </c>
      <c r="BN206" s="39" t="s">
        <v>2505</v>
      </c>
      <c r="BO206" s="39" t="s">
        <v>2795</v>
      </c>
      <c r="BP206" s="39" t="s">
        <v>2809</v>
      </c>
    </row>
    <row r="207" spans="1:68">
      <c r="A207" s="39" t="s">
        <v>20</v>
      </c>
      <c r="B207" s="39" t="s">
        <v>21</v>
      </c>
      <c r="C207" s="39" t="s">
        <v>2752</v>
      </c>
      <c r="D207" s="39" t="s">
        <v>251</v>
      </c>
      <c r="E207" s="39" t="s">
        <v>252</v>
      </c>
      <c r="F207" s="39" t="s">
        <v>253</v>
      </c>
      <c r="G207" s="39" t="s">
        <v>254</v>
      </c>
      <c r="H207" s="39" t="s">
        <v>165</v>
      </c>
      <c r="I207" s="39" t="b">
        <v>0</v>
      </c>
      <c r="J207" s="39" t="s">
        <v>165</v>
      </c>
      <c r="K207" s="39" t="b">
        <v>0</v>
      </c>
      <c r="L207" s="39">
        <v>2613051196</v>
      </c>
      <c r="M207" s="39" t="s">
        <v>255</v>
      </c>
      <c r="N207" s="39" t="s">
        <v>2508</v>
      </c>
      <c r="R207" s="39" t="s">
        <v>254</v>
      </c>
      <c r="S207" s="39" t="b">
        <f t="shared" si="8"/>
        <v>1</v>
      </c>
      <c r="T207" s="39" t="s">
        <v>253</v>
      </c>
      <c r="U207" s="39" t="b">
        <f t="shared" si="9"/>
        <v>1</v>
      </c>
      <c r="V207" s="39" t="s">
        <v>2564</v>
      </c>
      <c r="W207" s="39" t="s">
        <v>2564</v>
      </c>
      <c r="X207" s="83">
        <v>2613051196</v>
      </c>
      <c r="Y207" s="84" t="s">
        <v>255</v>
      </c>
      <c r="Z207" s="83" t="s">
        <v>2508</v>
      </c>
      <c r="AA207" s="84" t="s">
        <v>2508</v>
      </c>
      <c r="AB207" s="108"/>
      <c r="AC207" s="107"/>
      <c r="AD207" s="84"/>
      <c r="AE207" s="83"/>
      <c r="AF207" s="84"/>
      <c r="AG207" s="83"/>
      <c r="AH207" s="84"/>
      <c r="AI207" s="39" t="s">
        <v>28</v>
      </c>
      <c r="AJ207" s="39" t="s">
        <v>45</v>
      </c>
      <c r="AK207" s="39" t="s">
        <v>256</v>
      </c>
      <c r="AP207" s="39" t="s">
        <v>257</v>
      </c>
      <c r="AQ207" s="39" t="s">
        <v>258</v>
      </c>
      <c r="AR207" s="39" t="s">
        <v>119</v>
      </c>
      <c r="AS207" s="39" t="s">
        <v>32</v>
      </c>
      <c r="AU207" s="44">
        <v>6285714183352</v>
      </c>
      <c r="AX207" s="39" t="s">
        <v>259</v>
      </c>
      <c r="AZ207" s="39" t="s">
        <v>253</v>
      </c>
      <c r="BA207" s="39" t="s">
        <v>1906</v>
      </c>
      <c r="BB207" s="39" t="s">
        <v>254</v>
      </c>
      <c r="BC207" s="39" t="s">
        <v>1920</v>
      </c>
      <c r="BD207" s="39" t="b">
        <v>1</v>
      </c>
      <c r="BE207" s="39" t="b">
        <v>1</v>
      </c>
      <c r="BF207" s="39">
        <v>2613051196</v>
      </c>
      <c r="BG207" s="39" t="s">
        <v>255</v>
      </c>
      <c r="BH207" s="39" t="s">
        <v>2058</v>
      </c>
      <c r="BI207" s="39" t="s">
        <v>2059</v>
      </c>
      <c r="BJ207" s="39" t="b">
        <v>1</v>
      </c>
      <c r="BK207" s="39" t="b">
        <v>1</v>
      </c>
      <c r="BN207" s="39">
        <v>0</v>
      </c>
      <c r="BO207" s="39" t="s">
        <v>2796</v>
      </c>
      <c r="BP207" s="39" t="s">
        <v>2806</v>
      </c>
    </row>
    <row r="208" spans="1:68">
      <c r="A208" s="39" t="s">
        <v>20</v>
      </c>
      <c r="B208" s="39" t="s">
        <v>21</v>
      </c>
      <c r="C208" s="39" t="s">
        <v>2752</v>
      </c>
      <c r="D208" s="39" t="s">
        <v>251</v>
      </c>
      <c r="E208" s="39" t="s">
        <v>252</v>
      </c>
      <c r="F208" s="39" t="s">
        <v>253</v>
      </c>
      <c r="G208" s="39" t="s">
        <v>254</v>
      </c>
      <c r="H208" s="39" t="s">
        <v>165</v>
      </c>
      <c r="I208" s="39" t="b">
        <v>0</v>
      </c>
      <c r="J208" s="39" t="s">
        <v>165</v>
      </c>
      <c r="K208" s="39" t="b">
        <v>0</v>
      </c>
      <c r="L208" s="39">
        <v>2613051197</v>
      </c>
      <c r="M208" s="39" t="s">
        <v>260</v>
      </c>
      <c r="N208" s="39" t="s">
        <v>2512</v>
      </c>
      <c r="O208" s="39" t="s">
        <v>2524</v>
      </c>
      <c r="R208" s="39" t="s">
        <v>254</v>
      </c>
      <c r="S208" s="39" t="b">
        <f t="shared" si="8"/>
        <v>1</v>
      </c>
      <c r="T208" s="39" t="s">
        <v>163</v>
      </c>
      <c r="U208" s="39" t="b">
        <f t="shared" si="9"/>
        <v>0</v>
      </c>
      <c r="V208" s="39" t="s">
        <v>2562</v>
      </c>
      <c r="W208" s="39" t="s">
        <v>2564</v>
      </c>
      <c r="X208" s="83">
        <v>2613051197</v>
      </c>
      <c r="Y208" s="84" t="s">
        <v>260</v>
      </c>
      <c r="Z208" s="83" t="s">
        <v>2508</v>
      </c>
      <c r="AA208" s="84" t="s">
        <v>2508</v>
      </c>
      <c r="AB208" s="108"/>
      <c r="AC208" s="107"/>
      <c r="AD208" s="84"/>
      <c r="AE208" s="83"/>
      <c r="AF208" s="84"/>
      <c r="AG208" s="83"/>
      <c r="AH208" s="84"/>
      <c r="AI208" s="39" t="s">
        <v>28</v>
      </c>
      <c r="AJ208" s="39" t="s">
        <v>45</v>
      </c>
      <c r="AK208" s="39" t="s">
        <v>261</v>
      </c>
      <c r="AP208" s="39" t="s">
        <v>262</v>
      </c>
      <c r="AQ208" s="39" t="s">
        <v>263</v>
      </c>
      <c r="AR208" s="39" t="s">
        <v>68</v>
      </c>
      <c r="AS208" s="39" t="s">
        <v>32</v>
      </c>
      <c r="AU208" s="44">
        <v>6285714193988</v>
      </c>
      <c r="AX208" s="39" t="s">
        <v>264</v>
      </c>
      <c r="AZ208" s="39" t="s">
        <v>253</v>
      </c>
      <c r="BA208" s="39" t="s">
        <v>1906</v>
      </c>
      <c r="BB208" s="39" t="s">
        <v>254</v>
      </c>
      <c r="BC208" s="39" t="s">
        <v>1920</v>
      </c>
      <c r="BD208" s="39" t="b">
        <v>1</v>
      </c>
      <c r="BE208" s="39" t="b">
        <v>1</v>
      </c>
      <c r="BF208" s="39">
        <v>2613051197</v>
      </c>
      <c r="BG208" s="39" t="s">
        <v>260</v>
      </c>
      <c r="BH208" s="39" t="s">
        <v>2060</v>
      </c>
      <c r="BI208" s="39" t="s">
        <v>2061</v>
      </c>
      <c r="BJ208" s="39" t="b">
        <v>1</v>
      </c>
      <c r="BK208" s="39" t="b">
        <v>1</v>
      </c>
      <c r="BN208" s="39">
        <v>0</v>
      </c>
      <c r="BO208" s="39" t="s">
        <v>2796</v>
      </c>
      <c r="BP208" s="39" t="s">
        <v>2806</v>
      </c>
    </row>
    <row r="209" spans="1:68">
      <c r="A209" s="39" t="s">
        <v>20</v>
      </c>
      <c r="B209" s="39" t="s">
        <v>21</v>
      </c>
      <c r="C209" s="39" t="s">
        <v>2752</v>
      </c>
      <c r="D209" s="39" t="s">
        <v>251</v>
      </c>
      <c r="E209" s="39" t="s">
        <v>252</v>
      </c>
      <c r="F209" s="39" t="s">
        <v>253</v>
      </c>
      <c r="G209" s="39" t="s">
        <v>254</v>
      </c>
      <c r="H209" s="39" t="s">
        <v>165</v>
      </c>
      <c r="I209" s="39" t="b">
        <v>0</v>
      </c>
      <c r="J209" s="39" t="s">
        <v>165</v>
      </c>
      <c r="K209" s="39" t="b">
        <v>0</v>
      </c>
      <c r="L209" s="39">
        <v>2613051371</v>
      </c>
      <c r="M209" s="39" t="s">
        <v>265</v>
      </c>
      <c r="N209" s="39" t="s">
        <v>2508</v>
      </c>
      <c r="R209" s="39" t="s">
        <v>254</v>
      </c>
      <c r="S209" s="39" t="b">
        <f t="shared" si="8"/>
        <v>1</v>
      </c>
      <c r="T209" s="39" t="s">
        <v>253</v>
      </c>
      <c r="U209" s="39" t="b">
        <f t="shared" si="9"/>
        <v>1</v>
      </c>
      <c r="V209" s="39" t="s">
        <v>2564</v>
      </c>
      <c r="W209" s="39" t="s">
        <v>2564</v>
      </c>
      <c r="X209" s="83">
        <v>2613051371</v>
      </c>
      <c r="Y209" s="84" t="s">
        <v>265</v>
      </c>
      <c r="Z209" s="83" t="s">
        <v>2508</v>
      </c>
      <c r="AA209" s="84" t="s">
        <v>2508</v>
      </c>
      <c r="AB209" s="108"/>
      <c r="AC209" s="107"/>
      <c r="AD209" s="84"/>
      <c r="AE209" s="83"/>
      <c r="AF209" s="84"/>
      <c r="AG209" s="83"/>
      <c r="AH209" s="84"/>
      <c r="AI209" s="39" t="s">
        <v>28</v>
      </c>
      <c r="AJ209" s="39" t="s">
        <v>45</v>
      </c>
      <c r="AK209" s="39" t="s">
        <v>266</v>
      </c>
      <c r="AP209" s="39" t="s">
        <v>267</v>
      </c>
      <c r="AQ209" s="39" t="s">
        <v>268</v>
      </c>
      <c r="AR209" s="39" t="s">
        <v>68</v>
      </c>
      <c r="AS209" s="39" t="s">
        <v>32</v>
      </c>
      <c r="AU209" s="44">
        <v>628567799578</v>
      </c>
      <c r="AX209" s="39" t="s">
        <v>269</v>
      </c>
      <c r="AZ209" s="39" t="s">
        <v>253</v>
      </c>
      <c r="BA209" s="39" t="s">
        <v>1906</v>
      </c>
      <c r="BB209" s="39" t="s">
        <v>254</v>
      </c>
      <c r="BC209" s="39" t="s">
        <v>1920</v>
      </c>
      <c r="BD209" s="39" t="b">
        <v>1</v>
      </c>
      <c r="BE209" s="39" t="b">
        <v>1</v>
      </c>
      <c r="BF209" s="39">
        <v>2613051371</v>
      </c>
      <c r="BG209" s="39" t="s">
        <v>265</v>
      </c>
      <c r="BH209" s="39" t="s">
        <v>2062</v>
      </c>
      <c r="BI209" s="39" t="s">
        <v>2063</v>
      </c>
      <c r="BJ209" s="39" t="b">
        <v>1</v>
      </c>
      <c r="BK209" s="39" t="b">
        <v>1</v>
      </c>
      <c r="BN209" s="39">
        <v>0</v>
      </c>
      <c r="BO209" s="39" t="s">
        <v>2796</v>
      </c>
      <c r="BP209" s="39" t="s">
        <v>2806</v>
      </c>
    </row>
    <row r="210" spans="1:68">
      <c r="A210" s="39" t="s">
        <v>20</v>
      </c>
      <c r="B210" s="39" t="s">
        <v>21</v>
      </c>
      <c r="C210" s="39" t="s">
        <v>2752</v>
      </c>
      <c r="D210" s="39" t="s">
        <v>251</v>
      </c>
      <c r="E210" s="39" t="s">
        <v>252</v>
      </c>
      <c r="F210" s="39" t="s">
        <v>253</v>
      </c>
      <c r="G210" s="39" t="s">
        <v>254</v>
      </c>
      <c r="H210" s="39" t="s">
        <v>165</v>
      </c>
      <c r="I210" s="39" t="b">
        <v>0</v>
      </c>
      <c r="J210" s="39" t="s">
        <v>165</v>
      </c>
      <c r="K210" s="39" t="b">
        <v>0</v>
      </c>
      <c r="L210" s="39" t="s">
        <v>1150</v>
      </c>
      <c r="M210" s="39" t="s">
        <v>1151</v>
      </c>
      <c r="N210" s="39" t="s">
        <v>2508</v>
      </c>
      <c r="R210" s="39" t="s">
        <v>254</v>
      </c>
      <c r="S210" s="39" t="b">
        <f t="shared" si="8"/>
        <v>1</v>
      </c>
      <c r="T210" s="39" t="s">
        <v>253</v>
      </c>
      <c r="U210" s="39" t="b">
        <f t="shared" si="9"/>
        <v>1</v>
      </c>
      <c r="V210" s="39" t="s">
        <v>2564</v>
      </c>
      <c r="W210" s="39" t="s">
        <v>2564</v>
      </c>
      <c r="X210" s="83" t="s">
        <v>1150</v>
      </c>
      <c r="Y210" s="84" t="s">
        <v>1151</v>
      </c>
      <c r="Z210" s="83" t="s">
        <v>2508</v>
      </c>
      <c r="AA210" s="84" t="s">
        <v>2508</v>
      </c>
      <c r="AB210" s="108"/>
      <c r="AC210" s="107"/>
      <c r="AD210" s="84"/>
      <c r="AE210" s="83"/>
      <c r="AF210" s="84"/>
      <c r="AG210" s="83"/>
      <c r="AH210" s="84"/>
      <c r="AI210" s="39" t="s">
        <v>28</v>
      </c>
      <c r="AJ210" s="39" t="s">
        <v>45</v>
      </c>
      <c r="AK210" s="39" t="s">
        <v>1152</v>
      </c>
      <c r="AP210" s="39" t="s">
        <v>1153</v>
      </c>
      <c r="AQ210" s="39" t="s">
        <v>1154</v>
      </c>
      <c r="AR210" s="39" t="s">
        <v>68</v>
      </c>
      <c r="AS210" s="39" t="s">
        <v>32</v>
      </c>
      <c r="AU210" s="44">
        <v>6285716960151</v>
      </c>
      <c r="AX210" s="39" t="s">
        <v>1155</v>
      </c>
      <c r="AZ210" s="39" t="s">
        <v>253</v>
      </c>
      <c r="BA210" s="39" t="s">
        <v>1906</v>
      </c>
      <c r="BB210" s="39" t="s">
        <v>254</v>
      </c>
      <c r="BC210" s="39" t="s">
        <v>1920</v>
      </c>
      <c r="BD210" s="39" t="b">
        <v>1</v>
      </c>
      <c r="BE210" s="39" t="b">
        <v>1</v>
      </c>
      <c r="BF210" s="39" t="s">
        <v>1150</v>
      </c>
      <c r="BG210" s="39" t="s">
        <v>1151</v>
      </c>
      <c r="BH210" s="39" t="s">
        <v>2296</v>
      </c>
      <c r="BI210" s="39" t="s">
        <v>2297</v>
      </c>
      <c r="BJ210" s="39" t="b">
        <v>1</v>
      </c>
      <c r="BK210" s="39" t="b">
        <v>1</v>
      </c>
      <c r="BN210" s="39">
        <v>0</v>
      </c>
      <c r="BO210" s="39" t="s">
        <v>2796</v>
      </c>
      <c r="BP210" s="39" t="s">
        <v>2806</v>
      </c>
    </row>
    <row r="211" spans="1:68">
      <c r="A211" s="39" t="s">
        <v>20</v>
      </c>
      <c r="B211" s="39" t="s">
        <v>21</v>
      </c>
      <c r="C211" s="39" t="s">
        <v>2752</v>
      </c>
      <c r="D211" s="39" t="s">
        <v>251</v>
      </c>
      <c r="E211" s="39" t="s">
        <v>252</v>
      </c>
      <c r="F211" s="39" t="s">
        <v>253</v>
      </c>
      <c r="G211" s="39" t="s">
        <v>254</v>
      </c>
      <c r="H211" s="39" t="s">
        <v>165</v>
      </c>
      <c r="I211" s="39" t="b">
        <v>0</v>
      </c>
      <c r="J211" s="39" t="s">
        <v>165</v>
      </c>
      <c r="K211" s="39" t="b">
        <v>0</v>
      </c>
      <c r="L211" s="39" t="s">
        <v>1156</v>
      </c>
      <c r="M211" s="39" t="s">
        <v>1157</v>
      </c>
      <c r="N211" s="39" t="s">
        <v>2508</v>
      </c>
      <c r="R211" s="39" t="s">
        <v>254</v>
      </c>
      <c r="S211" s="39" t="b">
        <f t="shared" si="8"/>
        <v>1</v>
      </c>
      <c r="T211" s="39" t="s">
        <v>253</v>
      </c>
      <c r="U211" s="39" t="b">
        <f t="shared" si="9"/>
        <v>1</v>
      </c>
      <c r="V211" s="39" t="s">
        <v>2564</v>
      </c>
      <c r="W211" s="39" t="s">
        <v>2564</v>
      </c>
      <c r="X211" s="83" t="s">
        <v>1156</v>
      </c>
      <c r="Y211" s="84" t="s">
        <v>1157</v>
      </c>
      <c r="Z211" s="83" t="s">
        <v>2508</v>
      </c>
      <c r="AA211" s="84" t="s">
        <v>2508</v>
      </c>
      <c r="AB211" s="108"/>
      <c r="AC211" s="107"/>
      <c r="AD211" s="84"/>
      <c r="AE211" s="83"/>
      <c r="AF211" s="84"/>
      <c r="AG211" s="83"/>
      <c r="AH211" s="84"/>
      <c r="AI211" s="39" t="s">
        <v>28</v>
      </c>
      <c r="AJ211" s="39" t="s">
        <v>45</v>
      </c>
      <c r="AK211" s="39" t="s">
        <v>1158</v>
      </c>
      <c r="AP211" s="39" t="s">
        <v>1159</v>
      </c>
      <c r="AQ211" s="39" t="s">
        <v>1160</v>
      </c>
      <c r="AR211" s="39" t="s">
        <v>119</v>
      </c>
      <c r="AS211" s="39" t="s">
        <v>32</v>
      </c>
      <c r="AU211" s="44">
        <v>6285777218168</v>
      </c>
      <c r="AX211" s="39" t="s">
        <v>1161</v>
      </c>
      <c r="AZ211" s="39" t="s">
        <v>253</v>
      </c>
      <c r="BA211" s="39" t="s">
        <v>1906</v>
      </c>
      <c r="BB211" s="39" t="s">
        <v>254</v>
      </c>
      <c r="BC211" s="39" t="s">
        <v>1920</v>
      </c>
      <c r="BD211" s="39" t="b">
        <v>1</v>
      </c>
      <c r="BE211" s="39" t="b">
        <v>1</v>
      </c>
      <c r="BF211" s="39" t="s">
        <v>1156</v>
      </c>
      <c r="BG211" s="39" t="s">
        <v>1157</v>
      </c>
      <c r="BH211" s="39" t="s">
        <v>2298</v>
      </c>
      <c r="BI211" s="39" t="s">
        <v>2299</v>
      </c>
      <c r="BJ211" s="39" t="b">
        <v>1</v>
      </c>
      <c r="BK211" s="39" t="b">
        <v>1</v>
      </c>
      <c r="BN211" s="39">
        <v>0</v>
      </c>
      <c r="BO211" s="39" t="s">
        <v>2796</v>
      </c>
      <c r="BP211" s="39" t="s">
        <v>2806</v>
      </c>
    </row>
    <row r="212" spans="1:68">
      <c r="A212" s="39" t="s">
        <v>20</v>
      </c>
      <c r="B212" s="39" t="s">
        <v>21</v>
      </c>
      <c r="C212" s="39" t="s">
        <v>2752</v>
      </c>
      <c r="D212" s="39" t="s">
        <v>251</v>
      </c>
      <c r="E212" s="39" t="s">
        <v>252</v>
      </c>
      <c r="F212" s="39" t="s">
        <v>253</v>
      </c>
      <c r="G212" s="39" t="s">
        <v>254</v>
      </c>
      <c r="H212" s="39" t="s">
        <v>165</v>
      </c>
      <c r="I212" s="39" t="b">
        <v>0</v>
      </c>
      <c r="J212" s="39" t="s">
        <v>165</v>
      </c>
      <c r="K212" s="39" t="b">
        <v>0</v>
      </c>
      <c r="L212" s="39" t="s">
        <v>1162</v>
      </c>
      <c r="M212" s="39" t="s">
        <v>1163</v>
      </c>
      <c r="N212" s="39" t="s">
        <v>2508</v>
      </c>
      <c r="R212" s="39" t="s">
        <v>254</v>
      </c>
      <c r="S212" s="39" t="b">
        <f t="shared" si="8"/>
        <v>1</v>
      </c>
      <c r="T212" s="39" t="s">
        <v>253</v>
      </c>
      <c r="U212" s="39" t="b">
        <f t="shared" si="9"/>
        <v>1</v>
      </c>
      <c r="V212" s="39" t="s">
        <v>2564</v>
      </c>
      <c r="W212" s="39" t="s">
        <v>2564</v>
      </c>
      <c r="X212" s="83" t="s">
        <v>1162</v>
      </c>
      <c r="Y212" s="84" t="s">
        <v>1163</v>
      </c>
      <c r="Z212" s="83" t="s">
        <v>2508</v>
      </c>
      <c r="AA212" s="84" t="s">
        <v>2508</v>
      </c>
      <c r="AB212" s="108"/>
      <c r="AC212" s="107"/>
      <c r="AD212" s="84"/>
      <c r="AE212" s="83"/>
      <c r="AF212" s="84"/>
      <c r="AG212" s="83"/>
      <c r="AH212" s="84"/>
      <c r="AI212" s="39" t="s">
        <v>28</v>
      </c>
      <c r="AJ212" s="39" t="s">
        <v>45</v>
      </c>
      <c r="AK212" s="39" t="s">
        <v>1164</v>
      </c>
      <c r="AP212" s="39" t="s">
        <v>1165</v>
      </c>
      <c r="AQ212" s="39" t="s">
        <v>1166</v>
      </c>
      <c r="AR212" s="39" t="s">
        <v>68</v>
      </c>
      <c r="AS212" s="39" t="s">
        <v>32</v>
      </c>
      <c r="AU212" s="44">
        <v>6285711122768</v>
      </c>
      <c r="AX212" s="39" t="s">
        <v>1167</v>
      </c>
      <c r="AZ212" s="39" t="s">
        <v>253</v>
      </c>
      <c r="BA212" s="39" t="s">
        <v>1906</v>
      </c>
      <c r="BB212" s="39" t="s">
        <v>254</v>
      </c>
      <c r="BC212" s="39" t="s">
        <v>1920</v>
      </c>
      <c r="BD212" s="39" t="b">
        <v>1</v>
      </c>
      <c r="BE212" s="39" t="b">
        <v>1</v>
      </c>
      <c r="BF212" s="39" t="s">
        <v>1162</v>
      </c>
      <c r="BG212" s="39" t="s">
        <v>1163</v>
      </c>
      <c r="BH212" s="39" t="s">
        <v>2300</v>
      </c>
      <c r="BI212" s="39" t="s">
        <v>2301</v>
      </c>
      <c r="BJ212" s="39" t="b">
        <v>1</v>
      </c>
      <c r="BK212" s="39" t="b">
        <v>1</v>
      </c>
      <c r="BN212" s="39">
        <v>0</v>
      </c>
      <c r="BO212" s="39" t="s">
        <v>2796</v>
      </c>
      <c r="BP212" s="39" t="s">
        <v>2806</v>
      </c>
    </row>
    <row r="213" spans="1:68">
      <c r="A213" s="39" t="s">
        <v>20</v>
      </c>
      <c r="B213" s="39" t="s">
        <v>21</v>
      </c>
      <c r="C213" s="39" t="s">
        <v>2752</v>
      </c>
      <c r="D213" s="39" t="s">
        <v>251</v>
      </c>
      <c r="E213" s="39" t="s">
        <v>252</v>
      </c>
      <c r="F213" s="39" t="s">
        <v>253</v>
      </c>
      <c r="G213" s="39" t="s">
        <v>254</v>
      </c>
      <c r="H213" s="39" t="s">
        <v>165</v>
      </c>
      <c r="I213" s="39" t="b">
        <v>0</v>
      </c>
      <c r="J213" s="39" t="s">
        <v>165</v>
      </c>
      <c r="K213" s="39" t="b">
        <v>0</v>
      </c>
      <c r="L213" s="39" t="s">
        <v>1168</v>
      </c>
      <c r="M213" s="39" t="s">
        <v>1169</v>
      </c>
      <c r="N213" s="39" t="s">
        <v>2508</v>
      </c>
      <c r="R213" s="39" t="s">
        <v>254</v>
      </c>
      <c r="S213" s="39" t="b">
        <f t="shared" si="8"/>
        <v>1</v>
      </c>
      <c r="T213" s="39" t="s">
        <v>253</v>
      </c>
      <c r="U213" s="39" t="b">
        <f t="shared" si="9"/>
        <v>1</v>
      </c>
      <c r="V213" s="39" t="s">
        <v>2564</v>
      </c>
      <c r="W213" s="39" t="s">
        <v>2564</v>
      </c>
      <c r="X213" s="83" t="s">
        <v>1168</v>
      </c>
      <c r="Y213" s="84" t="s">
        <v>1169</v>
      </c>
      <c r="Z213" s="83" t="s">
        <v>2508</v>
      </c>
      <c r="AA213" s="84" t="s">
        <v>2509</v>
      </c>
      <c r="AB213" s="108"/>
      <c r="AC213" s="107"/>
      <c r="AD213" s="84"/>
      <c r="AE213" s="83"/>
      <c r="AF213" s="84"/>
      <c r="AG213" s="83"/>
      <c r="AH213" s="84"/>
      <c r="AI213" s="39" t="s">
        <v>28</v>
      </c>
      <c r="AJ213" s="39" t="s">
        <v>45</v>
      </c>
      <c r="AK213" s="39" t="s">
        <v>1170</v>
      </c>
      <c r="AP213" s="39" t="s">
        <v>1171</v>
      </c>
      <c r="AQ213" s="39" t="s">
        <v>1172</v>
      </c>
      <c r="AR213" s="39" t="s">
        <v>68</v>
      </c>
      <c r="AS213" s="39" t="s">
        <v>32</v>
      </c>
      <c r="AU213" s="44">
        <v>6285711122775</v>
      </c>
      <c r="AX213" s="39" t="s">
        <v>1173</v>
      </c>
      <c r="AZ213" s="39" t="s">
        <v>253</v>
      </c>
      <c r="BA213" s="39" t="s">
        <v>1906</v>
      </c>
      <c r="BB213" s="39" t="s">
        <v>254</v>
      </c>
      <c r="BC213" s="39" t="s">
        <v>1920</v>
      </c>
      <c r="BD213" s="39" t="b">
        <v>1</v>
      </c>
      <c r="BE213" s="39" t="b">
        <v>1</v>
      </c>
      <c r="BF213" s="39" t="s">
        <v>1168</v>
      </c>
      <c r="BG213" s="39" t="s">
        <v>1169</v>
      </c>
      <c r="BH213" s="39" t="s">
        <v>2302</v>
      </c>
      <c r="BI213" s="39" t="s">
        <v>2303</v>
      </c>
      <c r="BJ213" s="39" t="b">
        <v>1</v>
      </c>
      <c r="BK213" s="39" t="b">
        <v>1</v>
      </c>
      <c r="BN213" s="39">
        <v>0</v>
      </c>
      <c r="BO213" s="39" t="s">
        <v>2796</v>
      </c>
      <c r="BP213" s="39" t="s">
        <v>2806</v>
      </c>
    </row>
    <row r="214" spans="1:68">
      <c r="A214" s="39" t="s">
        <v>20</v>
      </c>
      <c r="B214" s="39" t="s">
        <v>21</v>
      </c>
      <c r="C214" s="39" t="s">
        <v>2752</v>
      </c>
      <c r="D214" s="39" t="s">
        <v>251</v>
      </c>
      <c r="E214" s="39" t="s">
        <v>252</v>
      </c>
      <c r="F214" s="39" t="s">
        <v>253</v>
      </c>
      <c r="G214" s="39" t="s">
        <v>254</v>
      </c>
      <c r="H214" s="39" t="s">
        <v>165</v>
      </c>
      <c r="I214" s="39" t="b">
        <f t="shared" ref="I214" si="10">H214=F214</f>
        <v>0</v>
      </c>
      <c r="J214" s="39" t="s">
        <v>165</v>
      </c>
      <c r="K214" s="39" t="b">
        <f t="shared" ref="K214" si="11">J214=G214</f>
        <v>0</v>
      </c>
      <c r="L214">
        <v>2613052472</v>
      </c>
      <c r="M214" t="s">
        <v>302</v>
      </c>
      <c r="R214" s="39" t="s">
        <v>254</v>
      </c>
      <c r="S214" s="39" t="b">
        <f t="shared" si="8"/>
        <v>1</v>
      </c>
      <c r="T214" s="39" t="s">
        <v>253</v>
      </c>
      <c r="U214" s="39" t="b">
        <f t="shared" si="9"/>
        <v>1</v>
      </c>
      <c r="V214" s="39" t="s">
        <v>2564</v>
      </c>
      <c r="W214" s="39" t="s">
        <v>2564</v>
      </c>
      <c r="X214" s="83" t="s">
        <v>2615</v>
      </c>
      <c r="Y214" s="84" t="s">
        <v>2616</v>
      </c>
      <c r="Z214" s="83" t="s">
        <v>2509</v>
      </c>
      <c r="AA214" s="84" t="s">
        <v>2508</v>
      </c>
      <c r="AB214" s="108">
        <v>6285722557577</v>
      </c>
      <c r="AC214" s="107"/>
      <c r="AD214" s="84"/>
      <c r="AE214" s="83"/>
      <c r="AF214" s="84"/>
      <c r="AG214" s="83"/>
      <c r="AH214" s="84"/>
      <c r="AI214" s="39" t="s">
        <v>28</v>
      </c>
      <c r="AJ214" s="39" t="str">
        <f t="shared" ref="AJ214" si="12">IF(LEN(AS214)&gt;4,"Ada","Tidak Ada")</f>
        <v>Tidak Ada</v>
      </c>
      <c r="AK214" s="39" t="s">
        <v>2613</v>
      </c>
      <c r="AQ214" s="77" t="s">
        <v>2614</v>
      </c>
      <c r="AU214" s="44">
        <v>6281511043226</v>
      </c>
      <c r="AX214" s="39" t="s">
        <v>304</v>
      </c>
      <c r="AY214" s="39" t="s">
        <v>291</v>
      </c>
      <c r="BO214" s="39" t="s">
        <v>2796</v>
      </c>
      <c r="BP214" s="39" t="s">
        <v>2806</v>
      </c>
    </row>
    <row r="215" spans="1:68">
      <c r="A215" s="39" t="s">
        <v>20</v>
      </c>
      <c r="B215" s="39" t="s">
        <v>21</v>
      </c>
      <c r="C215" s="39" t="s">
        <v>2752</v>
      </c>
      <c r="D215" s="39" t="s">
        <v>251</v>
      </c>
      <c r="E215" s="39" t="s">
        <v>252</v>
      </c>
      <c r="F215" s="39" t="s">
        <v>253</v>
      </c>
      <c r="G215" s="39" t="s">
        <v>254</v>
      </c>
      <c r="H215" s="39" t="s">
        <v>165</v>
      </c>
      <c r="I215" s="39" t="b">
        <v>0</v>
      </c>
      <c r="J215" s="39" t="s">
        <v>165</v>
      </c>
      <c r="K215" s="39" t="b">
        <v>0</v>
      </c>
      <c r="L215" s="39" t="s">
        <v>1174</v>
      </c>
      <c r="M215" s="39" t="s">
        <v>1175</v>
      </c>
      <c r="N215" s="39" t="s">
        <v>2508</v>
      </c>
      <c r="R215" s="39" t="s">
        <v>254</v>
      </c>
      <c r="S215" s="39" t="b">
        <f t="shared" si="8"/>
        <v>1</v>
      </c>
      <c r="T215" s="39" t="s">
        <v>253</v>
      </c>
      <c r="U215" s="39" t="b">
        <f t="shared" si="9"/>
        <v>1</v>
      </c>
      <c r="V215" s="39" t="s">
        <v>2564</v>
      </c>
      <c r="W215" s="39" t="s">
        <v>2564</v>
      </c>
      <c r="X215" s="83" t="s">
        <v>1174</v>
      </c>
      <c r="Y215" s="84" t="s">
        <v>1175</v>
      </c>
      <c r="Z215" s="83" t="s">
        <v>2508</v>
      </c>
      <c r="AA215" s="84" t="s">
        <v>2509</v>
      </c>
      <c r="AB215" s="108"/>
      <c r="AC215" s="107"/>
      <c r="AD215" s="84"/>
      <c r="AE215" s="83"/>
      <c r="AF215" s="84"/>
      <c r="AG215" s="83"/>
      <c r="AH215" s="84"/>
      <c r="AI215" s="39" t="s">
        <v>28</v>
      </c>
      <c r="AJ215" s="39" t="s">
        <v>45</v>
      </c>
      <c r="AK215" s="39" t="s">
        <v>1176</v>
      </c>
      <c r="AP215" s="39" t="s">
        <v>1177</v>
      </c>
      <c r="AQ215" s="39" t="s">
        <v>1178</v>
      </c>
      <c r="AR215" s="39" t="s">
        <v>68</v>
      </c>
      <c r="AS215" s="39" t="s">
        <v>32</v>
      </c>
      <c r="AU215" s="44">
        <v>6285777217965</v>
      </c>
      <c r="AX215" s="39" t="s">
        <v>1179</v>
      </c>
      <c r="AZ215" s="39" t="s">
        <v>253</v>
      </c>
      <c r="BA215" s="39" t="s">
        <v>1906</v>
      </c>
      <c r="BB215" s="39" t="s">
        <v>254</v>
      </c>
      <c r="BC215" s="39" t="s">
        <v>1920</v>
      </c>
      <c r="BD215" s="39" t="b">
        <v>1</v>
      </c>
      <c r="BE215" s="39" t="b">
        <v>1</v>
      </c>
      <c r="BF215" s="39" t="s">
        <v>1174</v>
      </c>
      <c r="BG215" s="39" t="s">
        <v>1175</v>
      </c>
      <c r="BH215" s="39" t="s">
        <v>2304</v>
      </c>
      <c r="BI215" s="39" t="s">
        <v>2305</v>
      </c>
      <c r="BJ215" s="39" t="b">
        <v>1</v>
      </c>
      <c r="BK215" s="39" t="b">
        <v>1</v>
      </c>
      <c r="BN215" s="39">
        <v>0</v>
      </c>
      <c r="BO215" s="39" t="s">
        <v>2796</v>
      </c>
      <c r="BP215" s="39" t="s">
        <v>2806</v>
      </c>
    </row>
    <row r="216" spans="1:68">
      <c r="A216" s="39" t="s">
        <v>20</v>
      </c>
      <c r="B216" s="39" t="s">
        <v>21</v>
      </c>
      <c r="C216" s="39" t="s">
        <v>2752</v>
      </c>
      <c r="D216" s="39" t="s">
        <v>181</v>
      </c>
      <c r="E216" s="39" t="s">
        <v>182</v>
      </c>
      <c r="F216" s="39" t="s">
        <v>183</v>
      </c>
      <c r="G216" s="39" t="s">
        <v>184</v>
      </c>
      <c r="H216" s="39" t="s">
        <v>165</v>
      </c>
      <c r="I216" s="39" t="b">
        <v>0</v>
      </c>
      <c r="J216" s="39" t="s">
        <v>165</v>
      </c>
      <c r="K216" s="39" t="b">
        <v>0</v>
      </c>
      <c r="L216" s="39">
        <v>2613051010</v>
      </c>
      <c r="M216" s="39" t="s">
        <v>185</v>
      </c>
      <c r="N216" s="39" t="s">
        <v>2508</v>
      </c>
      <c r="P216" s="39" t="s">
        <v>2509</v>
      </c>
      <c r="R216" s="39" t="s">
        <v>184</v>
      </c>
      <c r="S216" s="39" t="b">
        <f t="shared" si="8"/>
        <v>1</v>
      </c>
      <c r="T216" s="39" t="s">
        <v>183</v>
      </c>
      <c r="U216" s="39" t="b">
        <f t="shared" si="9"/>
        <v>1</v>
      </c>
      <c r="V216" s="39" t="s">
        <v>2564</v>
      </c>
      <c r="W216" s="39" t="s">
        <v>2564</v>
      </c>
      <c r="X216" s="83">
        <v>2613051010</v>
      </c>
      <c r="Y216" s="84" t="s">
        <v>185</v>
      </c>
      <c r="Z216" s="83" t="s">
        <v>2508</v>
      </c>
      <c r="AA216" s="84" t="s">
        <v>2509</v>
      </c>
      <c r="AB216" s="108"/>
      <c r="AC216" s="107"/>
      <c r="AD216" s="84"/>
      <c r="AE216" s="83"/>
      <c r="AF216" s="84"/>
      <c r="AG216" s="83"/>
      <c r="AH216" s="84"/>
      <c r="AI216" s="39" t="s">
        <v>28</v>
      </c>
      <c r="AJ216" s="39" t="s">
        <v>45</v>
      </c>
      <c r="AK216" s="39" t="s">
        <v>186</v>
      </c>
      <c r="AP216" s="39" t="s">
        <v>187</v>
      </c>
      <c r="AQ216" s="39" t="s">
        <v>188</v>
      </c>
      <c r="AR216" s="39" t="s">
        <v>68</v>
      </c>
      <c r="AS216" s="39" t="s">
        <v>32</v>
      </c>
      <c r="AU216" s="44">
        <v>6285782299524</v>
      </c>
      <c r="AX216" s="39" t="s">
        <v>189</v>
      </c>
      <c r="AZ216" s="39" t="s">
        <v>183</v>
      </c>
      <c r="BA216" s="39" t="s">
        <v>1906</v>
      </c>
      <c r="BB216" s="39" t="s">
        <v>184</v>
      </c>
      <c r="BC216" s="39" t="s">
        <v>1919</v>
      </c>
      <c r="BD216" s="39" t="b">
        <v>1</v>
      </c>
      <c r="BE216" s="39" t="b">
        <v>1</v>
      </c>
      <c r="BF216" s="39">
        <v>2613051010</v>
      </c>
      <c r="BG216" s="39" t="s">
        <v>185</v>
      </c>
      <c r="BH216" s="39" t="s">
        <v>2032</v>
      </c>
      <c r="BI216" s="39" t="s">
        <v>2033</v>
      </c>
      <c r="BJ216" s="39" t="b">
        <v>1</v>
      </c>
      <c r="BK216" s="39" t="b">
        <v>1</v>
      </c>
      <c r="BN216" s="39">
        <v>0</v>
      </c>
      <c r="BO216" s="39" t="s">
        <v>2797</v>
      </c>
      <c r="BP216" s="39" t="s">
        <v>2806</v>
      </c>
    </row>
    <row r="217" spans="1:68">
      <c r="A217" s="39" t="s">
        <v>20</v>
      </c>
      <c r="B217" s="39" t="s">
        <v>21</v>
      </c>
      <c r="C217" s="39" t="s">
        <v>2752</v>
      </c>
      <c r="D217" s="39" t="s">
        <v>181</v>
      </c>
      <c r="E217" s="39" t="s">
        <v>182</v>
      </c>
      <c r="F217" s="39" t="s">
        <v>183</v>
      </c>
      <c r="G217" s="39" t="s">
        <v>184</v>
      </c>
      <c r="H217" s="39" t="s">
        <v>165</v>
      </c>
      <c r="I217" s="39" t="b">
        <v>0</v>
      </c>
      <c r="J217" s="39" t="s">
        <v>165</v>
      </c>
      <c r="K217" s="39" t="b">
        <v>0</v>
      </c>
      <c r="L217" s="39">
        <v>2613051011</v>
      </c>
      <c r="M217" s="39" t="s">
        <v>190</v>
      </c>
      <c r="N217" s="39" t="s">
        <v>2510</v>
      </c>
      <c r="P217" s="39" t="s">
        <v>2509</v>
      </c>
      <c r="R217" s="39" t="s">
        <v>184</v>
      </c>
      <c r="S217" s="39" t="b">
        <f t="shared" si="8"/>
        <v>1</v>
      </c>
      <c r="U217" s="39" t="b">
        <f t="shared" si="9"/>
        <v>0</v>
      </c>
      <c r="V217" s="39" t="s">
        <v>2562</v>
      </c>
      <c r="W217" s="39" t="s">
        <v>2564</v>
      </c>
      <c r="X217" s="83">
        <v>2613051011</v>
      </c>
      <c r="Y217" s="84" t="s">
        <v>190</v>
      </c>
      <c r="Z217" s="83" t="s">
        <v>2512</v>
      </c>
      <c r="AA217" s="84" t="s">
        <v>2508</v>
      </c>
      <c r="AB217" s="108"/>
      <c r="AC217" s="107"/>
      <c r="AD217" s="83" t="s">
        <v>2763</v>
      </c>
      <c r="AE217" s="83"/>
      <c r="AF217" s="84"/>
      <c r="AG217" s="83"/>
      <c r="AH217" s="84"/>
      <c r="AI217" s="39" t="s">
        <v>28</v>
      </c>
      <c r="AJ217" s="39" t="s">
        <v>45</v>
      </c>
      <c r="AK217" s="39" t="s">
        <v>191</v>
      </c>
      <c r="AP217" s="39" t="s">
        <v>192</v>
      </c>
      <c r="AQ217" s="39" t="s">
        <v>193</v>
      </c>
      <c r="AR217" s="39" t="s">
        <v>68</v>
      </c>
      <c r="AS217" s="39" t="s">
        <v>32</v>
      </c>
      <c r="AU217" s="44">
        <v>6285777188892</v>
      </c>
      <c r="AX217" s="39" t="s">
        <v>194</v>
      </c>
      <c r="AZ217" s="39" t="s">
        <v>183</v>
      </c>
      <c r="BA217" s="39" t="s">
        <v>1906</v>
      </c>
      <c r="BB217" s="39" t="s">
        <v>184</v>
      </c>
      <c r="BC217" s="39" t="s">
        <v>1919</v>
      </c>
      <c r="BD217" s="39" t="b">
        <v>1</v>
      </c>
      <c r="BE217" s="39" t="b">
        <v>1</v>
      </c>
      <c r="BF217" s="39">
        <v>2613051011</v>
      </c>
      <c r="BG217" s="39" t="s">
        <v>190</v>
      </c>
      <c r="BH217" s="39" t="s">
        <v>2034</v>
      </c>
      <c r="BI217" s="39" t="s">
        <v>2035</v>
      </c>
      <c r="BJ217" s="39" t="b">
        <v>1</v>
      </c>
      <c r="BK217" s="39" t="b">
        <v>1</v>
      </c>
      <c r="BN217" s="39">
        <v>0</v>
      </c>
      <c r="BO217" s="39" t="s">
        <v>2797</v>
      </c>
      <c r="BP217" s="39" t="s">
        <v>2806</v>
      </c>
    </row>
    <row r="218" spans="1:68">
      <c r="A218" s="39" t="s">
        <v>20</v>
      </c>
      <c r="B218" s="39" t="s">
        <v>21</v>
      </c>
      <c r="C218" s="39" t="s">
        <v>2752</v>
      </c>
      <c r="D218" s="39" t="s">
        <v>181</v>
      </c>
      <c r="E218" s="39" t="s">
        <v>182</v>
      </c>
      <c r="F218" s="39" t="s">
        <v>183</v>
      </c>
      <c r="G218" s="39" t="s">
        <v>184</v>
      </c>
      <c r="H218" s="39" t="s">
        <v>165</v>
      </c>
      <c r="I218" s="39" t="b">
        <v>0</v>
      </c>
      <c r="J218" s="39" t="s">
        <v>165</v>
      </c>
      <c r="K218" s="39" t="b">
        <v>0</v>
      </c>
      <c r="L218" s="39">
        <v>2613051039</v>
      </c>
      <c r="M218" s="39" t="s">
        <v>205</v>
      </c>
      <c r="N218" s="39" t="s">
        <v>2508</v>
      </c>
      <c r="P218" s="39" t="s">
        <v>2509</v>
      </c>
      <c r="R218" s="39" t="s">
        <v>184</v>
      </c>
      <c r="S218" s="39" t="b">
        <f t="shared" si="8"/>
        <v>1</v>
      </c>
      <c r="T218" s="39" t="s">
        <v>183</v>
      </c>
      <c r="U218" s="39" t="b">
        <f t="shared" si="9"/>
        <v>1</v>
      </c>
      <c r="V218" s="39" t="s">
        <v>2564</v>
      </c>
      <c r="W218" s="39" t="s">
        <v>2564</v>
      </c>
      <c r="X218" s="83">
        <v>2613051039</v>
      </c>
      <c r="Y218" s="84" t="s">
        <v>205</v>
      </c>
      <c r="Z218" s="83" t="s">
        <v>2508</v>
      </c>
      <c r="AA218" s="84" t="s">
        <v>2508</v>
      </c>
      <c r="AB218" s="108"/>
      <c r="AC218" s="107"/>
      <c r="AD218" s="84"/>
      <c r="AE218" s="83"/>
      <c r="AF218" s="84"/>
      <c r="AG218" s="83"/>
      <c r="AH218" s="84"/>
      <c r="AI218" s="39" t="s">
        <v>28</v>
      </c>
      <c r="AJ218" s="39" t="s">
        <v>45</v>
      </c>
      <c r="AK218" s="39" t="s">
        <v>206</v>
      </c>
      <c r="AP218" s="39" t="s">
        <v>207</v>
      </c>
      <c r="AQ218" s="39" t="s">
        <v>208</v>
      </c>
      <c r="AR218" s="39" t="s">
        <v>68</v>
      </c>
      <c r="AS218" s="39" t="s">
        <v>32</v>
      </c>
      <c r="AU218" s="44">
        <v>6285772279482</v>
      </c>
      <c r="AX218" s="39" t="s">
        <v>209</v>
      </c>
      <c r="AZ218" s="39" t="s">
        <v>183</v>
      </c>
      <c r="BA218" s="39" t="s">
        <v>1906</v>
      </c>
      <c r="BB218" s="39" t="s">
        <v>184</v>
      </c>
      <c r="BC218" s="39" t="s">
        <v>1919</v>
      </c>
      <c r="BD218" s="39" t="b">
        <v>1</v>
      </c>
      <c r="BE218" s="39" t="b">
        <v>1</v>
      </c>
      <c r="BF218" s="39">
        <v>2613051039</v>
      </c>
      <c r="BG218" s="39" t="s">
        <v>205</v>
      </c>
      <c r="BH218" s="39" t="s">
        <v>2040</v>
      </c>
      <c r="BI218" s="39" t="s">
        <v>2041</v>
      </c>
      <c r="BJ218" s="39" t="b">
        <v>1</v>
      </c>
      <c r="BK218" s="39" t="b">
        <v>1</v>
      </c>
      <c r="BN218" s="39">
        <v>0</v>
      </c>
      <c r="BO218" s="39" t="s">
        <v>2797</v>
      </c>
      <c r="BP218" s="39" t="s">
        <v>2806</v>
      </c>
    </row>
    <row r="219" spans="1:68">
      <c r="A219" s="39" t="s">
        <v>20</v>
      </c>
      <c r="B219" s="39" t="s">
        <v>21</v>
      </c>
      <c r="C219" s="39" t="s">
        <v>2752</v>
      </c>
      <c r="D219" s="39" t="s">
        <v>181</v>
      </c>
      <c r="E219" s="39" t="s">
        <v>182</v>
      </c>
      <c r="F219" s="39" t="s">
        <v>183</v>
      </c>
      <c r="G219" s="39" t="s">
        <v>184</v>
      </c>
      <c r="H219" s="39" t="s">
        <v>165</v>
      </c>
      <c r="I219" s="39" t="b">
        <v>0</v>
      </c>
      <c r="J219" s="39" t="s">
        <v>165</v>
      </c>
      <c r="K219" s="39" t="b">
        <v>0</v>
      </c>
      <c r="L219" s="39">
        <v>2613051040</v>
      </c>
      <c r="M219" s="39" t="s">
        <v>210</v>
      </c>
      <c r="N219" s="39" t="s">
        <v>2508</v>
      </c>
      <c r="R219" s="39" t="s">
        <v>184</v>
      </c>
      <c r="S219" s="39" t="b">
        <f t="shared" si="8"/>
        <v>1</v>
      </c>
      <c r="T219" s="39" t="s">
        <v>183</v>
      </c>
      <c r="U219" s="39" t="b">
        <f t="shared" si="9"/>
        <v>1</v>
      </c>
      <c r="V219" s="39" t="s">
        <v>2564</v>
      </c>
      <c r="W219" s="39" t="s">
        <v>2564</v>
      </c>
      <c r="X219" s="83">
        <v>2613051040</v>
      </c>
      <c r="Y219" s="84" t="s">
        <v>210</v>
      </c>
      <c r="Z219" s="83" t="s">
        <v>2508</v>
      </c>
      <c r="AA219" s="84" t="s">
        <v>2508</v>
      </c>
      <c r="AB219" s="108"/>
      <c r="AC219" s="107"/>
      <c r="AD219" s="84"/>
      <c r="AE219" s="83"/>
      <c r="AF219" s="84"/>
      <c r="AG219" s="83"/>
      <c r="AH219" s="84"/>
      <c r="AI219" s="39" t="s">
        <v>28</v>
      </c>
      <c r="AJ219" s="39" t="s">
        <v>45</v>
      </c>
      <c r="AK219" s="39" t="s">
        <v>211</v>
      </c>
      <c r="AP219" s="39" t="s">
        <v>212</v>
      </c>
      <c r="AQ219" s="39" t="s">
        <v>213</v>
      </c>
      <c r="AR219" s="39" t="s">
        <v>68</v>
      </c>
      <c r="AS219" s="39" t="s">
        <v>32</v>
      </c>
      <c r="AU219" s="44">
        <v>6285892021430</v>
      </c>
      <c r="AX219" s="39" t="s">
        <v>214</v>
      </c>
      <c r="AZ219" s="39" t="s">
        <v>183</v>
      </c>
      <c r="BA219" s="39" t="s">
        <v>1906</v>
      </c>
      <c r="BB219" s="39" t="s">
        <v>184</v>
      </c>
      <c r="BC219" s="39" t="s">
        <v>1919</v>
      </c>
      <c r="BD219" s="39" t="b">
        <v>1</v>
      </c>
      <c r="BE219" s="39" t="b">
        <v>1</v>
      </c>
      <c r="BF219" s="39">
        <v>2613051040</v>
      </c>
      <c r="BG219" s="39" t="s">
        <v>210</v>
      </c>
      <c r="BH219" s="39" t="s">
        <v>2042</v>
      </c>
      <c r="BI219" s="39" t="s">
        <v>2043</v>
      </c>
      <c r="BJ219" s="39" t="b">
        <v>1</v>
      </c>
      <c r="BK219" s="39" t="b">
        <v>1</v>
      </c>
      <c r="BN219" s="39">
        <v>0</v>
      </c>
      <c r="BO219" s="39" t="s">
        <v>2797</v>
      </c>
      <c r="BP219" s="39" t="s">
        <v>2806</v>
      </c>
    </row>
    <row r="220" spans="1:68">
      <c r="A220" s="39" t="s">
        <v>20</v>
      </c>
      <c r="B220" s="39" t="s">
        <v>21</v>
      </c>
      <c r="C220" s="39" t="s">
        <v>2752</v>
      </c>
      <c r="D220" s="39" t="s">
        <v>181</v>
      </c>
      <c r="E220" s="39" t="s">
        <v>182</v>
      </c>
      <c r="F220" s="39" t="s">
        <v>183</v>
      </c>
      <c r="G220" s="39" t="s">
        <v>184</v>
      </c>
      <c r="H220" s="39" t="s">
        <v>165</v>
      </c>
      <c r="I220" s="39" t="b">
        <v>0</v>
      </c>
      <c r="J220" s="39" t="s">
        <v>165</v>
      </c>
      <c r="K220" s="39" t="b">
        <v>0</v>
      </c>
      <c r="L220" s="39">
        <v>2613051141</v>
      </c>
      <c r="M220" s="39" t="s">
        <v>246</v>
      </c>
      <c r="N220" s="39" t="s">
        <v>2508</v>
      </c>
      <c r="R220" s="39" t="s">
        <v>184</v>
      </c>
      <c r="S220" s="39" t="b">
        <f t="shared" si="8"/>
        <v>1</v>
      </c>
      <c r="T220" s="39" t="s">
        <v>183</v>
      </c>
      <c r="U220" s="39" t="b">
        <f t="shared" si="9"/>
        <v>1</v>
      </c>
      <c r="V220" s="39" t="s">
        <v>2564</v>
      </c>
      <c r="W220" s="39" t="s">
        <v>2564</v>
      </c>
      <c r="X220" s="83">
        <v>2613051141</v>
      </c>
      <c r="Y220" s="84" t="s">
        <v>246</v>
      </c>
      <c r="Z220" s="83" t="s">
        <v>2508</v>
      </c>
      <c r="AA220" s="84" t="s">
        <v>2508</v>
      </c>
      <c r="AB220" s="108"/>
      <c r="AC220" s="107"/>
      <c r="AD220" s="84"/>
      <c r="AE220" s="83"/>
      <c r="AF220" s="84"/>
      <c r="AG220" s="83"/>
      <c r="AH220" s="84"/>
      <c r="AI220" s="39" t="s">
        <v>28</v>
      </c>
      <c r="AJ220" s="39" t="s">
        <v>45</v>
      </c>
      <c r="AK220" s="39" t="s">
        <v>247</v>
      </c>
      <c r="AP220" s="39" t="s">
        <v>248</v>
      </c>
      <c r="AQ220" s="39" t="s">
        <v>249</v>
      </c>
      <c r="AR220" s="39" t="s">
        <v>68</v>
      </c>
      <c r="AS220" s="39" t="s">
        <v>32</v>
      </c>
      <c r="AU220" s="44">
        <v>6285714181518</v>
      </c>
      <c r="AX220" s="39" t="s">
        <v>250</v>
      </c>
      <c r="AZ220" s="39" t="s">
        <v>183</v>
      </c>
      <c r="BA220" s="39" t="s">
        <v>1906</v>
      </c>
      <c r="BB220" s="39" t="s">
        <v>184</v>
      </c>
      <c r="BC220" s="39" t="s">
        <v>1919</v>
      </c>
      <c r="BD220" s="39" t="b">
        <v>1</v>
      </c>
      <c r="BE220" s="39" t="b">
        <v>1</v>
      </c>
      <c r="BF220" s="39">
        <v>2613051141</v>
      </c>
      <c r="BG220" s="39" t="s">
        <v>246</v>
      </c>
      <c r="BH220" s="39" t="s">
        <v>2056</v>
      </c>
      <c r="BI220" s="39" t="s">
        <v>2057</v>
      </c>
      <c r="BJ220" s="39" t="b">
        <v>1</v>
      </c>
      <c r="BK220" s="39" t="b">
        <v>1</v>
      </c>
      <c r="BN220" s="39">
        <v>0</v>
      </c>
      <c r="BO220" s="39" t="s">
        <v>2797</v>
      </c>
      <c r="BP220" s="39" t="s">
        <v>2806</v>
      </c>
    </row>
    <row r="221" spans="1:68">
      <c r="A221" s="39" t="s">
        <v>20</v>
      </c>
      <c r="B221" s="39" t="s">
        <v>21</v>
      </c>
      <c r="C221" s="39" t="s">
        <v>2752</v>
      </c>
      <c r="D221" s="39" t="s">
        <v>181</v>
      </c>
      <c r="E221" s="39" t="s">
        <v>182</v>
      </c>
      <c r="F221" s="39" t="s">
        <v>183</v>
      </c>
      <c r="G221" s="39" t="s">
        <v>184</v>
      </c>
      <c r="H221" s="39" t="s">
        <v>165</v>
      </c>
      <c r="I221" s="39" t="b">
        <v>0</v>
      </c>
      <c r="J221" s="39" t="s">
        <v>165</v>
      </c>
      <c r="K221" s="39" t="b">
        <v>0</v>
      </c>
      <c r="L221" s="39" t="s">
        <v>1362</v>
      </c>
      <c r="M221" s="39" t="s">
        <v>1363</v>
      </c>
      <c r="N221" s="39" t="s">
        <v>2508</v>
      </c>
      <c r="P221" s="39" t="s">
        <v>2509</v>
      </c>
      <c r="R221" s="39" t="s">
        <v>184</v>
      </c>
      <c r="S221" s="39" t="b">
        <f t="shared" si="8"/>
        <v>1</v>
      </c>
      <c r="T221" s="39" t="s">
        <v>183</v>
      </c>
      <c r="U221" s="39" t="b">
        <f t="shared" si="9"/>
        <v>1</v>
      </c>
      <c r="V221" s="39" t="s">
        <v>2564</v>
      </c>
      <c r="W221" s="39" t="s">
        <v>2564</v>
      </c>
      <c r="X221" s="83" t="s">
        <v>1362</v>
      </c>
      <c r="Y221" s="84" t="s">
        <v>1363</v>
      </c>
      <c r="Z221" s="83" t="s">
        <v>2508</v>
      </c>
      <c r="AA221" s="84" t="s">
        <v>2508</v>
      </c>
      <c r="AB221" s="108"/>
      <c r="AC221" s="107"/>
      <c r="AD221" s="84"/>
      <c r="AE221" s="83"/>
      <c r="AF221" s="84"/>
      <c r="AG221" s="83"/>
      <c r="AH221" s="84"/>
      <c r="AI221" s="39" t="s">
        <v>28</v>
      </c>
      <c r="AJ221" s="39" t="s">
        <v>45</v>
      </c>
      <c r="AK221" s="39" t="s">
        <v>1364</v>
      </c>
      <c r="AP221" s="39" t="s">
        <v>1365</v>
      </c>
      <c r="AQ221" s="39" t="s">
        <v>1366</v>
      </c>
      <c r="AR221" s="39" t="s">
        <v>68</v>
      </c>
      <c r="AS221" s="39" t="s">
        <v>32</v>
      </c>
      <c r="AU221" s="44">
        <v>6285711122656</v>
      </c>
      <c r="AX221" s="39" t="s">
        <v>1367</v>
      </c>
      <c r="AZ221" s="39" t="s">
        <v>183</v>
      </c>
      <c r="BA221" s="39" t="s">
        <v>1906</v>
      </c>
      <c r="BB221" s="39" t="s">
        <v>184</v>
      </c>
      <c r="BC221" s="39" t="s">
        <v>1919</v>
      </c>
      <c r="BD221" s="39" t="b">
        <v>1</v>
      </c>
      <c r="BE221" s="39" t="b">
        <v>1</v>
      </c>
      <c r="BF221" s="39" t="s">
        <v>1362</v>
      </c>
      <c r="BG221" s="39" t="s">
        <v>1363</v>
      </c>
      <c r="BH221" s="39" t="s">
        <v>2350</v>
      </c>
      <c r="BI221" s="39" t="s">
        <v>2351</v>
      </c>
      <c r="BJ221" s="39" t="b">
        <v>1</v>
      </c>
      <c r="BK221" s="39" t="b">
        <v>1</v>
      </c>
      <c r="BN221" s="39">
        <v>0</v>
      </c>
      <c r="BO221" s="39" t="s">
        <v>2797</v>
      </c>
      <c r="BP221" s="39" t="s">
        <v>2806</v>
      </c>
    </row>
    <row r="222" spans="1:68">
      <c r="A222" s="39" t="s">
        <v>20</v>
      </c>
      <c r="B222" s="39" t="s">
        <v>21</v>
      </c>
      <c r="C222" s="39" t="s">
        <v>2752</v>
      </c>
      <c r="D222" s="39" t="s">
        <v>181</v>
      </c>
      <c r="E222" s="39" t="s">
        <v>182</v>
      </c>
      <c r="F222" s="39" t="s">
        <v>183</v>
      </c>
      <c r="G222" s="39" t="s">
        <v>184</v>
      </c>
      <c r="H222" s="39" t="s">
        <v>165</v>
      </c>
      <c r="I222" s="39" t="b">
        <v>0</v>
      </c>
      <c r="J222" s="39" t="s">
        <v>165</v>
      </c>
      <c r="K222" s="39" t="b">
        <v>0</v>
      </c>
      <c r="L222" s="39" t="s">
        <v>1368</v>
      </c>
      <c r="M222" s="39" t="s">
        <v>1369</v>
      </c>
      <c r="N222" s="39" t="s">
        <v>2508</v>
      </c>
      <c r="R222" s="39" t="s">
        <v>184</v>
      </c>
      <c r="S222" s="39" t="b">
        <f t="shared" si="8"/>
        <v>1</v>
      </c>
      <c r="T222" s="39" t="s">
        <v>183</v>
      </c>
      <c r="U222" s="39" t="b">
        <f t="shared" si="9"/>
        <v>1</v>
      </c>
      <c r="V222" s="39" t="s">
        <v>2564</v>
      </c>
      <c r="W222" s="39" t="s">
        <v>2564</v>
      </c>
      <c r="X222" s="83" t="s">
        <v>1368</v>
      </c>
      <c r="Y222" s="84" t="s">
        <v>1369</v>
      </c>
      <c r="Z222" s="83" t="s">
        <v>2508</v>
      </c>
      <c r="AA222" s="84" t="s">
        <v>2508</v>
      </c>
      <c r="AB222" s="108"/>
      <c r="AC222" s="107"/>
      <c r="AD222" s="84"/>
      <c r="AE222" s="83"/>
      <c r="AF222" s="84"/>
      <c r="AG222" s="83"/>
      <c r="AH222" s="84"/>
      <c r="AI222" s="39" t="s">
        <v>28</v>
      </c>
      <c r="AJ222" s="39" t="s">
        <v>45</v>
      </c>
      <c r="AK222" s="39" t="s">
        <v>1370</v>
      </c>
      <c r="AP222" s="39" t="s">
        <v>1371</v>
      </c>
      <c r="AQ222" s="39" t="s">
        <v>1372</v>
      </c>
      <c r="AR222" s="39" t="s">
        <v>68</v>
      </c>
      <c r="AS222" s="39" t="s">
        <v>32</v>
      </c>
      <c r="AU222" s="44">
        <v>6285711122663</v>
      </c>
      <c r="AX222" s="39" t="s">
        <v>1373</v>
      </c>
      <c r="AZ222" s="39" t="s">
        <v>183</v>
      </c>
      <c r="BA222" s="39" t="s">
        <v>1906</v>
      </c>
      <c r="BB222" s="39" t="s">
        <v>184</v>
      </c>
      <c r="BC222" s="39" t="s">
        <v>1919</v>
      </c>
      <c r="BD222" s="39" t="b">
        <v>1</v>
      </c>
      <c r="BE222" s="39" t="b">
        <v>1</v>
      </c>
      <c r="BF222" s="39" t="s">
        <v>1368</v>
      </c>
      <c r="BG222" s="39" t="s">
        <v>1369</v>
      </c>
      <c r="BH222" s="39" t="s">
        <v>2352</v>
      </c>
      <c r="BI222" s="39" t="s">
        <v>2353</v>
      </c>
      <c r="BJ222" s="39" t="b">
        <v>1</v>
      </c>
      <c r="BK222" s="39" t="b">
        <v>1</v>
      </c>
      <c r="BN222" s="39">
        <v>0</v>
      </c>
      <c r="BO222" s="39" t="s">
        <v>2797</v>
      </c>
      <c r="BP222" s="39" t="s">
        <v>2806</v>
      </c>
    </row>
    <row r="223" spans="1:68">
      <c r="A223" s="39" t="s">
        <v>20</v>
      </c>
      <c r="B223" s="39" t="s">
        <v>21</v>
      </c>
      <c r="C223" s="39" t="s">
        <v>2752</v>
      </c>
      <c r="D223" s="39" t="s">
        <v>181</v>
      </c>
      <c r="E223" s="39" t="s">
        <v>182</v>
      </c>
      <c r="F223" s="39" t="s">
        <v>183</v>
      </c>
      <c r="G223" s="39" t="s">
        <v>184</v>
      </c>
      <c r="H223" s="39" t="s">
        <v>165</v>
      </c>
      <c r="I223" s="39" t="b">
        <v>0</v>
      </c>
      <c r="J223" s="39" t="s">
        <v>165</v>
      </c>
      <c r="K223" s="39" t="b">
        <v>0</v>
      </c>
      <c r="L223" s="39" t="s">
        <v>1374</v>
      </c>
      <c r="M223" s="39" t="s">
        <v>1375</v>
      </c>
      <c r="N223" s="39" t="s">
        <v>2508</v>
      </c>
      <c r="P223" s="39" t="s">
        <v>2509</v>
      </c>
      <c r="R223" s="39" t="s">
        <v>184</v>
      </c>
      <c r="S223" s="39" t="b">
        <f t="shared" si="8"/>
        <v>1</v>
      </c>
      <c r="T223" s="39" t="s">
        <v>183</v>
      </c>
      <c r="U223" s="39" t="b">
        <f t="shared" si="9"/>
        <v>1</v>
      </c>
      <c r="V223" s="39" t="s">
        <v>2564</v>
      </c>
      <c r="W223" s="39" t="s">
        <v>2564</v>
      </c>
      <c r="X223" s="83" t="s">
        <v>1374</v>
      </c>
      <c r="Y223" s="84" t="s">
        <v>1375</v>
      </c>
      <c r="Z223" s="83" t="s">
        <v>2508</v>
      </c>
      <c r="AA223" s="84" t="s">
        <v>2508</v>
      </c>
      <c r="AB223" s="108"/>
      <c r="AC223" s="107"/>
      <c r="AD223" s="84"/>
      <c r="AE223" s="83"/>
      <c r="AF223" s="84"/>
      <c r="AG223" s="83"/>
      <c r="AH223" s="84"/>
      <c r="AI223" s="39" t="s">
        <v>28</v>
      </c>
      <c r="AJ223" s="39" t="s">
        <v>45</v>
      </c>
      <c r="AK223" s="39" t="s">
        <v>1376</v>
      </c>
      <c r="AP223" s="39" t="s">
        <v>1377</v>
      </c>
      <c r="AQ223" s="39" t="s">
        <v>1378</v>
      </c>
      <c r="AR223" s="39" t="s">
        <v>68</v>
      </c>
      <c r="AS223" s="39" t="s">
        <v>32</v>
      </c>
      <c r="AU223" s="44">
        <v>6285711122856</v>
      </c>
      <c r="AX223" s="39" t="s">
        <v>1379</v>
      </c>
      <c r="AZ223" s="39" t="s">
        <v>183</v>
      </c>
      <c r="BA223" s="39" t="s">
        <v>1906</v>
      </c>
      <c r="BB223" s="39" t="s">
        <v>184</v>
      </c>
      <c r="BC223" s="39" t="s">
        <v>1919</v>
      </c>
      <c r="BD223" s="39" t="b">
        <v>1</v>
      </c>
      <c r="BE223" s="39" t="b">
        <v>1</v>
      </c>
      <c r="BF223" s="39" t="s">
        <v>1374</v>
      </c>
      <c r="BG223" s="39" t="s">
        <v>1375</v>
      </c>
      <c r="BH223" s="39" t="s">
        <v>2354</v>
      </c>
      <c r="BI223" s="39" t="s">
        <v>2355</v>
      </c>
      <c r="BJ223" s="39" t="b">
        <v>1</v>
      </c>
      <c r="BK223" s="39" t="b">
        <v>1</v>
      </c>
      <c r="BN223" s="39">
        <v>0</v>
      </c>
      <c r="BO223" s="39" t="s">
        <v>2797</v>
      </c>
      <c r="BP223" s="39" t="s">
        <v>2806</v>
      </c>
    </row>
    <row r="224" spans="1:68">
      <c r="A224" s="39" t="s">
        <v>20</v>
      </c>
      <c r="B224" s="39" t="s">
        <v>21</v>
      </c>
      <c r="C224" s="39" t="s">
        <v>2752</v>
      </c>
      <c r="D224" s="39" t="s">
        <v>181</v>
      </c>
      <c r="E224" s="39" t="s">
        <v>182</v>
      </c>
      <c r="F224" s="39" t="s">
        <v>183</v>
      </c>
      <c r="G224" s="39" t="s">
        <v>184</v>
      </c>
      <c r="H224" s="39" t="s">
        <v>165</v>
      </c>
      <c r="I224" s="39" t="b">
        <v>0</v>
      </c>
      <c r="J224" s="39" t="s">
        <v>165</v>
      </c>
      <c r="K224" s="39" t="b">
        <v>0</v>
      </c>
      <c r="L224" s="39" t="s">
        <v>1380</v>
      </c>
      <c r="M224" s="39" t="s">
        <v>1381</v>
      </c>
      <c r="N224" s="39" t="s">
        <v>2508</v>
      </c>
      <c r="P224" s="39" t="s">
        <v>2509</v>
      </c>
      <c r="R224" s="39" t="s">
        <v>184</v>
      </c>
      <c r="S224" s="39" t="b">
        <f t="shared" si="8"/>
        <v>1</v>
      </c>
      <c r="T224" s="39" t="s">
        <v>183</v>
      </c>
      <c r="U224" s="39" t="b">
        <f t="shared" si="9"/>
        <v>1</v>
      </c>
      <c r="V224" s="39" t="s">
        <v>2564</v>
      </c>
      <c r="W224" s="39" t="s">
        <v>2564</v>
      </c>
      <c r="X224" s="83" t="s">
        <v>1380</v>
      </c>
      <c r="Y224" s="84" t="s">
        <v>1381</v>
      </c>
      <c r="Z224" s="83" t="s">
        <v>2508</v>
      </c>
      <c r="AA224" s="84" t="s">
        <v>2508</v>
      </c>
      <c r="AB224" s="108"/>
      <c r="AC224" s="107"/>
      <c r="AD224" s="84"/>
      <c r="AE224" s="83"/>
      <c r="AF224" s="84"/>
      <c r="AG224" s="83"/>
      <c r="AH224" s="84"/>
      <c r="AI224" s="39" t="s">
        <v>28</v>
      </c>
      <c r="AJ224" s="39" t="s">
        <v>45</v>
      </c>
      <c r="AK224" s="39" t="s">
        <v>1382</v>
      </c>
      <c r="AP224" s="39" t="s">
        <v>1383</v>
      </c>
      <c r="AQ224" s="39" t="s">
        <v>1384</v>
      </c>
      <c r="AR224" s="39" t="s">
        <v>68</v>
      </c>
      <c r="AS224" s="39" t="s">
        <v>32</v>
      </c>
      <c r="AU224" s="44">
        <v>6285711122858</v>
      </c>
      <c r="AX224" s="39" t="s">
        <v>1385</v>
      </c>
      <c r="AZ224" s="39" t="s">
        <v>183</v>
      </c>
      <c r="BA224" s="39" t="s">
        <v>1906</v>
      </c>
      <c r="BB224" s="39" t="s">
        <v>184</v>
      </c>
      <c r="BC224" s="39" t="s">
        <v>1919</v>
      </c>
      <c r="BD224" s="39" t="b">
        <v>1</v>
      </c>
      <c r="BE224" s="39" t="b">
        <v>1</v>
      </c>
      <c r="BF224" s="39" t="s">
        <v>1380</v>
      </c>
      <c r="BG224" s="39" t="s">
        <v>1381</v>
      </c>
      <c r="BH224" s="39" t="s">
        <v>2356</v>
      </c>
      <c r="BI224" s="39" t="s">
        <v>2357</v>
      </c>
      <c r="BJ224" s="39" t="b">
        <v>1</v>
      </c>
      <c r="BK224" s="39" t="b">
        <v>1</v>
      </c>
      <c r="BN224" s="39">
        <v>0</v>
      </c>
      <c r="BO224" s="39" t="s">
        <v>2797</v>
      </c>
      <c r="BP224" s="39" t="s">
        <v>2806</v>
      </c>
    </row>
    <row r="225" spans="1:68">
      <c r="A225" s="39" t="s">
        <v>20</v>
      </c>
      <c r="B225" s="39" t="s">
        <v>21</v>
      </c>
      <c r="C225" s="39" t="s">
        <v>2752</v>
      </c>
      <c r="D225" s="39" t="s">
        <v>161</v>
      </c>
      <c r="E225" s="39" t="s">
        <v>162</v>
      </c>
      <c r="F225" s="39" t="s">
        <v>163</v>
      </c>
      <c r="G225" s="39" t="s">
        <v>164</v>
      </c>
      <c r="H225" s="39" t="s">
        <v>165</v>
      </c>
      <c r="I225" s="39" t="b">
        <v>0</v>
      </c>
      <c r="J225" s="39" t="s">
        <v>165</v>
      </c>
      <c r="K225" s="39" t="b">
        <v>0</v>
      </c>
      <c r="L225" s="39">
        <v>2613051003</v>
      </c>
      <c r="M225" s="39" t="s">
        <v>166</v>
      </c>
      <c r="N225" s="39" t="s">
        <v>2508</v>
      </c>
      <c r="P225" s="39" t="s">
        <v>2508</v>
      </c>
      <c r="R225" s="39" t="s">
        <v>164</v>
      </c>
      <c r="S225" s="39" t="b">
        <f t="shared" si="8"/>
        <v>1</v>
      </c>
      <c r="T225" s="39" t="s">
        <v>163</v>
      </c>
      <c r="U225" s="39" t="b">
        <f t="shared" si="9"/>
        <v>1</v>
      </c>
      <c r="V225" s="39" t="s">
        <v>2564</v>
      </c>
      <c r="W225" s="39" t="s">
        <v>2564</v>
      </c>
      <c r="X225" s="83">
        <v>2613051003</v>
      </c>
      <c r="Y225" s="84" t="s">
        <v>166</v>
      </c>
      <c r="Z225" s="83" t="s">
        <v>2508</v>
      </c>
      <c r="AA225" s="84" t="s">
        <v>2508</v>
      </c>
      <c r="AB225" s="108"/>
      <c r="AC225" s="107"/>
      <c r="AD225" s="84"/>
      <c r="AE225" s="83"/>
      <c r="AF225" s="84"/>
      <c r="AG225" s="83"/>
      <c r="AH225" s="84"/>
      <c r="AI225" s="39" t="s">
        <v>28</v>
      </c>
      <c r="AJ225" s="39" t="s">
        <v>45</v>
      </c>
      <c r="AK225" s="39" t="s">
        <v>167</v>
      </c>
      <c r="AP225" s="39" t="s">
        <v>168</v>
      </c>
      <c r="AQ225" s="39" t="s">
        <v>169</v>
      </c>
      <c r="AR225" s="39" t="s">
        <v>68</v>
      </c>
      <c r="AS225" s="39" t="s">
        <v>32</v>
      </c>
      <c r="AU225" s="44">
        <v>6285892014016</v>
      </c>
      <c r="AX225" s="39" t="s">
        <v>170</v>
      </c>
      <c r="AZ225" s="39" t="s">
        <v>163</v>
      </c>
      <c r="BA225" s="39" t="s">
        <v>1906</v>
      </c>
      <c r="BB225" s="39" t="s">
        <v>164</v>
      </c>
      <c r="BC225" s="39" t="s">
        <v>1918</v>
      </c>
      <c r="BD225" s="39" t="b">
        <v>1</v>
      </c>
      <c r="BE225" s="39" t="b">
        <v>1</v>
      </c>
      <c r="BF225" s="39">
        <v>2613051003</v>
      </c>
      <c r="BG225" s="39" t="s">
        <v>166</v>
      </c>
      <c r="BH225" s="39" t="s">
        <v>2026</v>
      </c>
      <c r="BI225" s="39" t="s">
        <v>2027</v>
      </c>
      <c r="BJ225" s="39" t="b">
        <v>1</v>
      </c>
      <c r="BK225" s="39" t="b">
        <v>1</v>
      </c>
      <c r="BN225" s="39">
        <v>0</v>
      </c>
      <c r="BO225" s="39" t="s">
        <v>2798</v>
      </c>
      <c r="BP225" s="39" t="s">
        <v>2806</v>
      </c>
    </row>
    <row r="226" spans="1:68">
      <c r="A226" s="39" t="s">
        <v>20</v>
      </c>
      <c r="B226" s="39" t="s">
        <v>21</v>
      </c>
      <c r="C226" s="39" t="s">
        <v>2752</v>
      </c>
      <c r="D226" s="39" t="s">
        <v>161</v>
      </c>
      <c r="E226" s="39" t="s">
        <v>162</v>
      </c>
      <c r="F226" s="39" t="s">
        <v>163</v>
      </c>
      <c r="G226" s="39" t="s">
        <v>164</v>
      </c>
      <c r="H226" s="39" t="s">
        <v>165</v>
      </c>
      <c r="I226" s="39" t="b">
        <v>0</v>
      </c>
      <c r="J226" s="39" t="s">
        <v>165</v>
      </c>
      <c r="K226" s="39" t="b">
        <v>0</v>
      </c>
      <c r="L226" s="39">
        <v>2613051004</v>
      </c>
      <c r="M226" s="39" t="s">
        <v>171</v>
      </c>
      <c r="N226" s="39" t="s">
        <v>2508</v>
      </c>
      <c r="R226" s="39" t="s">
        <v>164</v>
      </c>
      <c r="S226" s="39" t="b">
        <f t="shared" si="8"/>
        <v>1</v>
      </c>
      <c r="T226" s="39" t="s">
        <v>163</v>
      </c>
      <c r="U226" s="39" t="b">
        <f t="shared" si="9"/>
        <v>1</v>
      </c>
      <c r="V226" s="39" t="s">
        <v>2564</v>
      </c>
      <c r="W226" s="39" t="s">
        <v>2564</v>
      </c>
      <c r="X226" s="83">
        <v>2613051004</v>
      </c>
      <c r="Y226" s="84" t="s">
        <v>171</v>
      </c>
      <c r="Z226" s="83" t="s">
        <v>2508</v>
      </c>
      <c r="AA226" s="84" t="s">
        <v>2508</v>
      </c>
      <c r="AB226" s="108"/>
      <c r="AC226" s="107"/>
      <c r="AD226" s="84"/>
      <c r="AE226" s="83"/>
      <c r="AF226" s="84"/>
      <c r="AG226" s="83"/>
      <c r="AH226" s="84"/>
      <c r="AI226" s="39" t="s">
        <v>28</v>
      </c>
      <c r="AJ226" s="39" t="s">
        <v>45</v>
      </c>
      <c r="AK226" s="39" t="s">
        <v>172</v>
      </c>
      <c r="AP226" s="39" t="s">
        <v>173</v>
      </c>
      <c r="AQ226" s="39" t="s">
        <v>174</v>
      </c>
      <c r="AR226" s="39" t="s">
        <v>68</v>
      </c>
      <c r="AS226" s="39" t="s">
        <v>32</v>
      </c>
      <c r="AU226" s="44">
        <v>6285892009255</v>
      </c>
      <c r="AX226" s="39" t="s">
        <v>175</v>
      </c>
      <c r="AZ226" s="39" t="s">
        <v>163</v>
      </c>
      <c r="BA226" s="39" t="s">
        <v>1906</v>
      </c>
      <c r="BB226" s="39" t="s">
        <v>164</v>
      </c>
      <c r="BC226" s="39" t="s">
        <v>1918</v>
      </c>
      <c r="BD226" s="39" t="b">
        <v>1</v>
      </c>
      <c r="BE226" s="39" t="b">
        <v>1</v>
      </c>
      <c r="BF226" s="39">
        <v>2613051004</v>
      </c>
      <c r="BG226" s="39" t="s">
        <v>171</v>
      </c>
      <c r="BH226" s="39" t="s">
        <v>2028</v>
      </c>
      <c r="BI226" s="39" t="s">
        <v>2029</v>
      </c>
      <c r="BJ226" s="39" t="b">
        <v>1</v>
      </c>
      <c r="BK226" s="39" t="b">
        <v>1</v>
      </c>
      <c r="BN226" s="39">
        <v>0</v>
      </c>
      <c r="BO226" s="39" t="s">
        <v>2798</v>
      </c>
      <c r="BP226" s="39" t="s">
        <v>2806</v>
      </c>
    </row>
    <row r="227" spans="1:68">
      <c r="A227" s="39" t="s">
        <v>20</v>
      </c>
      <c r="B227" s="39" t="s">
        <v>21</v>
      </c>
      <c r="C227" s="39" t="s">
        <v>2752</v>
      </c>
      <c r="D227" s="39" t="s">
        <v>161</v>
      </c>
      <c r="E227" s="39" t="s">
        <v>162</v>
      </c>
      <c r="F227" s="39" t="s">
        <v>163</v>
      </c>
      <c r="G227" s="39" t="s">
        <v>164</v>
      </c>
      <c r="H227" s="39" t="s">
        <v>165</v>
      </c>
      <c r="I227" s="39" t="b">
        <v>0</v>
      </c>
      <c r="J227" s="39" t="s">
        <v>165</v>
      </c>
      <c r="K227" s="39" t="b">
        <v>0</v>
      </c>
      <c r="L227" s="39">
        <v>2613051005</v>
      </c>
      <c r="M227" s="39" t="s">
        <v>176</v>
      </c>
      <c r="N227" s="39" t="s">
        <v>2508</v>
      </c>
      <c r="R227" s="39" t="s">
        <v>164</v>
      </c>
      <c r="S227" s="39" t="b">
        <f t="shared" si="8"/>
        <v>1</v>
      </c>
      <c r="T227" s="39" t="s">
        <v>163</v>
      </c>
      <c r="U227" s="39" t="b">
        <f t="shared" si="9"/>
        <v>1</v>
      </c>
      <c r="V227" s="39" t="s">
        <v>2564</v>
      </c>
      <c r="W227" s="39" t="s">
        <v>2564</v>
      </c>
      <c r="X227" s="83">
        <v>2613051005</v>
      </c>
      <c r="Y227" s="84" t="s">
        <v>176</v>
      </c>
      <c r="Z227" s="83" t="s">
        <v>2508</v>
      </c>
      <c r="AA227" s="84" t="s">
        <v>2508</v>
      </c>
      <c r="AB227" s="108"/>
      <c r="AC227" s="107"/>
      <c r="AD227" s="84"/>
      <c r="AE227" s="83"/>
      <c r="AF227" s="84"/>
      <c r="AG227" s="83"/>
      <c r="AH227" s="84"/>
      <c r="AI227" s="39" t="s">
        <v>28</v>
      </c>
      <c r="AJ227" s="39" t="s">
        <v>45</v>
      </c>
      <c r="AK227" s="39" t="s">
        <v>177</v>
      </c>
      <c r="AP227" s="39" t="s">
        <v>178</v>
      </c>
      <c r="AQ227" s="39" t="s">
        <v>179</v>
      </c>
      <c r="AR227" s="39" t="s">
        <v>68</v>
      </c>
      <c r="AS227" s="39" t="s">
        <v>32</v>
      </c>
      <c r="AU227" s="44">
        <v>6285882551119</v>
      </c>
      <c r="AX227" s="39" t="s">
        <v>180</v>
      </c>
      <c r="AZ227" s="39" t="s">
        <v>163</v>
      </c>
      <c r="BA227" s="39" t="s">
        <v>1906</v>
      </c>
      <c r="BB227" s="39" t="s">
        <v>164</v>
      </c>
      <c r="BC227" s="39" t="s">
        <v>1918</v>
      </c>
      <c r="BD227" s="39" t="b">
        <v>1</v>
      </c>
      <c r="BE227" s="39" t="b">
        <v>1</v>
      </c>
      <c r="BF227" s="39">
        <v>2613051005</v>
      </c>
      <c r="BG227" s="39" t="s">
        <v>176</v>
      </c>
      <c r="BH227" s="39" t="s">
        <v>2030</v>
      </c>
      <c r="BI227" s="39" t="s">
        <v>2031</v>
      </c>
      <c r="BJ227" s="39" t="b">
        <v>1</v>
      </c>
      <c r="BK227" s="39" t="b">
        <v>1</v>
      </c>
      <c r="BN227" s="39">
        <v>0</v>
      </c>
      <c r="BO227" s="39" t="s">
        <v>2798</v>
      </c>
      <c r="BP227" s="39" t="s">
        <v>2806</v>
      </c>
    </row>
    <row r="228" spans="1:68">
      <c r="A228" s="39" t="s">
        <v>20</v>
      </c>
      <c r="B228" s="39" t="s">
        <v>21</v>
      </c>
      <c r="C228" s="39" t="s">
        <v>2752</v>
      </c>
      <c r="D228" s="39" t="s">
        <v>161</v>
      </c>
      <c r="E228" s="39" t="s">
        <v>162</v>
      </c>
      <c r="F228" s="39" t="s">
        <v>163</v>
      </c>
      <c r="G228" s="39" t="s">
        <v>164</v>
      </c>
      <c r="H228" s="39" t="s">
        <v>165</v>
      </c>
      <c r="I228" s="39" t="b">
        <v>0</v>
      </c>
      <c r="J228" s="39" t="s">
        <v>165</v>
      </c>
      <c r="K228" s="39" t="b">
        <v>0</v>
      </c>
      <c r="L228" s="39">
        <v>2613051012</v>
      </c>
      <c r="M228" s="39" t="s">
        <v>195</v>
      </c>
      <c r="N228" s="39" t="s">
        <v>2508</v>
      </c>
      <c r="P228" s="39" t="s">
        <v>2509</v>
      </c>
      <c r="R228" s="39" t="s">
        <v>164</v>
      </c>
      <c r="S228" s="39" t="b">
        <f t="shared" si="8"/>
        <v>1</v>
      </c>
      <c r="T228" s="39" t="s">
        <v>163</v>
      </c>
      <c r="U228" s="39" t="b">
        <f t="shared" si="9"/>
        <v>1</v>
      </c>
      <c r="V228" s="39" t="s">
        <v>2564</v>
      </c>
      <c r="W228" s="39" t="s">
        <v>2564</v>
      </c>
      <c r="X228" s="83">
        <v>2613051012</v>
      </c>
      <c r="Y228" s="84" t="s">
        <v>195</v>
      </c>
      <c r="Z228" s="83" t="s">
        <v>2508</v>
      </c>
      <c r="AA228" s="84" t="s">
        <v>2508</v>
      </c>
      <c r="AB228" s="108"/>
      <c r="AC228" s="107"/>
      <c r="AD228" s="84"/>
      <c r="AE228" s="83"/>
      <c r="AF228" s="84"/>
      <c r="AG228" s="83"/>
      <c r="AH228" s="84"/>
      <c r="AI228" s="39" t="s">
        <v>28</v>
      </c>
      <c r="AJ228" s="39" t="s">
        <v>45</v>
      </c>
      <c r="AK228" s="39" t="s">
        <v>196</v>
      </c>
      <c r="AP228" s="39" t="s">
        <v>197</v>
      </c>
      <c r="AQ228" s="39" t="s">
        <v>198</v>
      </c>
      <c r="AR228" s="39" t="s">
        <v>68</v>
      </c>
      <c r="AS228" s="39" t="s">
        <v>32</v>
      </c>
      <c r="AU228" s="44">
        <v>6285882277374</v>
      </c>
      <c r="AX228" s="39" t="s">
        <v>199</v>
      </c>
      <c r="AZ228" s="39" t="s">
        <v>163</v>
      </c>
      <c r="BA228" s="39" t="s">
        <v>1906</v>
      </c>
      <c r="BB228" s="39" t="s">
        <v>164</v>
      </c>
      <c r="BC228" s="39" t="s">
        <v>1918</v>
      </c>
      <c r="BD228" s="39" t="b">
        <v>1</v>
      </c>
      <c r="BE228" s="39" t="b">
        <v>1</v>
      </c>
      <c r="BF228" s="39">
        <v>2613051012</v>
      </c>
      <c r="BG228" s="39" t="s">
        <v>195</v>
      </c>
      <c r="BH228" s="39" t="s">
        <v>2036</v>
      </c>
      <c r="BI228" s="39" t="s">
        <v>2037</v>
      </c>
      <c r="BJ228" s="39" t="b">
        <v>1</v>
      </c>
      <c r="BK228" s="39" t="b">
        <v>1</v>
      </c>
      <c r="BN228" s="39">
        <v>0</v>
      </c>
      <c r="BO228" s="39" t="s">
        <v>2798</v>
      </c>
      <c r="BP228" s="39" t="s">
        <v>2806</v>
      </c>
    </row>
    <row r="229" spans="1:68">
      <c r="A229" s="39" t="s">
        <v>20</v>
      </c>
      <c r="B229" s="39" t="s">
        <v>21</v>
      </c>
      <c r="C229" s="39" t="s">
        <v>2752</v>
      </c>
      <c r="D229" s="39" t="s">
        <v>161</v>
      </c>
      <c r="E229" s="39" t="s">
        <v>162</v>
      </c>
      <c r="F229" s="39" t="s">
        <v>163</v>
      </c>
      <c r="G229" s="39" t="s">
        <v>164</v>
      </c>
      <c r="H229" s="39" t="s">
        <v>165</v>
      </c>
      <c r="I229" s="39" t="b">
        <v>0</v>
      </c>
      <c r="J229" s="39" t="s">
        <v>165</v>
      </c>
      <c r="K229" s="39" t="b">
        <v>0</v>
      </c>
      <c r="L229" s="39">
        <v>2613051037</v>
      </c>
      <c r="M229" s="39" t="s">
        <v>200</v>
      </c>
      <c r="N229" s="39" t="s">
        <v>2508</v>
      </c>
      <c r="R229" s="39" t="s">
        <v>164</v>
      </c>
      <c r="S229" s="39" t="b">
        <f t="shared" si="8"/>
        <v>1</v>
      </c>
      <c r="T229" s="39" t="s">
        <v>163</v>
      </c>
      <c r="U229" s="39" t="b">
        <f t="shared" si="9"/>
        <v>1</v>
      </c>
      <c r="V229" s="39" t="s">
        <v>2564</v>
      </c>
      <c r="W229" s="39" t="s">
        <v>2564</v>
      </c>
      <c r="X229" s="83">
        <v>2613051037</v>
      </c>
      <c r="Y229" s="84" t="s">
        <v>200</v>
      </c>
      <c r="Z229" s="83" t="s">
        <v>2508</v>
      </c>
      <c r="AA229" s="84" t="s">
        <v>2508</v>
      </c>
      <c r="AB229" s="108"/>
      <c r="AC229" s="107"/>
      <c r="AD229" s="84"/>
      <c r="AE229" s="83"/>
      <c r="AF229" s="84"/>
      <c r="AG229" s="83"/>
      <c r="AH229" s="84"/>
      <c r="AI229" s="39" t="s">
        <v>28</v>
      </c>
      <c r="AJ229" s="39" t="s">
        <v>45</v>
      </c>
      <c r="AK229" s="39" t="s">
        <v>201</v>
      </c>
      <c r="AP229" s="39" t="s">
        <v>202</v>
      </c>
      <c r="AQ229" s="39" t="s">
        <v>203</v>
      </c>
      <c r="AR229" s="39" t="s">
        <v>68</v>
      </c>
      <c r="AS229" s="39" t="s">
        <v>32</v>
      </c>
      <c r="AU229" s="44">
        <v>6285882605670</v>
      </c>
      <c r="AX229" s="39" t="s">
        <v>204</v>
      </c>
      <c r="AZ229" s="39" t="s">
        <v>163</v>
      </c>
      <c r="BA229" s="39" t="s">
        <v>1906</v>
      </c>
      <c r="BB229" s="39" t="s">
        <v>164</v>
      </c>
      <c r="BC229" s="39" t="s">
        <v>1918</v>
      </c>
      <c r="BD229" s="39" t="b">
        <v>1</v>
      </c>
      <c r="BE229" s="39" t="b">
        <v>1</v>
      </c>
      <c r="BF229" s="39">
        <v>2613051037</v>
      </c>
      <c r="BG229" s="39" t="s">
        <v>200</v>
      </c>
      <c r="BH229" s="39" t="s">
        <v>2038</v>
      </c>
      <c r="BI229" s="39" t="s">
        <v>2039</v>
      </c>
      <c r="BJ229" s="39" t="b">
        <v>1</v>
      </c>
      <c r="BK229" s="39" t="b">
        <v>1</v>
      </c>
      <c r="BN229" s="39">
        <v>0</v>
      </c>
      <c r="BO229" s="39" t="s">
        <v>2798</v>
      </c>
      <c r="BP229" s="39" t="s">
        <v>2806</v>
      </c>
    </row>
    <row r="230" spans="1:68">
      <c r="A230" s="39" t="s">
        <v>20</v>
      </c>
      <c r="B230" s="39" t="s">
        <v>21</v>
      </c>
      <c r="C230" s="39" t="s">
        <v>2752</v>
      </c>
      <c r="D230" s="39" t="s">
        <v>161</v>
      </c>
      <c r="E230" s="39" t="s">
        <v>162</v>
      </c>
      <c r="F230" s="39" t="s">
        <v>163</v>
      </c>
      <c r="G230" s="39" t="s">
        <v>164</v>
      </c>
      <c r="H230" s="39" t="s">
        <v>165</v>
      </c>
      <c r="I230" s="39" t="b">
        <v>0</v>
      </c>
      <c r="J230" s="39" t="s">
        <v>165</v>
      </c>
      <c r="K230" s="39" t="b">
        <v>0</v>
      </c>
      <c r="L230" s="39">
        <v>2613051076</v>
      </c>
      <c r="M230" s="39" t="s">
        <v>215</v>
      </c>
      <c r="N230" s="39" t="s">
        <v>2508</v>
      </c>
      <c r="P230" s="39" t="s">
        <v>2509</v>
      </c>
      <c r="R230" s="39" t="s">
        <v>164</v>
      </c>
      <c r="S230" s="39" t="b">
        <f t="shared" si="8"/>
        <v>1</v>
      </c>
      <c r="T230" s="39" t="s">
        <v>163</v>
      </c>
      <c r="U230" s="39" t="b">
        <f t="shared" si="9"/>
        <v>1</v>
      </c>
      <c r="V230" s="39" t="s">
        <v>2564</v>
      </c>
      <c r="W230" s="39" t="s">
        <v>2564</v>
      </c>
      <c r="X230" s="83">
        <v>2613051076</v>
      </c>
      <c r="Y230" s="84" t="s">
        <v>215</v>
      </c>
      <c r="Z230" s="83" t="s">
        <v>2508</v>
      </c>
      <c r="AA230" s="84" t="s">
        <v>2508</v>
      </c>
      <c r="AB230" s="108"/>
      <c r="AC230" s="107"/>
      <c r="AD230" s="84"/>
      <c r="AE230" s="83"/>
      <c r="AF230" s="84"/>
      <c r="AG230" s="83"/>
      <c r="AH230" s="84"/>
      <c r="AI230" s="39" t="s">
        <v>28</v>
      </c>
      <c r="AJ230" s="39" t="s">
        <v>45</v>
      </c>
      <c r="AK230" s="39" t="s">
        <v>216</v>
      </c>
      <c r="AP230" s="39" t="s">
        <v>217</v>
      </c>
      <c r="AQ230" s="39" t="s">
        <v>218</v>
      </c>
      <c r="AR230" s="39" t="s">
        <v>68</v>
      </c>
      <c r="AS230" s="39" t="s">
        <v>32</v>
      </c>
      <c r="AU230" s="44">
        <v>6285881887988</v>
      </c>
      <c r="AX230" s="39" t="s">
        <v>219</v>
      </c>
      <c r="AZ230" s="39" t="s">
        <v>163</v>
      </c>
      <c r="BA230" s="39" t="s">
        <v>1906</v>
      </c>
      <c r="BB230" s="39" t="s">
        <v>164</v>
      </c>
      <c r="BC230" s="39" t="s">
        <v>1918</v>
      </c>
      <c r="BD230" s="39" t="b">
        <v>1</v>
      </c>
      <c r="BE230" s="39" t="b">
        <v>1</v>
      </c>
      <c r="BF230" s="39">
        <v>2613051076</v>
      </c>
      <c r="BG230" s="39" t="s">
        <v>215</v>
      </c>
      <c r="BH230" s="39" t="s">
        <v>2044</v>
      </c>
      <c r="BI230" s="39" t="s">
        <v>2045</v>
      </c>
      <c r="BJ230" s="39" t="b">
        <v>1</v>
      </c>
      <c r="BK230" s="39" t="b">
        <v>1</v>
      </c>
      <c r="BN230" s="39">
        <v>0</v>
      </c>
      <c r="BO230" s="39" t="s">
        <v>2798</v>
      </c>
      <c r="BP230" s="39" t="s">
        <v>2806</v>
      </c>
    </row>
    <row r="231" spans="1:68">
      <c r="A231" s="39" t="s">
        <v>20</v>
      </c>
      <c r="B231" s="39" t="s">
        <v>21</v>
      </c>
      <c r="C231" s="39" t="s">
        <v>2752</v>
      </c>
      <c r="D231" s="39" t="s">
        <v>161</v>
      </c>
      <c r="E231" s="39" t="s">
        <v>162</v>
      </c>
      <c r="F231" s="39" t="s">
        <v>163</v>
      </c>
      <c r="G231" s="39" t="s">
        <v>164</v>
      </c>
      <c r="H231" s="39" t="s">
        <v>165</v>
      </c>
      <c r="I231" s="39" t="b">
        <v>0</v>
      </c>
      <c r="J231" s="39" t="s">
        <v>165</v>
      </c>
      <c r="K231" s="39" t="b">
        <v>0</v>
      </c>
      <c r="L231" s="39" t="s">
        <v>1256</v>
      </c>
      <c r="M231" s="39" t="s">
        <v>1257</v>
      </c>
      <c r="N231" s="39" t="s">
        <v>2508</v>
      </c>
      <c r="P231" s="39" t="s">
        <v>2509</v>
      </c>
      <c r="R231" s="39" t="s">
        <v>164</v>
      </c>
      <c r="S231" s="39" t="b">
        <f t="shared" si="8"/>
        <v>1</v>
      </c>
      <c r="T231" s="39" t="s">
        <v>163</v>
      </c>
      <c r="U231" s="39" t="b">
        <f t="shared" si="9"/>
        <v>1</v>
      </c>
      <c r="V231" s="39" t="s">
        <v>2564</v>
      </c>
      <c r="W231" s="39" t="s">
        <v>2564</v>
      </c>
      <c r="X231" s="83" t="s">
        <v>1256</v>
      </c>
      <c r="Y231" s="84" t="s">
        <v>1257</v>
      </c>
      <c r="Z231" s="83" t="s">
        <v>2508</v>
      </c>
      <c r="AA231" s="84" t="s">
        <v>2509</v>
      </c>
      <c r="AB231" s="108"/>
      <c r="AC231" s="107"/>
      <c r="AD231" s="84"/>
      <c r="AE231" s="83"/>
      <c r="AF231" s="84"/>
      <c r="AG231" s="83"/>
      <c r="AH231" s="84"/>
      <c r="AI231" s="39" t="s">
        <v>28</v>
      </c>
      <c r="AJ231" s="39" t="s">
        <v>45</v>
      </c>
      <c r="AK231" s="39" t="s">
        <v>1258</v>
      </c>
      <c r="AP231" s="39" t="s">
        <v>1259</v>
      </c>
      <c r="AQ231" s="39" t="s">
        <v>1260</v>
      </c>
      <c r="AR231" s="39" t="s">
        <v>119</v>
      </c>
      <c r="AS231" s="39" t="s">
        <v>32</v>
      </c>
      <c r="AU231" s="44">
        <v>6285711122631</v>
      </c>
      <c r="AX231" s="39" t="s">
        <v>1261</v>
      </c>
      <c r="AZ231" s="39" t="s">
        <v>163</v>
      </c>
      <c r="BA231" s="39" t="s">
        <v>1906</v>
      </c>
      <c r="BB231" s="39" t="s">
        <v>164</v>
      </c>
      <c r="BC231" s="39" t="s">
        <v>1918</v>
      </c>
      <c r="BD231" s="39" t="b">
        <v>1</v>
      </c>
      <c r="BE231" s="39" t="b">
        <v>1</v>
      </c>
      <c r="BF231" s="39" t="s">
        <v>1256</v>
      </c>
      <c r="BG231" s="39" t="s">
        <v>1257</v>
      </c>
      <c r="BH231" s="39" t="s">
        <v>2330</v>
      </c>
      <c r="BI231" s="39" t="s">
        <v>2331</v>
      </c>
      <c r="BJ231" s="39" t="b">
        <v>1</v>
      </c>
      <c r="BK231" s="39" t="b">
        <v>1</v>
      </c>
      <c r="BN231" s="39">
        <v>0</v>
      </c>
      <c r="BO231" s="39" t="s">
        <v>2798</v>
      </c>
      <c r="BP231" s="39" t="s">
        <v>2806</v>
      </c>
    </row>
    <row r="232" spans="1:68">
      <c r="A232" s="39" t="s">
        <v>20</v>
      </c>
      <c r="B232" s="39" t="s">
        <v>21</v>
      </c>
      <c r="C232" s="39" t="s">
        <v>2752</v>
      </c>
      <c r="D232" s="39" t="s">
        <v>161</v>
      </c>
      <c r="E232" s="39" t="s">
        <v>162</v>
      </c>
      <c r="F232" s="39" t="s">
        <v>163</v>
      </c>
      <c r="G232" s="39" t="s">
        <v>164</v>
      </c>
      <c r="H232" s="39" t="s">
        <v>165</v>
      </c>
      <c r="I232" s="39" t="b">
        <v>0</v>
      </c>
      <c r="J232" s="39" t="s">
        <v>165</v>
      </c>
      <c r="K232" s="39" t="b">
        <v>0</v>
      </c>
      <c r="L232" s="39" t="s">
        <v>1262</v>
      </c>
      <c r="M232" s="39" t="s">
        <v>1263</v>
      </c>
      <c r="N232" s="39" t="s">
        <v>2508</v>
      </c>
      <c r="P232" s="39" t="s">
        <v>2509</v>
      </c>
      <c r="R232" s="39" t="s">
        <v>164</v>
      </c>
      <c r="S232" s="39" t="b">
        <f t="shared" si="8"/>
        <v>1</v>
      </c>
      <c r="T232" s="39" t="s">
        <v>163</v>
      </c>
      <c r="U232" s="39" t="b">
        <f t="shared" si="9"/>
        <v>1</v>
      </c>
      <c r="V232" s="39" t="s">
        <v>2564</v>
      </c>
      <c r="W232" s="39" t="s">
        <v>2564</v>
      </c>
      <c r="X232" s="83" t="s">
        <v>1262</v>
      </c>
      <c r="Y232" s="84" t="s">
        <v>1263</v>
      </c>
      <c r="Z232" s="83" t="s">
        <v>2508</v>
      </c>
      <c r="AA232" s="84" t="s">
        <v>2508</v>
      </c>
      <c r="AB232" s="108"/>
      <c r="AC232" s="107"/>
      <c r="AD232" s="84"/>
      <c r="AE232" s="83"/>
      <c r="AF232" s="84"/>
      <c r="AG232" s="83"/>
      <c r="AH232" s="84"/>
      <c r="AI232" s="39" t="s">
        <v>28</v>
      </c>
      <c r="AJ232" s="39" t="s">
        <v>45</v>
      </c>
      <c r="AK232" s="39" t="s">
        <v>1264</v>
      </c>
      <c r="AP232" s="39" t="s">
        <v>1265</v>
      </c>
      <c r="AQ232" s="39" t="s">
        <v>1266</v>
      </c>
      <c r="AR232" s="39" t="s">
        <v>68</v>
      </c>
      <c r="AS232" s="39" t="s">
        <v>32</v>
      </c>
      <c r="AU232" s="44">
        <v>6285711122665</v>
      </c>
      <c r="AX232" s="39" t="s">
        <v>1267</v>
      </c>
      <c r="AZ232" s="39" t="s">
        <v>163</v>
      </c>
      <c r="BA232" s="39" t="s">
        <v>1906</v>
      </c>
      <c r="BB232" s="39" t="s">
        <v>164</v>
      </c>
      <c r="BC232" s="39" t="s">
        <v>1918</v>
      </c>
      <c r="BD232" s="39" t="b">
        <v>1</v>
      </c>
      <c r="BE232" s="39" t="b">
        <v>1</v>
      </c>
      <c r="BF232" s="39" t="s">
        <v>1262</v>
      </c>
      <c r="BG232" s="39" t="s">
        <v>1263</v>
      </c>
      <c r="BH232" s="39" t="s">
        <v>2332</v>
      </c>
      <c r="BI232" s="39" t="s">
        <v>2333</v>
      </c>
      <c r="BJ232" s="39" t="b">
        <v>1</v>
      </c>
      <c r="BK232" s="39" t="b">
        <v>1</v>
      </c>
      <c r="BN232" s="39">
        <v>0</v>
      </c>
      <c r="BO232" s="39" t="s">
        <v>2798</v>
      </c>
      <c r="BP232" s="39" t="s">
        <v>2806</v>
      </c>
    </row>
    <row r="233" spans="1:68">
      <c r="A233" s="39" t="s">
        <v>20</v>
      </c>
      <c r="B233" s="39" t="s">
        <v>21</v>
      </c>
      <c r="C233" s="39" t="s">
        <v>2752</v>
      </c>
      <c r="D233" s="39" t="s">
        <v>161</v>
      </c>
      <c r="E233" s="39" t="s">
        <v>162</v>
      </c>
      <c r="F233" s="39" t="s">
        <v>163</v>
      </c>
      <c r="G233" s="39" t="s">
        <v>164</v>
      </c>
      <c r="H233" s="39" t="s">
        <v>165</v>
      </c>
      <c r="I233" s="39" t="b">
        <v>0</v>
      </c>
      <c r="J233" s="39" t="s">
        <v>165</v>
      </c>
      <c r="K233" s="39" t="b">
        <v>0</v>
      </c>
      <c r="L233" s="39" t="s">
        <v>1268</v>
      </c>
      <c r="M233" s="39" t="s">
        <v>1269</v>
      </c>
      <c r="N233" s="39" t="s">
        <v>2508</v>
      </c>
      <c r="P233" s="39" t="s">
        <v>2509</v>
      </c>
      <c r="R233" s="39" t="s">
        <v>164</v>
      </c>
      <c r="S233" s="39" t="b">
        <f t="shared" si="8"/>
        <v>1</v>
      </c>
      <c r="T233" s="39" t="s">
        <v>163</v>
      </c>
      <c r="U233" s="39" t="b">
        <f t="shared" si="9"/>
        <v>1</v>
      </c>
      <c r="V233" s="39" t="s">
        <v>2564</v>
      </c>
      <c r="W233" s="39" t="s">
        <v>2564</v>
      </c>
      <c r="X233" s="83" t="s">
        <v>1268</v>
      </c>
      <c r="Y233" s="84" t="s">
        <v>1269</v>
      </c>
      <c r="Z233" s="83" t="s">
        <v>2508</v>
      </c>
      <c r="AA233" s="84" t="s">
        <v>2509</v>
      </c>
      <c r="AB233" s="108"/>
      <c r="AC233" s="107"/>
      <c r="AD233" s="84"/>
      <c r="AE233" s="83"/>
      <c r="AF233" s="84"/>
      <c r="AG233" s="83"/>
      <c r="AH233" s="84"/>
      <c r="AI233" s="39" t="s">
        <v>28</v>
      </c>
      <c r="AJ233" s="39" t="s">
        <v>45</v>
      </c>
      <c r="AK233" s="39" t="s">
        <v>1270</v>
      </c>
      <c r="AP233" s="39" t="s">
        <v>1271</v>
      </c>
      <c r="AQ233" s="39" t="s">
        <v>1272</v>
      </c>
      <c r="AR233" s="39" t="s">
        <v>68</v>
      </c>
      <c r="AS233" s="39" t="s">
        <v>32</v>
      </c>
      <c r="AU233" s="44">
        <v>6285711122667</v>
      </c>
      <c r="AX233" s="39" t="s">
        <v>1273</v>
      </c>
      <c r="AZ233" s="39" t="s">
        <v>163</v>
      </c>
      <c r="BA233" s="39" t="s">
        <v>1906</v>
      </c>
      <c r="BB233" s="39" t="s">
        <v>164</v>
      </c>
      <c r="BC233" s="39" t="s">
        <v>1918</v>
      </c>
      <c r="BD233" s="39" t="b">
        <v>1</v>
      </c>
      <c r="BE233" s="39" t="b">
        <v>1</v>
      </c>
      <c r="BF233" s="39" t="s">
        <v>1268</v>
      </c>
      <c r="BG233" s="39" t="s">
        <v>1269</v>
      </c>
      <c r="BH233" s="39" t="s">
        <v>2334</v>
      </c>
      <c r="BI233" s="39" t="s">
        <v>2335</v>
      </c>
      <c r="BJ233" s="39" t="b">
        <v>1</v>
      </c>
      <c r="BK233" s="39" t="b">
        <v>1</v>
      </c>
      <c r="BN233" s="39">
        <v>0</v>
      </c>
      <c r="BO233" s="39" t="s">
        <v>2798</v>
      </c>
      <c r="BP233" s="39" t="s">
        <v>2806</v>
      </c>
    </row>
    <row r="234" spans="1:68">
      <c r="A234" s="39" t="s">
        <v>20</v>
      </c>
      <c r="B234" s="39" t="s">
        <v>21</v>
      </c>
      <c r="C234" s="39" t="s">
        <v>2752</v>
      </c>
      <c r="D234" s="39" t="s">
        <v>161</v>
      </c>
      <c r="E234" s="39" t="s">
        <v>162</v>
      </c>
      <c r="F234" s="39" t="s">
        <v>163</v>
      </c>
      <c r="G234" s="39" t="s">
        <v>164</v>
      </c>
      <c r="H234" s="39" t="s">
        <v>165</v>
      </c>
      <c r="I234" s="39" t="b">
        <v>0</v>
      </c>
      <c r="J234" s="39" t="s">
        <v>165</v>
      </c>
      <c r="K234" s="39" t="b">
        <v>0</v>
      </c>
      <c r="L234" s="39" t="s">
        <v>1274</v>
      </c>
      <c r="M234" s="39" t="s">
        <v>1275</v>
      </c>
      <c r="N234" s="39" t="s">
        <v>2508</v>
      </c>
      <c r="P234" s="39" t="s">
        <v>2509</v>
      </c>
      <c r="R234" s="39" t="s">
        <v>164</v>
      </c>
      <c r="S234" s="39" t="b">
        <f t="shared" si="8"/>
        <v>1</v>
      </c>
      <c r="T234" s="39" t="s">
        <v>163</v>
      </c>
      <c r="U234" s="39" t="b">
        <f t="shared" si="9"/>
        <v>1</v>
      </c>
      <c r="V234" s="39" t="s">
        <v>2564</v>
      </c>
      <c r="W234" s="39" t="s">
        <v>2564</v>
      </c>
      <c r="X234" s="83" t="s">
        <v>1274</v>
      </c>
      <c r="Y234" s="84" t="s">
        <v>1275</v>
      </c>
      <c r="Z234" s="83" t="s">
        <v>2508</v>
      </c>
      <c r="AA234" s="84" t="s">
        <v>2508</v>
      </c>
      <c r="AB234" s="108"/>
      <c r="AC234" s="107"/>
      <c r="AD234" s="84"/>
      <c r="AE234" s="83"/>
      <c r="AF234" s="84"/>
      <c r="AG234" s="83"/>
      <c r="AH234" s="84"/>
      <c r="AI234" s="39" t="s">
        <v>28</v>
      </c>
      <c r="AJ234" s="39" t="s">
        <v>45</v>
      </c>
      <c r="AK234" s="39" t="s">
        <v>1276</v>
      </c>
      <c r="AP234" s="39" t="s">
        <v>1277</v>
      </c>
      <c r="AQ234" s="39" t="s">
        <v>1278</v>
      </c>
      <c r="AR234" s="39" t="s">
        <v>68</v>
      </c>
      <c r="AS234" s="39" t="s">
        <v>32</v>
      </c>
      <c r="AU234" s="44">
        <v>6285711122669</v>
      </c>
      <c r="AX234" s="39" t="s">
        <v>1279</v>
      </c>
      <c r="AZ234" s="39" t="s">
        <v>163</v>
      </c>
      <c r="BA234" s="39" t="s">
        <v>1906</v>
      </c>
      <c r="BB234" s="39" t="s">
        <v>164</v>
      </c>
      <c r="BC234" s="39" t="s">
        <v>1918</v>
      </c>
      <c r="BD234" s="39" t="b">
        <v>1</v>
      </c>
      <c r="BE234" s="39" t="b">
        <v>1</v>
      </c>
      <c r="BF234" s="39" t="s">
        <v>1274</v>
      </c>
      <c r="BG234" s="39" t="s">
        <v>1275</v>
      </c>
      <c r="BH234" s="39" t="s">
        <v>2336</v>
      </c>
      <c r="BI234" s="39" t="s">
        <v>2337</v>
      </c>
      <c r="BJ234" s="39" t="b">
        <v>1</v>
      </c>
      <c r="BK234" s="39" t="b">
        <v>1</v>
      </c>
      <c r="BN234" s="39">
        <v>0</v>
      </c>
      <c r="BO234" s="39" t="s">
        <v>2798</v>
      </c>
      <c r="BP234" s="39" t="s">
        <v>2806</v>
      </c>
    </row>
    <row r="235" spans="1:68">
      <c r="A235" s="39" t="s">
        <v>20</v>
      </c>
      <c r="B235" s="39" t="s">
        <v>21</v>
      </c>
      <c r="C235" s="39" t="s">
        <v>2752</v>
      </c>
      <c r="D235" s="39" t="s">
        <v>161</v>
      </c>
      <c r="E235" s="39" t="s">
        <v>162</v>
      </c>
      <c r="F235" s="39" t="s">
        <v>163</v>
      </c>
      <c r="G235" s="39" t="s">
        <v>164</v>
      </c>
      <c r="H235" s="39" t="s">
        <v>165</v>
      </c>
      <c r="I235" s="39" t="b">
        <v>0</v>
      </c>
      <c r="J235" s="39" t="s">
        <v>165</v>
      </c>
      <c r="K235" s="39" t="b">
        <v>0</v>
      </c>
      <c r="L235" s="39" t="s">
        <v>1280</v>
      </c>
      <c r="M235" s="39" t="s">
        <v>1281</v>
      </c>
      <c r="N235" s="39" t="s">
        <v>2508</v>
      </c>
      <c r="P235" s="39" t="s">
        <v>2509</v>
      </c>
      <c r="R235" s="39" t="s">
        <v>164</v>
      </c>
      <c r="S235" s="39" t="b">
        <f t="shared" si="8"/>
        <v>1</v>
      </c>
      <c r="T235" s="39" t="s">
        <v>163</v>
      </c>
      <c r="U235" s="39" t="b">
        <f t="shared" si="9"/>
        <v>1</v>
      </c>
      <c r="V235" s="39" t="s">
        <v>2564</v>
      </c>
      <c r="W235" s="39" t="s">
        <v>2564</v>
      </c>
      <c r="X235" s="83" t="s">
        <v>1280</v>
      </c>
      <c r="Y235" s="84" t="s">
        <v>1281</v>
      </c>
      <c r="Z235" s="83" t="s">
        <v>2508</v>
      </c>
      <c r="AA235" s="84" t="s">
        <v>2508</v>
      </c>
      <c r="AB235" s="108"/>
      <c r="AC235" s="107"/>
      <c r="AD235" s="84"/>
      <c r="AE235" s="83"/>
      <c r="AF235" s="84"/>
      <c r="AG235" s="83"/>
      <c r="AH235" s="84"/>
      <c r="AI235" s="39" t="s">
        <v>28</v>
      </c>
      <c r="AJ235" s="39" t="s">
        <v>45</v>
      </c>
      <c r="AK235" s="39" t="s">
        <v>1282</v>
      </c>
      <c r="AP235" s="39" t="s">
        <v>1283</v>
      </c>
      <c r="AQ235" s="39" t="s">
        <v>1284</v>
      </c>
      <c r="AR235" s="39" t="s">
        <v>68</v>
      </c>
      <c r="AS235" s="39" t="s">
        <v>32</v>
      </c>
      <c r="AU235" s="44">
        <v>6285711122760</v>
      </c>
      <c r="AX235" s="39" t="s">
        <v>1285</v>
      </c>
      <c r="AZ235" s="39" t="s">
        <v>163</v>
      </c>
      <c r="BA235" s="39" t="s">
        <v>1906</v>
      </c>
      <c r="BB235" s="39" t="s">
        <v>164</v>
      </c>
      <c r="BC235" s="39" t="s">
        <v>1918</v>
      </c>
      <c r="BD235" s="39" t="b">
        <v>1</v>
      </c>
      <c r="BE235" s="39" t="b">
        <v>1</v>
      </c>
      <c r="BF235" s="39" t="s">
        <v>1280</v>
      </c>
      <c r="BG235" s="39" t="s">
        <v>1281</v>
      </c>
      <c r="BH235" s="39" t="s">
        <v>2338</v>
      </c>
      <c r="BI235" s="39" t="s">
        <v>2339</v>
      </c>
      <c r="BJ235" s="39" t="b">
        <v>1</v>
      </c>
      <c r="BK235" s="39" t="b">
        <v>1</v>
      </c>
      <c r="BN235" s="39">
        <v>0</v>
      </c>
      <c r="BO235" s="39" t="s">
        <v>2798</v>
      </c>
      <c r="BP235" s="39" t="s">
        <v>2806</v>
      </c>
    </row>
    <row r="236" spans="1:68">
      <c r="A236" s="39" t="s">
        <v>20</v>
      </c>
      <c r="B236" s="39" t="s">
        <v>21</v>
      </c>
      <c r="C236" s="39" t="s">
        <v>2752</v>
      </c>
      <c r="D236" s="39" t="s">
        <v>161</v>
      </c>
      <c r="E236" s="39" t="s">
        <v>162</v>
      </c>
      <c r="F236" s="39" t="s">
        <v>163</v>
      </c>
      <c r="G236" s="39" t="s">
        <v>164</v>
      </c>
      <c r="H236" s="39" t="s">
        <v>165</v>
      </c>
      <c r="I236" s="39" t="b">
        <v>0</v>
      </c>
      <c r="J236" s="39" t="s">
        <v>165</v>
      </c>
      <c r="K236" s="39" t="b">
        <v>0</v>
      </c>
      <c r="L236" s="39" t="s">
        <v>1286</v>
      </c>
      <c r="M236" s="39" t="s">
        <v>1287</v>
      </c>
      <c r="N236" s="39" t="s">
        <v>2508</v>
      </c>
      <c r="P236" s="39" t="s">
        <v>2508</v>
      </c>
      <c r="R236" s="39" t="s">
        <v>164</v>
      </c>
      <c r="S236" s="39" t="b">
        <f t="shared" si="8"/>
        <v>1</v>
      </c>
      <c r="T236" s="39" t="s">
        <v>163</v>
      </c>
      <c r="U236" s="39" t="b">
        <f t="shared" si="9"/>
        <v>1</v>
      </c>
      <c r="V236" s="39" t="s">
        <v>2564</v>
      </c>
      <c r="W236" s="39" t="s">
        <v>2564</v>
      </c>
      <c r="X236" s="83" t="s">
        <v>1286</v>
      </c>
      <c r="Y236" s="84" t="s">
        <v>1287</v>
      </c>
      <c r="Z236" s="83" t="s">
        <v>2508</v>
      </c>
      <c r="AA236" s="84" t="s">
        <v>2508</v>
      </c>
      <c r="AB236" s="108"/>
      <c r="AC236" s="107"/>
      <c r="AD236" s="84"/>
      <c r="AE236" s="83"/>
      <c r="AF236" s="84"/>
      <c r="AG236" s="83"/>
      <c r="AH236" s="84"/>
      <c r="AI236" s="39" t="s">
        <v>28</v>
      </c>
      <c r="AJ236" s="39" t="s">
        <v>45</v>
      </c>
      <c r="AK236" s="39" t="s">
        <v>1288</v>
      </c>
      <c r="AP236" s="39" t="s">
        <v>1289</v>
      </c>
      <c r="AQ236" s="39" t="s">
        <v>1290</v>
      </c>
      <c r="AR236" s="39" t="s">
        <v>68</v>
      </c>
      <c r="AS236" s="39" t="s">
        <v>32</v>
      </c>
      <c r="AU236" s="44">
        <v>6285711122864</v>
      </c>
      <c r="AX236" s="39" t="s">
        <v>1291</v>
      </c>
      <c r="AZ236" s="39" t="s">
        <v>163</v>
      </c>
      <c r="BA236" s="39" t="s">
        <v>1906</v>
      </c>
      <c r="BB236" s="39" t="s">
        <v>164</v>
      </c>
      <c r="BC236" s="39" t="s">
        <v>1918</v>
      </c>
      <c r="BD236" s="39" t="b">
        <v>1</v>
      </c>
      <c r="BE236" s="39" t="b">
        <v>1</v>
      </c>
      <c r="BF236" s="39" t="s">
        <v>1286</v>
      </c>
      <c r="BG236" s="39" t="s">
        <v>1287</v>
      </c>
      <c r="BH236" s="39" t="s">
        <v>2340</v>
      </c>
      <c r="BI236" s="39" t="s">
        <v>2341</v>
      </c>
      <c r="BJ236" s="39" t="b">
        <v>1</v>
      </c>
      <c r="BK236" s="39" t="b">
        <v>1</v>
      </c>
      <c r="BN236" s="39">
        <v>0</v>
      </c>
      <c r="BO236" s="39" t="s">
        <v>2798</v>
      </c>
      <c r="BP236" s="39" t="s">
        <v>2806</v>
      </c>
    </row>
    <row r="237" spans="1:68">
      <c r="A237" s="39" t="s">
        <v>20</v>
      </c>
      <c r="B237" s="39" t="s">
        <v>21</v>
      </c>
      <c r="C237" s="39" t="s">
        <v>2751</v>
      </c>
      <c r="D237" s="39" t="s">
        <v>82</v>
      </c>
      <c r="E237" s="39" t="s">
        <v>83</v>
      </c>
      <c r="F237" s="39" t="s">
        <v>84</v>
      </c>
      <c r="G237" s="39" t="s">
        <v>85</v>
      </c>
      <c r="H237" s="39" t="s">
        <v>86</v>
      </c>
      <c r="I237" s="39" t="b">
        <v>0</v>
      </c>
      <c r="J237" s="39" t="s">
        <v>86</v>
      </c>
      <c r="K237" s="39" t="b">
        <v>0</v>
      </c>
      <c r="L237" s="39">
        <v>2613050705</v>
      </c>
      <c r="M237" s="39" t="s">
        <v>87</v>
      </c>
      <c r="N237" s="39" t="s">
        <v>2508</v>
      </c>
      <c r="R237" s="39" t="s">
        <v>85</v>
      </c>
      <c r="S237" s="39" t="b">
        <f t="shared" si="8"/>
        <v>1</v>
      </c>
      <c r="T237" s="39" t="s">
        <v>84</v>
      </c>
      <c r="U237" s="39" t="b">
        <f t="shared" si="9"/>
        <v>1</v>
      </c>
      <c r="V237" s="39" t="s">
        <v>2564</v>
      </c>
      <c r="W237" s="39" t="s">
        <v>2564</v>
      </c>
      <c r="X237" s="83">
        <v>2613050705</v>
      </c>
      <c r="Y237" s="84" t="s">
        <v>87</v>
      </c>
      <c r="Z237" s="83" t="s">
        <v>2508</v>
      </c>
      <c r="AA237" s="84" t="s">
        <v>2508</v>
      </c>
      <c r="AB237" s="108"/>
      <c r="AC237" s="107"/>
      <c r="AD237" s="84"/>
      <c r="AE237" s="83"/>
      <c r="AF237" s="84"/>
      <c r="AG237" s="83"/>
      <c r="AH237" s="84"/>
      <c r="AI237" s="39" t="s">
        <v>88</v>
      </c>
      <c r="AJ237" s="39" t="s">
        <v>45</v>
      </c>
      <c r="AK237" s="39" t="s">
        <v>89</v>
      </c>
      <c r="AM237" s="39" t="s">
        <v>89</v>
      </c>
      <c r="AN237" s="39" t="s">
        <v>89</v>
      </c>
      <c r="AP237" s="39" t="s">
        <v>90</v>
      </c>
      <c r="AQ237" s="39" t="s">
        <v>91</v>
      </c>
      <c r="AR237" s="39" t="s">
        <v>68</v>
      </c>
      <c r="AU237" s="44">
        <v>6285717747490</v>
      </c>
      <c r="AX237" s="39" t="s">
        <v>92</v>
      </c>
      <c r="AZ237" s="39" t="s">
        <v>84</v>
      </c>
      <c r="BA237" s="39" t="s">
        <v>1904</v>
      </c>
      <c r="BB237" s="39" t="s">
        <v>85</v>
      </c>
      <c r="BC237" s="39" t="s">
        <v>1913</v>
      </c>
      <c r="BD237" s="39" t="b">
        <v>1</v>
      </c>
      <c r="BE237" s="39" t="b">
        <v>1</v>
      </c>
      <c r="BF237" s="39">
        <v>2613050705</v>
      </c>
      <c r="BG237" s="39" t="s">
        <v>87</v>
      </c>
      <c r="BH237" s="39" t="s">
        <v>2008</v>
      </c>
      <c r="BI237" s="39" t="s">
        <v>2009</v>
      </c>
      <c r="BJ237" s="39" t="b">
        <v>1</v>
      </c>
      <c r="BK237" s="39" t="b">
        <v>1</v>
      </c>
      <c r="BN237" s="39">
        <v>0</v>
      </c>
      <c r="BO237" s="39" t="s">
        <v>2799</v>
      </c>
      <c r="BP237" s="39" t="s">
        <v>2809</v>
      </c>
    </row>
    <row r="238" spans="1:68">
      <c r="A238" s="39" t="s">
        <v>20</v>
      </c>
      <c r="B238" s="39" t="s">
        <v>21</v>
      </c>
      <c r="C238" s="39" t="s">
        <v>2751</v>
      </c>
      <c r="D238" s="39" t="s">
        <v>82</v>
      </c>
      <c r="E238" s="39" t="s">
        <v>83</v>
      </c>
      <c r="F238" s="39" t="s">
        <v>84</v>
      </c>
      <c r="G238" s="39" t="s">
        <v>85</v>
      </c>
      <c r="H238" s="39" t="s">
        <v>86</v>
      </c>
      <c r="I238" s="39" t="b">
        <v>0</v>
      </c>
      <c r="J238" s="39" t="s">
        <v>86</v>
      </c>
      <c r="K238" s="39" t="b">
        <v>0</v>
      </c>
      <c r="L238" s="39">
        <v>2613051097</v>
      </c>
      <c r="M238" s="39" t="s">
        <v>235</v>
      </c>
      <c r="N238" s="39" t="s">
        <v>2508</v>
      </c>
      <c r="P238" s="39" t="s">
        <v>2508</v>
      </c>
      <c r="R238" s="39" t="s">
        <v>85</v>
      </c>
      <c r="S238" s="39" t="b">
        <f t="shared" si="8"/>
        <v>1</v>
      </c>
      <c r="T238" s="39" t="s">
        <v>84</v>
      </c>
      <c r="U238" s="39" t="b">
        <f t="shared" si="9"/>
        <v>1</v>
      </c>
      <c r="V238" s="39" t="s">
        <v>2564</v>
      </c>
      <c r="W238" s="39" t="s">
        <v>2564</v>
      </c>
      <c r="X238" s="83" t="s">
        <v>2581</v>
      </c>
      <c r="Y238" s="84" t="s">
        <v>2604</v>
      </c>
      <c r="Z238" s="83" t="s">
        <v>2508</v>
      </c>
      <c r="AA238" s="84" t="s">
        <v>2508</v>
      </c>
      <c r="AB238" s="108"/>
      <c r="AC238" s="107"/>
      <c r="AD238" s="84"/>
      <c r="AE238" s="83"/>
      <c r="AF238" s="84"/>
      <c r="AG238" s="83"/>
      <c r="AH238" s="84"/>
      <c r="AI238" s="39" t="s">
        <v>88</v>
      </c>
      <c r="AJ238" s="39" t="s">
        <v>45</v>
      </c>
      <c r="AK238" s="39" t="s">
        <v>236</v>
      </c>
      <c r="AM238" s="39" t="s">
        <v>236</v>
      </c>
      <c r="AN238" s="39" t="s">
        <v>237</v>
      </c>
      <c r="AP238" s="39" t="s">
        <v>238</v>
      </c>
      <c r="AQ238" s="39" t="s">
        <v>238</v>
      </c>
      <c r="AR238" s="39" t="s">
        <v>68</v>
      </c>
      <c r="AS238" s="39" t="s">
        <v>32</v>
      </c>
      <c r="AU238" s="44">
        <v>6285777258258</v>
      </c>
      <c r="AX238" s="39" t="s">
        <v>239</v>
      </c>
      <c r="AY238" s="39" t="s">
        <v>240</v>
      </c>
      <c r="AZ238" s="39" t="s">
        <v>84</v>
      </c>
      <c r="BA238" s="39" t="s">
        <v>1904</v>
      </c>
      <c r="BB238" s="39" t="s">
        <v>85</v>
      </c>
      <c r="BC238" s="39" t="s">
        <v>1913</v>
      </c>
      <c r="BD238" s="39" t="b">
        <v>1</v>
      </c>
      <c r="BE238" s="39" t="b">
        <v>1</v>
      </c>
      <c r="BF238" s="39">
        <v>2613051097</v>
      </c>
      <c r="BG238" s="39" t="s">
        <v>235</v>
      </c>
      <c r="BH238" s="39" t="s">
        <v>2052</v>
      </c>
      <c r="BI238" s="39" t="s">
        <v>2053</v>
      </c>
      <c r="BJ238" s="39" t="b">
        <v>1</v>
      </c>
      <c r="BK238" s="39" t="b">
        <v>1</v>
      </c>
      <c r="BN238" s="39">
        <v>0</v>
      </c>
      <c r="BO238" s="39" t="s">
        <v>2799</v>
      </c>
      <c r="BP238" s="39" t="s">
        <v>2809</v>
      </c>
    </row>
    <row r="239" spans="1:68">
      <c r="A239" s="39" t="s">
        <v>20</v>
      </c>
      <c r="B239" s="39" t="s">
        <v>21</v>
      </c>
      <c r="C239" s="39" t="s">
        <v>2751</v>
      </c>
      <c r="D239" s="39" t="s">
        <v>82</v>
      </c>
      <c r="E239" s="39" t="s">
        <v>83</v>
      </c>
      <c r="F239" s="39" t="s">
        <v>84</v>
      </c>
      <c r="G239" s="39" t="s">
        <v>85</v>
      </c>
      <c r="H239" s="39" t="s">
        <v>86</v>
      </c>
      <c r="I239" s="39" t="b">
        <v>0</v>
      </c>
      <c r="J239" s="39" t="s">
        <v>86</v>
      </c>
      <c r="K239" s="39" t="b">
        <v>0</v>
      </c>
      <c r="L239" s="39">
        <v>2613051098</v>
      </c>
      <c r="M239" s="39" t="s">
        <v>241</v>
      </c>
      <c r="N239" s="39" t="s">
        <v>2508</v>
      </c>
      <c r="R239" s="39" t="s">
        <v>85</v>
      </c>
      <c r="S239" s="39" t="b">
        <f t="shared" si="8"/>
        <v>1</v>
      </c>
      <c r="T239" s="39" t="s">
        <v>84</v>
      </c>
      <c r="U239" s="39" t="b">
        <f t="shared" si="9"/>
        <v>1</v>
      </c>
      <c r="V239" s="39" t="s">
        <v>2564</v>
      </c>
      <c r="W239" s="39" t="s">
        <v>2564</v>
      </c>
      <c r="X239" s="83">
        <v>2613051098</v>
      </c>
      <c r="Y239" s="84" t="s">
        <v>241</v>
      </c>
      <c r="Z239" s="83" t="s">
        <v>2508</v>
      </c>
      <c r="AA239" s="84" t="s">
        <v>2508</v>
      </c>
      <c r="AB239" s="108"/>
      <c r="AC239" s="107"/>
      <c r="AD239" s="84"/>
      <c r="AE239" s="83"/>
      <c r="AF239" s="84"/>
      <c r="AG239" s="83"/>
      <c r="AH239" s="84"/>
      <c r="AI239" s="39" t="s">
        <v>88</v>
      </c>
      <c r="AJ239" s="39" t="s">
        <v>45</v>
      </c>
      <c r="AK239" s="39" t="s">
        <v>242</v>
      </c>
      <c r="AM239" s="39" t="s">
        <v>242</v>
      </c>
      <c r="AN239" s="39" t="s">
        <v>242</v>
      </c>
      <c r="AP239" s="39" t="s">
        <v>243</v>
      </c>
      <c r="AQ239" s="39" t="s">
        <v>244</v>
      </c>
      <c r="AR239" s="39" t="s">
        <v>68</v>
      </c>
      <c r="AU239" s="44">
        <v>6285778143350</v>
      </c>
      <c r="AX239" s="39" t="s">
        <v>245</v>
      </c>
      <c r="AZ239" s="39" t="s">
        <v>84</v>
      </c>
      <c r="BA239" s="39" t="s">
        <v>1904</v>
      </c>
      <c r="BB239" s="39" t="s">
        <v>85</v>
      </c>
      <c r="BC239" s="39" t="s">
        <v>1913</v>
      </c>
      <c r="BD239" s="39" t="b">
        <v>1</v>
      </c>
      <c r="BE239" s="39" t="b">
        <v>1</v>
      </c>
      <c r="BF239" s="39">
        <v>2613051098</v>
      </c>
      <c r="BG239" s="39" t="s">
        <v>241</v>
      </c>
      <c r="BH239" s="39" t="s">
        <v>2054</v>
      </c>
      <c r="BI239" s="39" t="s">
        <v>2055</v>
      </c>
      <c r="BJ239" s="39" t="b">
        <v>1</v>
      </c>
      <c r="BK239" s="39" t="b">
        <v>1</v>
      </c>
      <c r="BN239" s="39">
        <v>0</v>
      </c>
      <c r="BO239" s="39" t="s">
        <v>2799</v>
      </c>
      <c r="BP239" s="39" t="s">
        <v>2809</v>
      </c>
    </row>
    <row r="240" spans="1:68">
      <c r="A240" s="39" t="s">
        <v>20</v>
      </c>
      <c r="B240" s="39" t="s">
        <v>21</v>
      </c>
      <c r="C240" s="39" t="s">
        <v>2751</v>
      </c>
      <c r="D240" s="39" t="s">
        <v>82</v>
      </c>
      <c r="E240" s="39" t="s">
        <v>83</v>
      </c>
      <c r="F240" s="39" t="s">
        <v>84</v>
      </c>
      <c r="G240" s="39" t="s">
        <v>85</v>
      </c>
      <c r="H240" s="39" t="s">
        <v>86</v>
      </c>
      <c r="I240" s="39" t="b">
        <v>0</v>
      </c>
      <c r="J240" s="39" t="s">
        <v>86</v>
      </c>
      <c r="K240" s="39" t="b">
        <v>0</v>
      </c>
      <c r="L240" s="39" t="s">
        <v>1180</v>
      </c>
      <c r="M240" s="39" t="s">
        <v>1181</v>
      </c>
      <c r="N240" s="39" t="s">
        <v>2508</v>
      </c>
      <c r="R240" s="39" t="s">
        <v>85</v>
      </c>
      <c r="S240" s="39" t="b">
        <f t="shared" si="8"/>
        <v>1</v>
      </c>
      <c r="T240" s="39" t="s">
        <v>84</v>
      </c>
      <c r="U240" s="39" t="b">
        <f t="shared" si="9"/>
        <v>1</v>
      </c>
      <c r="V240" s="39" t="s">
        <v>2564</v>
      </c>
      <c r="W240" s="39" t="s">
        <v>2564</v>
      </c>
      <c r="X240" s="83" t="s">
        <v>1180</v>
      </c>
      <c r="Y240" s="84" t="s">
        <v>1181</v>
      </c>
      <c r="Z240" s="83" t="s">
        <v>2508</v>
      </c>
      <c r="AA240" s="84" t="s">
        <v>2508</v>
      </c>
      <c r="AB240" s="108"/>
      <c r="AC240" s="107"/>
      <c r="AD240" s="84"/>
      <c r="AE240" s="83"/>
      <c r="AF240" s="84"/>
      <c r="AG240" s="83"/>
      <c r="AH240" s="84"/>
      <c r="AI240" s="39" t="s">
        <v>88</v>
      </c>
      <c r="AJ240" s="39" t="s">
        <v>45</v>
      </c>
      <c r="AK240" s="39" t="s">
        <v>1182</v>
      </c>
      <c r="AM240" s="39" t="s">
        <v>1182</v>
      </c>
      <c r="AN240" s="39" t="s">
        <v>1182</v>
      </c>
      <c r="AP240" s="39" t="s">
        <v>1183</v>
      </c>
      <c r="AQ240" s="39" t="s">
        <v>1184</v>
      </c>
      <c r="AR240" s="39" t="s">
        <v>68</v>
      </c>
      <c r="AS240" s="39" t="s">
        <v>32</v>
      </c>
      <c r="AU240" s="44">
        <v>6281700000066</v>
      </c>
      <c r="AX240" s="39" t="s">
        <v>1185</v>
      </c>
      <c r="AY240" s="39" t="s">
        <v>609</v>
      </c>
      <c r="AZ240" s="39" t="s">
        <v>84</v>
      </c>
      <c r="BA240" s="39" t="s">
        <v>1904</v>
      </c>
      <c r="BB240" s="39" t="s">
        <v>85</v>
      </c>
      <c r="BC240" s="39" t="s">
        <v>1913</v>
      </c>
      <c r="BD240" s="39" t="b">
        <v>1</v>
      </c>
      <c r="BE240" s="39" t="b">
        <v>1</v>
      </c>
      <c r="BF240" s="39" t="s">
        <v>1180</v>
      </c>
      <c r="BG240" s="39" t="s">
        <v>1181</v>
      </c>
      <c r="BH240" s="39" t="s">
        <v>2306</v>
      </c>
      <c r="BI240" s="39" t="s">
        <v>2307</v>
      </c>
      <c r="BJ240" s="39" t="b">
        <v>1</v>
      </c>
      <c r="BK240" s="39" t="b">
        <v>1</v>
      </c>
      <c r="BN240" s="39">
        <v>0</v>
      </c>
      <c r="BO240" s="39" t="s">
        <v>2799</v>
      </c>
      <c r="BP240" s="39" t="s">
        <v>2809</v>
      </c>
    </row>
    <row r="241" spans="1:68">
      <c r="A241" s="39" t="s">
        <v>20</v>
      </c>
      <c r="B241" s="39" t="s">
        <v>21</v>
      </c>
      <c r="C241" s="39" t="s">
        <v>2751</v>
      </c>
      <c r="D241" s="39" t="s">
        <v>82</v>
      </c>
      <c r="E241" s="39" t="s">
        <v>83</v>
      </c>
      <c r="F241" s="39" t="s">
        <v>84</v>
      </c>
      <c r="G241" s="39" t="s">
        <v>85</v>
      </c>
      <c r="H241" s="39" t="s">
        <v>86</v>
      </c>
      <c r="I241" s="39" t="b">
        <v>0</v>
      </c>
      <c r="J241" s="39" t="s">
        <v>86</v>
      </c>
      <c r="K241" s="39" t="b">
        <v>0</v>
      </c>
      <c r="L241" s="39" t="s">
        <v>1186</v>
      </c>
      <c r="M241" s="39" t="s">
        <v>1187</v>
      </c>
      <c r="N241" s="39" t="s">
        <v>2508</v>
      </c>
      <c r="R241" s="39" t="s">
        <v>85</v>
      </c>
      <c r="S241" s="39" t="b">
        <f t="shared" si="8"/>
        <v>1</v>
      </c>
      <c r="T241" s="39" t="s">
        <v>84</v>
      </c>
      <c r="U241" s="39" t="b">
        <f t="shared" si="9"/>
        <v>1</v>
      </c>
      <c r="V241" s="39" t="s">
        <v>2564</v>
      </c>
      <c r="W241" s="39" t="s">
        <v>2564</v>
      </c>
      <c r="X241" s="83" t="s">
        <v>1186</v>
      </c>
      <c r="Y241" s="84" t="s">
        <v>1187</v>
      </c>
      <c r="Z241" s="83" t="s">
        <v>2508</v>
      </c>
      <c r="AA241" s="84" t="s">
        <v>2508</v>
      </c>
      <c r="AB241" s="108"/>
      <c r="AC241" s="107"/>
      <c r="AD241" s="84"/>
      <c r="AE241" s="83"/>
      <c r="AF241" s="84"/>
      <c r="AG241" s="83"/>
      <c r="AH241" s="84"/>
      <c r="AI241" s="39" t="s">
        <v>88</v>
      </c>
      <c r="AJ241" s="39" t="s">
        <v>45</v>
      </c>
      <c r="AK241" s="39" t="s">
        <v>1188</v>
      </c>
      <c r="AM241" s="39" t="s">
        <v>1188</v>
      </c>
      <c r="AN241" s="39" t="s">
        <v>1188</v>
      </c>
      <c r="AP241" s="39" t="s">
        <v>1189</v>
      </c>
      <c r="AQ241" s="39" t="s">
        <v>1190</v>
      </c>
      <c r="AR241" s="39" t="s">
        <v>68</v>
      </c>
      <c r="AS241" s="39" t="s">
        <v>32</v>
      </c>
      <c r="AU241" s="44">
        <v>6281700000067</v>
      </c>
      <c r="AX241" s="39" t="s">
        <v>1191</v>
      </c>
      <c r="AY241" s="39" t="s">
        <v>609</v>
      </c>
      <c r="AZ241" s="39" t="s">
        <v>84</v>
      </c>
      <c r="BA241" s="39" t="s">
        <v>1904</v>
      </c>
      <c r="BB241" s="39" t="s">
        <v>85</v>
      </c>
      <c r="BC241" s="39" t="s">
        <v>1913</v>
      </c>
      <c r="BD241" s="39" t="b">
        <v>1</v>
      </c>
      <c r="BE241" s="39" t="b">
        <v>1</v>
      </c>
      <c r="BF241" s="39" t="s">
        <v>1186</v>
      </c>
      <c r="BG241" s="39" t="s">
        <v>1187</v>
      </c>
      <c r="BH241" s="39" t="s">
        <v>2308</v>
      </c>
      <c r="BI241" s="39" t="s">
        <v>2309</v>
      </c>
      <c r="BJ241" s="39" t="b">
        <v>1</v>
      </c>
      <c r="BK241" s="39" t="b">
        <v>1</v>
      </c>
      <c r="BN241" s="39">
        <v>0</v>
      </c>
      <c r="BO241" s="39" t="s">
        <v>2799</v>
      </c>
      <c r="BP241" s="39" t="s">
        <v>2809</v>
      </c>
    </row>
    <row r="242" spans="1:68">
      <c r="A242" s="39" t="s">
        <v>20</v>
      </c>
      <c r="B242" s="39" t="s">
        <v>21</v>
      </c>
      <c r="C242" s="39" t="s">
        <v>2751</v>
      </c>
      <c r="D242" s="39" t="s">
        <v>82</v>
      </c>
      <c r="E242" s="39" t="s">
        <v>83</v>
      </c>
      <c r="F242" s="39" t="s">
        <v>84</v>
      </c>
      <c r="G242" s="39" t="s">
        <v>85</v>
      </c>
      <c r="H242" s="39" t="s">
        <v>86</v>
      </c>
      <c r="I242" s="39" t="b">
        <v>0</v>
      </c>
      <c r="J242" s="39" t="s">
        <v>86</v>
      </c>
      <c r="K242" s="39" t="b">
        <v>0</v>
      </c>
      <c r="L242" s="39" t="s">
        <v>1192</v>
      </c>
      <c r="M242" s="39" t="s">
        <v>1193</v>
      </c>
      <c r="N242" s="39" t="s">
        <v>2508</v>
      </c>
      <c r="P242" s="39" t="s">
        <v>2508</v>
      </c>
      <c r="R242" s="39" t="s">
        <v>85</v>
      </c>
      <c r="S242" s="39" t="b">
        <f t="shared" si="8"/>
        <v>1</v>
      </c>
      <c r="T242" s="39" t="s">
        <v>84</v>
      </c>
      <c r="U242" s="39" t="b">
        <f t="shared" si="9"/>
        <v>1</v>
      </c>
      <c r="V242" s="39" t="s">
        <v>2564</v>
      </c>
      <c r="W242" s="39" t="s">
        <v>2564</v>
      </c>
      <c r="X242" s="83" t="s">
        <v>1192</v>
      </c>
      <c r="Y242" s="84" t="s">
        <v>1193</v>
      </c>
      <c r="Z242" s="83" t="s">
        <v>2508</v>
      </c>
      <c r="AA242" s="84" t="s">
        <v>2508</v>
      </c>
      <c r="AB242" s="108"/>
      <c r="AC242" s="107"/>
      <c r="AD242" s="84"/>
      <c r="AE242" s="83"/>
      <c r="AF242" s="84"/>
      <c r="AG242" s="83"/>
      <c r="AH242" s="84"/>
      <c r="AI242" s="39" t="s">
        <v>88</v>
      </c>
      <c r="AJ242" s="39" t="s">
        <v>45</v>
      </c>
      <c r="AK242" s="39" t="s">
        <v>1194</v>
      </c>
      <c r="AM242" s="39" t="s">
        <v>1194</v>
      </c>
      <c r="AN242" s="39" t="s">
        <v>1194</v>
      </c>
      <c r="AP242" s="39" t="s">
        <v>1195</v>
      </c>
      <c r="AQ242" s="39" t="s">
        <v>1196</v>
      </c>
      <c r="AR242" s="39" t="s">
        <v>68</v>
      </c>
      <c r="AS242" s="39" t="s">
        <v>32</v>
      </c>
      <c r="AU242" s="44">
        <v>6281700000068</v>
      </c>
      <c r="AX242" s="39" t="s">
        <v>1197</v>
      </c>
      <c r="AY242" s="39" t="s">
        <v>609</v>
      </c>
      <c r="AZ242" s="39" t="s">
        <v>84</v>
      </c>
      <c r="BA242" s="39" t="s">
        <v>1904</v>
      </c>
      <c r="BB242" s="39" t="s">
        <v>85</v>
      </c>
      <c r="BC242" s="39" t="s">
        <v>1913</v>
      </c>
      <c r="BD242" s="39" t="b">
        <v>1</v>
      </c>
      <c r="BE242" s="39" t="b">
        <v>1</v>
      </c>
      <c r="BF242" s="39" t="s">
        <v>1192</v>
      </c>
      <c r="BG242" s="39" t="s">
        <v>1193</v>
      </c>
      <c r="BH242" s="39" t="s">
        <v>2310</v>
      </c>
      <c r="BI242" s="39" t="s">
        <v>2311</v>
      </c>
      <c r="BJ242" s="39" t="b">
        <v>1</v>
      </c>
      <c r="BK242" s="39" t="b">
        <v>1</v>
      </c>
      <c r="BN242" s="39">
        <v>0</v>
      </c>
      <c r="BO242" s="39" t="s">
        <v>2799</v>
      </c>
      <c r="BP242" s="39" t="s">
        <v>2809</v>
      </c>
    </row>
    <row r="243" spans="1:68">
      <c r="A243" s="39" t="s">
        <v>20</v>
      </c>
      <c r="B243" s="39" t="s">
        <v>21</v>
      </c>
      <c r="C243" s="39" t="s">
        <v>2751</v>
      </c>
      <c r="D243" s="39" t="s">
        <v>82</v>
      </c>
      <c r="E243" s="39" t="s">
        <v>83</v>
      </c>
      <c r="F243" s="39" t="s">
        <v>84</v>
      </c>
      <c r="G243" s="39" t="s">
        <v>85</v>
      </c>
      <c r="H243" s="39" t="s">
        <v>86</v>
      </c>
      <c r="I243" s="39" t="b">
        <v>0</v>
      </c>
      <c r="J243" s="39" t="s">
        <v>86</v>
      </c>
      <c r="K243" s="39" t="b">
        <v>0</v>
      </c>
      <c r="L243" s="39" t="s">
        <v>1198</v>
      </c>
      <c r="M243" s="39" t="s">
        <v>1199</v>
      </c>
      <c r="N243" s="39" t="s">
        <v>2508</v>
      </c>
      <c r="R243" s="39" t="s">
        <v>85</v>
      </c>
      <c r="S243" s="39" t="b">
        <f t="shared" si="8"/>
        <v>1</v>
      </c>
      <c r="T243" s="39" t="s">
        <v>84</v>
      </c>
      <c r="U243" s="39" t="b">
        <f t="shared" si="9"/>
        <v>1</v>
      </c>
      <c r="V243" s="39" t="s">
        <v>2564</v>
      </c>
      <c r="W243" s="39" t="s">
        <v>2564</v>
      </c>
      <c r="X243" s="83" t="s">
        <v>1198</v>
      </c>
      <c r="Y243" s="84" t="s">
        <v>1199</v>
      </c>
      <c r="Z243" s="83" t="s">
        <v>2508</v>
      </c>
      <c r="AA243" s="84" t="s">
        <v>2508</v>
      </c>
      <c r="AB243" s="108"/>
      <c r="AC243" s="107"/>
      <c r="AD243" s="84"/>
      <c r="AE243" s="83"/>
      <c r="AF243" s="84"/>
      <c r="AG243" s="83"/>
      <c r="AH243" s="84"/>
      <c r="AI243" s="39" t="s">
        <v>88</v>
      </c>
      <c r="AJ243" s="39" t="s">
        <v>45</v>
      </c>
      <c r="AK243" s="39" t="s">
        <v>1200</v>
      </c>
      <c r="AM243" s="39" t="s">
        <v>1200</v>
      </c>
      <c r="AN243" s="39" t="s">
        <v>1200</v>
      </c>
      <c r="AP243" s="39" t="s">
        <v>1201</v>
      </c>
      <c r="AQ243" s="39" t="s">
        <v>1202</v>
      </c>
      <c r="AR243" s="39" t="s">
        <v>68</v>
      </c>
      <c r="AS243" s="39" t="s">
        <v>32</v>
      </c>
      <c r="AU243" s="44">
        <v>6281700000070</v>
      </c>
      <c r="AX243" s="39" t="s">
        <v>1203</v>
      </c>
      <c r="AY243" s="39" t="s">
        <v>609</v>
      </c>
      <c r="AZ243" s="39" t="s">
        <v>84</v>
      </c>
      <c r="BA243" s="39" t="s">
        <v>1904</v>
      </c>
      <c r="BB243" s="39" t="s">
        <v>85</v>
      </c>
      <c r="BC243" s="39" t="s">
        <v>1913</v>
      </c>
      <c r="BD243" s="39" t="b">
        <v>1</v>
      </c>
      <c r="BE243" s="39" t="b">
        <v>1</v>
      </c>
      <c r="BF243" s="39" t="s">
        <v>1198</v>
      </c>
      <c r="BG243" s="39" t="s">
        <v>1199</v>
      </c>
      <c r="BH243" s="39" t="s">
        <v>2312</v>
      </c>
      <c r="BI243" s="39" t="s">
        <v>2313</v>
      </c>
      <c r="BJ243" s="39" t="b">
        <v>1</v>
      </c>
      <c r="BK243" s="39" t="b">
        <v>1</v>
      </c>
      <c r="BN243" s="39">
        <v>0</v>
      </c>
      <c r="BO243" s="39" t="s">
        <v>2799</v>
      </c>
      <c r="BP243" s="39" t="s">
        <v>2809</v>
      </c>
    </row>
    <row r="244" spans="1:68">
      <c r="A244" s="39" t="s">
        <v>20</v>
      </c>
      <c r="B244" s="39" t="s">
        <v>21</v>
      </c>
      <c r="C244" s="39" t="s">
        <v>2751</v>
      </c>
      <c r="D244" s="39" t="s">
        <v>82</v>
      </c>
      <c r="E244" s="39" t="s">
        <v>83</v>
      </c>
      <c r="F244" s="39" t="s">
        <v>84</v>
      </c>
      <c r="G244" s="39" t="s">
        <v>85</v>
      </c>
      <c r="H244" s="39" t="s">
        <v>86</v>
      </c>
      <c r="I244" s="39" t="b">
        <v>0</v>
      </c>
      <c r="J244" s="39" t="s">
        <v>86</v>
      </c>
      <c r="K244" s="39" t="b">
        <v>0</v>
      </c>
      <c r="L244" s="39" t="s">
        <v>1204</v>
      </c>
      <c r="M244" s="39" t="s">
        <v>1205</v>
      </c>
      <c r="N244" s="39" t="s">
        <v>2508</v>
      </c>
      <c r="R244" s="39" t="s">
        <v>85</v>
      </c>
      <c r="S244" s="39" t="b">
        <f t="shared" si="8"/>
        <v>1</v>
      </c>
      <c r="T244" s="39" t="s">
        <v>84</v>
      </c>
      <c r="U244" s="39" t="b">
        <f t="shared" si="9"/>
        <v>1</v>
      </c>
      <c r="V244" s="39" t="s">
        <v>2564</v>
      </c>
      <c r="W244" s="39" t="s">
        <v>2564</v>
      </c>
      <c r="X244" s="83" t="s">
        <v>1204</v>
      </c>
      <c r="Y244" s="84" t="s">
        <v>1205</v>
      </c>
      <c r="Z244" s="83" t="s">
        <v>2508</v>
      </c>
      <c r="AA244" s="84" t="s">
        <v>2508</v>
      </c>
      <c r="AB244" s="108"/>
      <c r="AC244" s="107"/>
      <c r="AD244" s="84"/>
      <c r="AE244" s="83"/>
      <c r="AF244" s="84"/>
      <c r="AG244" s="83"/>
      <c r="AH244" s="84"/>
      <c r="AI244" s="39" t="s">
        <v>88</v>
      </c>
      <c r="AJ244" s="39" t="s">
        <v>45</v>
      </c>
      <c r="AK244" s="39" t="s">
        <v>1206</v>
      </c>
      <c r="AM244" s="39" t="s">
        <v>1206</v>
      </c>
      <c r="AN244" s="39" t="s">
        <v>1206</v>
      </c>
      <c r="AP244" s="39" t="s">
        <v>1207</v>
      </c>
      <c r="AQ244" s="39" t="s">
        <v>1208</v>
      </c>
      <c r="AR244" s="39" t="s">
        <v>68</v>
      </c>
      <c r="AS244" s="39" t="s">
        <v>32</v>
      </c>
      <c r="AU244" s="44">
        <v>6281700000072</v>
      </c>
      <c r="AX244" s="39" t="s">
        <v>1209</v>
      </c>
      <c r="AY244" s="39" t="s">
        <v>609</v>
      </c>
      <c r="AZ244" s="39" t="s">
        <v>84</v>
      </c>
      <c r="BA244" s="39" t="s">
        <v>1904</v>
      </c>
      <c r="BB244" s="39" t="s">
        <v>85</v>
      </c>
      <c r="BC244" s="39" t="s">
        <v>1913</v>
      </c>
      <c r="BD244" s="39" t="b">
        <v>1</v>
      </c>
      <c r="BE244" s="39" t="b">
        <v>1</v>
      </c>
      <c r="BF244" s="39" t="s">
        <v>1204</v>
      </c>
      <c r="BG244" s="39" t="s">
        <v>1205</v>
      </c>
      <c r="BH244" s="39" t="s">
        <v>2314</v>
      </c>
      <c r="BI244" s="39" t="s">
        <v>2315</v>
      </c>
      <c r="BJ244" s="39" t="b">
        <v>1</v>
      </c>
      <c r="BK244" s="39" t="b">
        <v>1</v>
      </c>
      <c r="BN244" s="39">
        <v>0</v>
      </c>
      <c r="BO244" s="39" t="s">
        <v>2799</v>
      </c>
      <c r="BP244" s="39" t="s">
        <v>2809</v>
      </c>
    </row>
    <row r="245" spans="1:68">
      <c r="A245" s="39" t="s">
        <v>20</v>
      </c>
      <c r="B245" s="39" t="s">
        <v>21</v>
      </c>
      <c r="C245" s="39" t="s">
        <v>2751</v>
      </c>
      <c r="D245" s="39" t="s">
        <v>292</v>
      </c>
      <c r="E245" s="39" t="s">
        <v>293</v>
      </c>
      <c r="F245" s="39" t="s">
        <v>294</v>
      </c>
      <c r="G245" s="39" t="s">
        <v>295</v>
      </c>
      <c r="H245" s="39" t="s">
        <v>86</v>
      </c>
      <c r="I245" s="39" t="b">
        <v>0</v>
      </c>
      <c r="J245" s="39" t="s">
        <v>86</v>
      </c>
      <c r="K245" s="39" t="b">
        <v>0</v>
      </c>
      <c r="L245" s="39">
        <v>2613052277</v>
      </c>
      <c r="M245" s="39" t="s">
        <v>296</v>
      </c>
      <c r="N245" s="39" t="s">
        <v>2508</v>
      </c>
      <c r="R245" s="39" t="s">
        <v>295</v>
      </c>
      <c r="S245" s="39" t="b">
        <f t="shared" si="8"/>
        <v>1</v>
      </c>
      <c r="T245" s="39" t="s">
        <v>294</v>
      </c>
      <c r="U245" s="39" t="b">
        <f t="shared" si="9"/>
        <v>1</v>
      </c>
      <c r="V245" s="39" t="s">
        <v>2564</v>
      </c>
      <c r="W245" s="39" t="s">
        <v>2564</v>
      </c>
      <c r="X245" s="83">
        <v>2613052277</v>
      </c>
      <c r="Y245" s="84" t="s">
        <v>296</v>
      </c>
      <c r="Z245" s="83" t="s">
        <v>2508</v>
      </c>
      <c r="AA245" s="84" t="s">
        <v>2508</v>
      </c>
      <c r="AB245" s="108"/>
      <c r="AC245" s="107"/>
      <c r="AD245" s="84"/>
      <c r="AE245" s="83"/>
      <c r="AF245" s="84"/>
      <c r="AG245" s="83"/>
      <c r="AH245" s="84"/>
      <c r="AI245" s="39" t="s">
        <v>88</v>
      </c>
      <c r="AJ245" s="39" t="s">
        <v>45</v>
      </c>
      <c r="AK245" s="39" t="s">
        <v>297</v>
      </c>
      <c r="AM245" s="39" t="s">
        <v>297</v>
      </c>
      <c r="AN245" s="39" t="s">
        <v>298</v>
      </c>
      <c r="AP245" s="39" t="s">
        <v>299</v>
      </c>
      <c r="AQ245" s="39" t="s">
        <v>300</v>
      </c>
      <c r="AR245" s="39" t="s">
        <v>68</v>
      </c>
      <c r="AS245" s="39" t="s">
        <v>32</v>
      </c>
      <c r="AU245" s="44">
        <v>6285888885509</v>
      </c>
      <c r="AX245" s="39" t="s">
        <v>301</v>
      </c>
      <c r="AY245" s="39" t="s">
        <v>240</v>
      </c>
      <c r="AZ245" s="39" t="s">
        <v>294</v>
      </c>
      <c r="BA245" s="39" t="s">
        <v>1904</v>
      </c>
      <c r="BB245" s="39" t="s">
        <v>295</v>
      </c>
      <c r="BC245" s="39" t="s">
        <v>1922</v>
      </c>
      <c r="BD245" s="39" t="b">
        <v>1</v>
      </c>
      <c r="BE245" s="39" t="b">
        <v>1</v>
      </c>
      <c r="BF245" s="39">
        <v>2613052277</v>
      </c>
      <c r="BG245" s="39" t="s">
        <v>296</v>
      </c>
      <c r="BH245" s="39" t="s">
        <v>2070</v>
      </c>
      <c r="BI245" s="39" t="s">
        <v>2071</v>
      </c>
      <c r="BJ245" s="39" t="b">
        <v>1</v>
      </c>
      <c r="BK245" s="39" t="b">
        <v>1</v>
      </c>
      <c r="BN245" s="39">
        <v>0</v>
      </c>
      <c r="BO245" s="39" t="s">
        <v>2800</v>
      </c>
      <c r="BP245" s="39" t="s">
        <v>2809</v>
      </c>
    </row>
    <row r="246" spans="1:68">
      <c r="A246" s="39" t="s">
        <v>20</v>
      </c>
      <c r="B246" s="39" t="s">
        <v>21</v>
      </c>
      <c r="C246" s="39" t="s">
        <v>2751</v>
      </c>
      <c r="D246" s="39" t="s">
        <v>292</v>
      </c>
      <c r="E246" s="39" t="s">
        <v>293</v>
      </c>
      <c r="F246" s="39" t="s">
        <v>294</v>
      </c>
      <c r="G246" s="39" t="s">
        <v>295</v>
      </c>
      <c r="H246" s="39" t="s">
        <v>86</v>
      </c>
      <c r="I246" s="39" t="b">
        <v>0</v>
      </c>
      <c r="J246" s="39" t="s">
        <v>86</v>
      </c>
      <c r="K246" s="39" t="b">
        <v>0</v>
      </c>
      <c r="L246" s="39" t="s">
        <v>1292</v>
      </c>
      <c r="M246" s="39" t="s">
        <v>1293</v>
      </c>
      <c r="N246" s="39" t="s">
        <v>2508</v>
      </c>
      <c r="R246" s="39" t="s">
        <v>295</v>
      </c>
      <c r="S246" s="39" t="b">
        <f t="shared" si="8"/>
        <v>1</v>
      </c>
      <c r="T246" s="39" t="s">
        <v>294</v>
      </c>
      <c r="U246" s="39" t="b">
        <f t="shared" si="9"/>
        <v>1</v>
      </c>
      <c r="V246" s="39" t="s">
        <v>2564</v>
      </c>
      <c r="W246" s="39" t="s">
        <v>2564</v>
      </c>
      <c r="X246" s="83" t="s">
        <v>1292</v>
      </c>
      <c r="Y246" s="84" t="s">
        <v>1293</v>
      </c>
      <c r="Z246" s="83" t="s">
        <v>2508</v>
      </c>
      <c r="AA246" s="84" t="s">
        <v>2508</v>
      </c>
      <c r="AB246" s="108"/>
      <c r="AC246" s="107"/>
      <c r="AD246" s="84"/>
      <c r="AE246" s="83"/>
      <c r="AF246" s="84"/>
      <c r="AG246" s="83"/>
      <c r="AH246" s="84"/>
      <c r="AI246" s="39" t="s">
        <v>88</v>
      </c>
      <c r="AJ246" s="39" t="s">
        <v>45</v>
      </c>
      <c r="AK246" s="39" t="s">
        <v>1294</v>
      </c>
      <c r="AM246" s="39" t="s">
        <v>1294</v>
      </c>
      <c r="AN246" s="39" t="s">
        <v>1294</v>
      </c>
      <c r="AP246" s="39" t="s">
        <v>1295</v>
      </c>
      <c r="AQ246" s="39" t="s">
        <v>1296</v>
      </c>
      <c r="AR246" s="39" t="s">
        <v>68</v>
      </c>
      <c r="AS246" s="39" t="s">
        <v>32</v>
      </c>
      <c r="AU246" s="44">
        <v>6285719109625</v>
      </c>
      <c r="AX246" s="39" t="s">
        <v>1297</v>
      </c>
      <c r="AY246" s="39" t="s">
        <v>609</v>
      </c>
      <c r="AZ246" s="39" t="s">
        <v>294</v>
      </c>
      <c r="BA246" s="39" t="s">
        <v>1904</v>
      </c>
      <c r="BB246" s="39" t="s">
        <v>295</v>
      </c>
      <c r="BC246" s="39" t="s">
        <v>1922</v>
      </c>
      <c r="BD246" s="39" t="b">
        <v>1</v>
      </c>
      <c r="BE246" s="39" t="b">
        <v>1</v>
      </c>
      <c r="BF246" s="39" t="s">
        <v>1292</v>
      </c>
      <c r="BG246" s="39" t="s">
        <v>1293</v>
      </c>
      <c r="BH246" s="39" t="s">
        <v>2342</v>
      </c>
      <c r="BI246" s="39" t="s">
        <v>2343</v>
      </c>
      <c r="BJ246" s="39" t="b">
        <v>1</v>
      </c>
      <c r="BK246" s="39" t="b">
        <v>1</v>
      </c>
      <c r="BN246" s="39">
        <v>0</v>
      </c>
      <c r="BO246" s="39" t="s">
        <v>2800</v>
      </c>
      <c r="BP246" s="39" t="s">
        <v>2809</v>
      </c>
    </row>
    <row r="247" spans="1:68">
      <c r="A247" s="39" t="s">
        <v>20</v>
      </c>
      <c r="B247" s="39" t="s">
        <v>21</v>
      </c>
      <c r="C247" s="39" t="s">
        <v>2751</v>
      </c>
      <c r="D247" s="39" t="s">
        <v>292</v>
      </c>
      <c r="E247" s="39" t="s">
        <v>293</v>
      </c>
      <c r="F247" s="39" t="s">
        <v>294</v>
      </c>
      <c r="G247" s="39" t="s">
        <v>295</v>
      </c>
      <c r="H247" s="39" t="s">
        <v>86</v>
      </c>
      <c r="I247" s="39" t="b">
        <v>0</v>
      </c>
      <c r="J247" s="39" t="s">
        <v>86</v>
      </c>
      <c r="K247" s="39" t="b">
        <v>0</v>
      </c>
      <c r="L247" s="39" t="s">
        <v>1298</v>
      </c>
      <c r="M247" s="39" t="s">
        <v>1299</v>
      </c>
      <c r="N247" s="39" t="s">
        <v>2512</v>
      </c>
      <c r="R247" s="39" t="s">
        <v>295</v>
      </c>
      <c r="S247" s="39" t="b">
        <f t="shared" si="8"/>
        <v>1</v>
      </c>
      <c r="T247" s="39" t="s">
        <v>84</v>
      </c>
      <c r="U247" s="39" t="b">
        <f t="shared" si="9"/>
        <v>0</v>
      </c>
      <c r="V247" s="39" t="s">
        <v>2562</v>
      </c>
      <c r="W247" s="39" t="s">
        <v>2564</v>
      </c>
      <c r="X247" s="83" t="s">
        <v>1298</v>
      </c>
      <c r="Y247" s="84" t="s">
        <v>1299</v>
      </c>
      <c r="Z247" s="83" t="s">
        <v>2508</v>
      </c>
      <c r="AA247" s="84" t="s">
        <v>2508</v>
      </c>
      <c r="AB247" s="108"/>
      <c r="AC247" s="107"/>
      <c r="AD247" s="84"/>
      <c r="AE247" s="83"/>
      <c r="AF247" s="84"/>
      <c r="AG247" s="83"/>
      <c r="AH247" s="84"/>
      <c r="AI247" s="39" t="s">
        <v>88</v>
      </c>
      <c r="AJ247" s="39" t="s">
        <v>45</v>
      </c>
      <c r="AK247" s="39" t="s">
        <v>1300</v>
      </c>
      <c r="AM247" s="39" t="s">
        <v>1300</v>
      </c>
      <c r="AN247" s="39" t="s">
        <v>1300</v>
      </c>
      <c r="AP247" s="39" t="s">
        <v>1301</v>
      </c>
      <c r="AQ247" s="39" t="s">
        <v>1302</v>
      </c>
      <c r="AR247" s="39" t="s">
        <v>68</v>
      </c>
      <c r="AS247" s="39" t="s">
        <v>32</v>
      </c>
      <c r="AU247" s="44">
        <v>6285719109623</v>
      </c>
      <c r="AX247" s="39" t="s">
        <v>1303</v>
      </c>
      <c r="AY247" s="39" t="s">
        <v>609</v>
      </c>
      <c r="AZ247" s="39" t="s">
        <v>294</v>
      </c>
      <c r="BA247" s="39" t="s">
        <v>1904</v>
      </c>
      <c r="BB247" s="39" t="s">
        <v>295</v>
      </c>
      <c r="BC247" s="39" t="s">
        <v>1922</v>
      </c>
      <c r="BD247" s="39" t="b">
        <v>1</v>
      </c>
      <c r="BE247" s="39" t="b">
        <v>1</v>
      </c>
      <c r="BF247" s="39" t="s">
        <v>1298</v>
      </c>
      <c r="BG247" s="39" t="s">
        <v>1299</v>
      </c>
      <c r="BH247" s="39" t="s">
        <v>2344</v>
      </c>
      <c r="BI247" s="39" t="s">
        <v>2345</v>
      </c>
      <c r="BJ247" s="39" t="b">
        <v>1</v>
      </c>
      <c r="BK247" s="39" t="b">
        <v>1</v>
      </c>
      <c r="BN247" s="39">
        <v>0</v>
      </c>
      <c r="BO247" s="39" t="s">
        <v>2800</v>
      </c>
      <c r="BP247" s="39" t="s">
        <v>2809</v>
      </c>
    </row>
    <row r="248" spans="1:68">
      <c r="A248" s="39" t="s">
        <v>20</v>
      </c>
      <c r="B248" s="39" t="s">
        <v>21</v>
      </c>
      <c r="C248" s="39" t="s">
        <v>2751</v>
      </c>
      <c r="D248" s="39" t="s">
        <v>292</v>
      </c>
      <c r="E248" s="39" t="s">
        <v>293</v>
      </c>
      <c r="F248" s="39" t="s">
        <v>294</v>
      </c>
      <c r="G248" s="39" t="s">
        <v>295</v>
      </c>
      <c r="H248" s="39" t="s">
        <v>86</v>
      </c>
      <c r="I248" s="39" t="b">
        <v>0</v>
      </c>
      <c r="J248" s="39" t="s">
        <v>86</v>
      </c>
      <c r="K248" s="39" t="b">
        <v>0</v>
      </c>
      <c r="L248" s="39" t="s">
        <v>1304</v>
      </c>
      <c r="M248" s="39" t="s">
        <v>1305</v>
      </c>
      <c r="N248" s="39" t="s">
        <v>2508</v>
      </c>
      <c r="P248" s="39" t="s">
        <v>2508</v>
      </c>
      <c r="R248" s="39" t="s">
        <v>295</v>
      </c>
      <c r="S248" s="39" t="b">
        <f t="shared" si="8"/>
        <v>1</v>
      </c>
      <c r="T248" s="39" t="s">
        <v>294</v>
      </c>
      <c r="U248" s="39" t="b">
        <f t="shared" si="9"/>
        <v>1</v>
      </c>
      <c r="V248" s="39" t="s">
        <v>2564</v>
      </c>
      <c r="W248" s="39" t="s">
        <v>2564</v>
      </c>
      <c r="X248" s="83" t="s">
        <v>1304</v>
      </c>
      <c r="Y248" s="84" t="s">
        <v>1305</v>
      </c>
      <c r="Z248" s="83" t="s">
        <v>2508</v>
      </c>
      <c r="AA248" s="84" t="s">
        <v>2508</v>
      </c>
      <c r="AB248" s="108"/>
      <c r="AC248" s="107"/>
      <c r="AD248" s="84"/>
      <c r="AE248" s="83"/>
      <c r="AF248" s="84"/>
      <c r="AG248" s="83"/>
      <c r="AH248" s="84"/>
      <c r="AI248" s="39" t="s">
        <v>88</v>
      </c>
      <c r="AJ248" s="39" t="s">
        <v>45</v>
      </c>
      <c r="AK248" s="39" t="s">
        <v>1306</v>
      </c>
      <c r="AM248" s="39" t="s">
        <v>1306</v>
      </c>
      <c r="AN248" s="39" t="s">
        <v>1306</v>
      </c>
      <c r="AP248" s="39" t="s">
        <v>1307</v>
      </c>
      <c r="AQ248" s="39" t="s">
        <v>1308</v>
      </c>
      <c r="AR248" s="39" t="s">
        <v>68</v>
      </c>
      <c r="AS248" s="39" t="s">
        <v>32</v>
      </c>
      <c r="AU248" s="44">
        <v>6285719109622</v>
      </c>
      <c r="AX248" s="39" t="s">
        <v>1309</v>
      </c>
      <c r="AY248" s="39" t="s">
        <v>609</v>
      </c>
      <c r="AZ248" s="39" t="s">
        <v>294</v>
      </c>
      <c r="BA248" s="39" t="s">
        <v>1904</v>
      </c>
      <c r="BB248" s="39" t="s">
        <v>295</v>
      </c>
      <c r="BC248" s="39" t="s">
        <v>1922</v>
      </c>
      <c r="BD248" s="39" t="b">
        <v>1</v>
      </c>
      <c r="BE248" s="39" t="b">
        <v>1</v>
      </c>
      <c r="BF248" s="39" t="s">
        <v>1304</v>
      </c>
      <c r="BG248" s="39" t="s">
        <v>1305</v>
      </c>
      <c r="BH248" s="39" t="s">
        <v>2346</v>
      </c>
      <c r="BI248" s="39" t="s">
        <v>2347</v>
      </c>
      <c r="BJ248" s="39" t="b">
        <v>1</v>
      </c>
      <c r="BK248" s="39" t="b">
        <v>1</v>
      </c>
      <c r="BN248" s="39">
        <v>0</v>
      </c>
      <c r="BO248" s="39" t="s">
        <v>2800</v>
      </c>
      <c r="BP248" s="39" t="s">
        <v>2809</v>
      </c>
    </row>
    <row r="249" spans="1:68">
      <c r="A249" s="39" t="s">
        <v>20</v>
      </c>
      <c r="B249" s="39" t="s">
        <v>21</v>
      </c>
      <c r="C249" s="39" t="s">
        <v>2751</v>
      </c>
      <c r="D249" s="39" t="s">
        <v>292</v>
      </c>
      <c r="E249" s="39" t="s">
        <v>293</v>
      </c>
      <c r="F249" s="39" t="s">
        <v>294</v>
      </c>
      <c r="G249" s="39" t="s">
        <v>295</v>
      </c>
      <c r="H249" s="39" t="s">
        <v>86</v>
      </c>
      <c r="I249" s="39" t="b">
        <v>0</v>
      </c>
      <c r="J249" s="39" t="s">
        <v>86</v>
      </c>
      <c r="K249" s="39" t="b">
        <v>0</v>
      </c>
      <c r="L249" s="39" t="s">
        <v>1310</v>
      </c>
      <c r="M249" s="39" t="s">
        <v>1311</v>
      </c>
      <c r="N249" s="39" t="s">
        <v>2508</v>
      </c>
      <c r="R249" s="39" t="s">
        <v>295</v>
      </c>
      <c r="S249" s="39" t="b">
        <f t="shared" si="8"/>
        <v>1</v>
      </c>
      <c r="T249" s="39" t="s">
        <v>294</v>
      </c>
      <c r="U249" s="39" t="b">
        <f t="shared" si="9"/>
        <v>1</v>
      </c>
      <c r="V249" s="39" t="s">
        <v>2564</v>
      </c>
      <c r="W249" s="39" t="s">
        <v>2564</v>
      </c>
      <c r="X249" s="83" t="s">
        <v>1310</v>
      </c>
      <c r="Y249" s="84" t="s">
        <v>1311</v>
      </c>
      <c r="Z249" s="83" t="s">
        <v>2508</v>
      </c>
      <c r="AA249" s="84" t="s">
        <v>2508</v>
      </c>
      <c r="AB249" s="108"/>
      <c r="AC249" s="107"/>
      <c r="AD249" s="84"/>
      <c r="AE249" s="83"/>
      <c r="AF249" s="84"/>
      <c r="AG249" s="83"/>
      <c r="AH249" s="84"/>
      <c r="AI249" s="39" t="s">
        <v>88</v>
      </c>
      <c r="AJ249" s="39" t="s">
        <v>45</v>
      </c>
      <c r="AK249" s="39" t="s">
        <v>1312</v>
      </c>
      <c r="AM249" s="39" t="s">
        <v>1312</v>
      </c>
      <c r="AN249" s="39" t="s">
        <v>1312</v>
      </c>
      <c r="AP249" s="39" t="s">
        <v>1313</v>
      </c>
      <c r="AQ249" s="39" t="s">
        <v>1314</v>
      </c>
      <c r="AR249" s="39" t="s">
        <v>68</v>
      </c>
      <c r="AS249" s="39" t="s">
        <v>32</v>
      </c>
      <c r="AU249" s="44">
        <v>6285719109621</v>
      </c>
      <c r="AX249" s="39" t="s">
        <v>1315</v>
      </c>
      <c r="AY249" s="39" t="s">
        <v>609</v>
      </c>
      <c r="AZ249" s="39" t="s">
        <v>294</v>
      </c>
      <c r="BA249" s="39" t="s">
        <v>1904</v>
      </c>
      <c r="BB249" s="39" t="s">
        <v>295</v>
      </c>
      <c r="BC249" s="39" t="s">
        <v>1922</v>
      </c>
      <c r="BD249" s="39" t="b">
        <v>1</v>
      </c>
      <c r="BE249" s="39" t="b">
        <v>1</v>
      </c>
      <c r="BF249" s="39" t="s">
        <v>1310</v>
      </c>
      <c r="BG249" s="39" t="s">
        <v>1311</v>
      </c>
      <c r="BH249" s="39" t="s">
        <v>2348</v>
      </c>
      <c r="BI249" s="39" t="s">
        <v>2349</v>
      </c>
      <c r="BJ249" s="39" t="b">
        <v>1</v>
      </c>
      <c r="BK249" s="39" t="b">
        <v>1</v>
      </c>
      <c r="BN249" s="39">
        <v>0</v>
      </c>
      <c r="BO249" s="39" t="s">
        <v>2800</v>
      </c>
      <c r="BP249" s="39" t="s">
        <v>2809</v>
      </c>
    </row>
    <row r="250" spans="1:68">
      <c r="A250" s="39" t="s">
        <v>20</v>
      </c>
      <c r="B250" s="39" t="s">
        <v>21</v>
      </c>
      <c r="C250" s="39" t="s">
        <v>2751</v>
      </c>
      <c r="D250" s="39" t="s">
        <v>292</v>
      </c>
      <c r="E250" s="39" t="s">
        <v>789</v>
      </c>
      <c r="F250" s="39" t="s">
        <v>790</v>
      </c>
      <c r="G250" s="39" t="s">
        <v>791</v>
      </c>
      <c r="H250" s="39" t="s">
        <v>792</v>
      </c>
      <c r="I250" s="39" t="b">
        <v>0</v>
      </c>
      <c r="J250" s="39" t="s">
        <v>792</v>
      </c>
      <c r="K250" s="39" t="b">
        <v>0</v>
      </c>
      <c r="L250" s="39" t="s">
        <v>793</v>
      </c>
      <c r="M250" s="39" t="s">
        <v>794</v>
      </c>
      <c r="N250" s="39" t="s">
        <v>2508</v>
      </c>
      <c r="R250" s="39" t="s">
        <v>791</v>
      </c>
      <c r="S250" s="39" t="b">
        <f t="shared" si="8"/>
        <v>1</v>
      </c>
      <c r="T250" s="39" t="s">
        <v>790</v>
      </c>
      <c r="U250" s="39" t="b">
        <f t="shared" si="9"/>
        <v>1</v>
      </c>
      <c r="V250" s="39" t="s">
        <v>2564</v>
      </c>
      <c r="W250" s="39" t="s">
        <v>2564</v>
      </c>
      <c r="X250" s="83" t="s">
        <v>793</v>
      </c>
      <c r="Y250" s="84" t="s">
        <v>794</v>
      </c>
      <c r="Z250" s="83" t="s">
        <v>2508</v>
      </c>
      <c r="AA250" s="84" t="s">
        <v>2509</v>
      </c>
      <c r="AB250" s="108"/>
      <c r="AC250" s="107"/>
      <c r="AD250" s="84"/>
      <c r="AE250" s="83"/>
      <c r="AF250" s="84"/>
      <c r="AG250" s="83"/>
      <c r="AH250" s="84"/>
      <c r="AI250" s="39" t="s">
        <v>88</v>
      </c>
      <c r="AJ250" s="39" t="s">
        <v>45</v>
      </c>
      <c r="AK250" s="39" t="s">
        <v>795</v>
      </c>
      <c r="AM250" s="39" t="s">
        <v>795</v>
      </c>
      <c r="AN250" s="39" t="s">
        <v>796</v>
      </c>
      <c r="AP250" s="39" t="s">
        <v>797</v>
      </c>
      <c r="AQ250" s="39" t="s">
        <v>798</v>
      </c>
      <c r="AR250" s="39" t="s">
        <v>119</v>
      </c>
      <c r="AS250" s="39" t="s">
        <v>32</v>
      </c>
      <c r="AU250" s="44">
        <v>62857710477771</v>
      </c>
      <c r="AX250" s="39" t="s">
        <v>799</v>
      </c>
      <c r="AY250" s="39" t="s">
        <v>373</v>
      </c>
      <c r="AZ250" s="39" t="s">
        <v>790</v>
      </c>
      <c r="BA250" s="39" t="s">
        <v>792</v>
      </c>
      <c r="BB250" s="39" t="s">
        <v>791</v>
      </c>
      <c r="BC250" s="39" t="s">
        <v>1930</v>
      </c>
      <c r="BD250" s="39" t="b">
        <v>1</v>
      </c>
      <c r="BE250" s="39" t="b">
        <v>1</v>
      </c>
      <c r="BF250" s="39" t="s">
        <v>793</v>
      </c>
      <c r="BG250" s="39" t="s">
        <v>794</v>
      </c>
      <c r="BH250" s="39" t="s">
        <v>2196</v>
      </c>
      <c r="BI250" s="39" t="s">
        <v>2197</v>
      </c>
      <c r="BJ250" s="39" t="b">
        <v>1</v>
      </c>
      <c r="BK250" s="39" t="b">
        <v>1</v>
      </c>
      <c r="BN250" s="39">
        <v>0</v>
      </c>
      <c r="BO250" s="39" t="s">
        <v>2800</v>
      </c>
      <c r="BP250" s="39" t="s">
        <v>2809</v>
      </c>
    </row>
    <row r="251" spans="1:68">
      <c r="A251" s="39" t="s">
        <v>20</v>
      </c>
      <c r="B251" s="39" t="s">
        <v>21</v>
      </c>
      <c r="C251" s="39" t="s">
        <v>2751</v>
      </c>
      <c r="D251" s="39" t="s">
        <v>292</v>
      </c>
      <c r="E251" s="39" t="s">
        <v>789</v>
      </c>
      <c r="F251" s="39" t="s">
        <v>790</v>
      </c>
      <c r="G251" s="39" t="s">
        <v>791</v>
      </c>
      <c r="H251" s="39" t="s">
        <v>792</v>
      </c>
      <c r="I251" s="39" t="b">
        <v>0</v>
      </c>
      <c r="J251" s="39" t="s">
        <v>792</v>
      </c>
      <c r="K251" s="39" t="b">
        <v>0</v>
      </c>
      <c r="L251" s="39" t="s">
        <v>800</v>
      </c>
      <c r="M251" s="39" t="s">
        <v>801</v>
      </c>
      <c r="N251" s="39" t="s">
        <v>2508</v>
      </c>
      <c r="P251" s="39" t="s">
        <v>2510</v>
      </c>
      <c r="S251" s="39" t="b">
        <f t="shared" si="8"/>
        <v>0</v>
      </c>
      <c r="T251" s="39" t="s">
        <v>790</v>
      </c>
      <c r="U251" s="39" t="b">
        <f t="shared" si="9"/>
        <v>1</v>
      </c>
      <c r="V251" s="39" t="s">
        <v>2564</v>
      </c>
      <c r="W251" s="39" t="s">
        <v>2562</v>
      </c>
      <c r="X251" s="83" t="s">
        <v>800</v>
      </c>
      <c r="Y251" s="84" t="s">
        <v>801</v>
      </c>
      <c r="Z251" s="83" t="s">
        <v>2508</v>
      </c>
      <c r="AA251" s="84" t="s">
        <v>2510</v>
      </c>
      <c r="AB251" s="108"/>
      <c r="AC251" s="107"/>
      <c r="AD251" s="84" t="s">
        <v>2762</v>
      </c>
      <c r="AE251" s="83"/>
      <c r="AF251" s="84"/>
      <c r="AG251" s="83"/>
      <c r="AH251" s="84"/>
      <c r="AI251" s="39" t="s">
        <v>88</v>
      </c>
      <c r="AJ251" s="39" t="s">
        <v>45</v>
      </c>
      <c r="AK251" s="39" t="s">
        <v>802</v>
      </c>
      <c r="AM251" s="39" t="s">
        <v>802</v>
      </c>
      <c r="AN251" s="39" t="s">
        <v>803</v>
      </c>
      <c r="AP251" s="39" t="s">
        <v>238</v>
      </c>
      <c r="AQ251" s="39" t="s">
        <v>238</v>
      </c>
      <c r="AR251" s="39" t="s">
        <v>119</v>
      </c>
      <c r="AS251" s="39" t="s">
        <v>32</v>
      </c>
      <c r="AU251" s="44">
        <v>6285771710764</v>
      </c>
      <c r="AX251" s="39" t="s">
        <v>804</v>
      </c>
      <c r="AY251" s="39" t="s">
        <v>373</v>
      </c>
      <c r="AZ251" s="39" t="s">
        <v>790</v>
      </c>
      <c r="BA251" s="39" t="s">
        <v>792</v>
      </c>
      <c r="BB251" s="39" t="s">
        <v>791</v>
      </c>
      <c r="BC251" s="39" t="s">
        <v>1930</v>
      </c>
      <c r="BD251" s="39" t="b">
        <v>1</v>
      </c>
      <c r="BE251" s="39" t="b">
        <v>1</v>
      </c>
      <c r="BF251" s="39" t="s">
        <v>800</v>
      </c>
      <c r="BG251" s="39" t="s">
        <v>801</v>
      </c>
      <c r="BH251" s="39" t="s">
        <v>2198</v>
      </c>
      <c r="BI251" s="39" t="s">
        <v>2199</v>
      </c>
      <c r="BJ251" s="39" t="b">
        <v>1</v>
      </c>
      <c r="BK251" s="39" t="b">
        <v>1</v>
      </c>
      <c r="BN251" s="39">
        <v>0</v>
      </c>
      <c r="BO251" s="39" t="s">
        <v>2800</v>
      </c>
      <c r="BP251" s="39" t="s">
        <v>2809</v>
      </c>
    </row>
    <row r="252" spans="1:68">
      <c r="A252" s="39" t="s">
        <v>20</v>
      </c>
      <c r="B252" s="39" t="s">
        <v>21</v>
      </c>
      <c r="C252" s="39" t="s">
        <v>22</v>
      </c>
      <c r="D252" s="39" t="s">
        <v>443</v>
      </c>
      <c r="E252" s="39" t="s">
        <v>24</v>
      </c>
      <c r="F252" s="39" t="s">
        <v>444</v>
      </c>
      <c r="G252" s="39" t="s">
        <v>445</v>
      </c>
      <c r="H252" s="39" t="s">
        <v>75</v>
      </c>
      <c r="I252" s="39" t="b">
        <v>0</v>
      </c>
      <c r="J252" s="39" t="s">
        <v>75</v>
      </c>
      <c r="K252" s="39" t="b">
        <v>0</v>
      </c>
      <c r="L252" s="39" t="s">
        <v>446</v>
      </c>
      <c r="M252" s="39" t="s">
        <v>447</v>
      </c>
      <c r="N252" s="39" t="s">
        <v>2508</v>
      </c>
      <c r="R252" s="39" t="s">
        <v>445</v>
      </c>
      <c r="S252" s="39" t="b">
        <f t="shared" si="8"/>
        <v>1</v>
      </c>
      <c r="T252" s="39" t="s">
        <v>444</v>
      </c>
      <c r="U252" s="39" t="b">
        <f t="shared" si="9"/>
        <v>1</v>
      </c>
      <c r="V252" s="39" t="s">
        <v>2564</v>
      </c>
      <c r="W252" s="39" t="s">
        <v>2564</v>
      </c>
      <c r="X252" s="83" t="s">
        <v>2582</v>
      </c>
      <c r="Y252" s="84" t="s">
        <v>2605</v>
      </c>
      <c r="Z252" s="83" t="s">
        <v>2508</v>
      </c>
      <c r="AA252" s="84" t="s">
        <v>2509</v>
      </c>
      <c r="AB252" s="108"/>
      <c r="AC252" s="107"/>
      <c r="AD252" s="84"/>
      <c r="AE252" s="83"/>
      <c r="AF252" s="84"/>
      <c r="AG252" s="83"/>
      <c r="AH252" s="84"/>
      <c r="AI252" s="39" t="s">
        <v>28</v>
      </c>
      <c r="AJ252" s="39" t="s">
        <v>45</v>
      </c>
      <c r="AK252" s="39" t="s">
        <v>448</v>
      </c>
      <c r="AP252" s="39" t="s">
        <v>449</v>
      </c>
      <c r="AQ252" s="39" t="s">
        <v>450</v>
      </c>
      <c r="AR252" s="39" t="s">
        <v>119</v>
      </c>
      <c r="AS252" s="39" t="s">
        <v>32</v>
      </c>
      <c r="AU252" s="44">
        <v>6285710444484</v>
      </c>
      <c r="AX252" s="39" t="s">
        <v>451</v>
      </c>
      <c r="AZ252" s="39" t="s">
        <v>444</v>
      </c>
      <c r="BA252" s="39" t="s">
        <v>1903</v>
      </c>
      <c r="BB252" s="39" t="s">
        <v>445</v>
      </c>
      <c r="BC252" s="39" t="s">
        <v>1926</v>
      </c>
      <c r="BD252" s="39" t="b">
        <v>1</v>
      </c>
      <c r="BE252" s="39" t="b">
        <v>1</v>
      </c>
      <c r="BF252" s="39" t="s">
        <v>446</v>
      </c>
      <c r="BG252" s="39" t="s">
        <v>447</v>
      </c>
      <c r="BH252" s="39" t="s">
        <v>2108</v>
      </c>
      <c r="BI252" s="39" t="s">
        <v>2109</v>
      </c>
      <c r="BJ252" s="39" t="b">
        <v>1</v>
      </c>
      <c r="BK252" s="39" t="b">
        <v>1</v>
      </c>
      <c r="BN252" s="39">
        <v>0</v>
      </c>
      <c r="BO252" s="39" t="s">
        <v>2801</v>
      </c>
      <c r="BP252" s="39" t="s">
        <v>2810</v>
      </c>
    </row>
    <row r="253" spans="1:68">
      <c r="A253" s="39" t="s">
        <v>20</v>
      </c>
      <c r="B253" s="39" t="s">
        <v>21</v>
      </c>
      <c r="C253" s="39" t="s">
        <v>22</v>
      </c>
      <c r="D253" s="39" t="s">
        <v>443</v>
      </c>
      <c r="E253" s="39" t="s">
        <v>24</v>
      </c>
      <c r="F253" s="39" t="s">
        <v>444</v>
      </c>
      <c r="G253" s="39" t="s">
        <v>445</v>
      </c>
      <c r="H253" s="39" t="s">
        <v>75</v>
      </c>
      <c r="I253" s="39" t="b">
        <v>0</v>
      </c>
      <c r="J253" s="39" t="s">
        <v>75</v>
      </c>
      <c r="K253" s="39" t="b">
        <v>0</v>
      </c>
      <c r="L253" s="39" t="s">
        <v>452</v>
      </c>
      <c r="M253" s="39" t="s">
        <v>453</v>
      </c>
      <c r="N253" s="39" t="s">
        <v>2508</v>
      </c>
      <c r="R253" s="39" t="s">
        <v>445</v>
      </c>
      <c r="S253" s="39" t="b">
        <f t="shared" si="8"/>
        <v>1</v>
      </c>
      <c r="T253" s="39" t="s">
        <v>444</v>
      </c>
      <c r="U253" s="39" t="b">
        <f t="shared" si="9"/>
        <v>1</v>
      </c>
      <c r="V253" s="39" t="s">
        <v>2564</v>
      </c>
      <c r="W253" s="39" t="s">
        <v>2564</v>
      </c>
      <c r="X253" s="83" t="s">
        <v>2583</v>
      </c>
      <c r="Y253" s="84" t="s">
        <v>2606</v>
      </c>
      <c r="Z253" s="83" t="s">
        <v>2508</v>
      </c>
      <c r="AA253" s="84" t="s">
        <v>2509</v>
      </c>
      <c r="AB253" s="108"/>
      <c r="AC253" s="107"/>
      <c r="AD253" s="84"/>
      <c r="AE253" s="83"/>
      <c r="AF253" s="84"/>
      <c r="AG253" s="83"/>
      <c r="AH253" s="84"/>
      <c r="AI253" s="39" t="s">
        <v>28</v>
      </c>
      <c r="AJ253" s="39" t="s">
        <v>45</v>
      </c>
      <c r="AK253" s="39" t="s">
        <v>454</v>
      </c>
      <c r="AP253" s="39" t="s">
        <v>455</v>
      </c>
      <c r="AQ253" s="39" t="s">
        <v>456</v>
      </c>
      <c r="AR253" s="39" t="s">
        <v>68</v>
      </c>
      <c r="AS253" s="39" t="s">
        <v>32</v>
      </c>
      <c r="AU253" s="44">
        <v>6285695423326</v>
      </c>
      <c r="AX253" s="39" t="s">
        <v>457</v>
      </c>
      <c r="AZ253" s="39" t="s">
        <v>444</v>
      </c>
      <c r="BA253" s="39" t="s">
        <v>1903</v>
      </c>
      <c r="BB253" s="39" t="s">
        <v>445</v>
      </c>
      <c r="BC253" s="39" t="s">
        <v>1926</v>
      </c>
      <c r="BD253" s="39" t="b">
        <v>1</v>
      </c>
      <c r="BE253" s="39" t="b">
        <v>1</v>
      </c>
      <c r="BF253" s="39" t="s">
        <v>452</v>
      </c>
      <c r="BG253" s="39" t="s">
        <v>453</v>
      </c>
      <c r="BH253" s="39" t="s">
        <v>2110</v>
      </c>
      <c r="BI253" s="39" t="s">
        <v>2111</v>
      </c>
      <c r="BJ253" s="39" t="b">
        <v>1</v>
      </c>
      <c r="BK253" s="39" t="b">
        <v>1</v>
      </c>
      <c r="BN253" s="39">
        <v>0</v>
      </c>
      <c r="BO253" s="39" t="s">
        <v>2801</v>
      </c>
      <c r="BP253" s="39" t="s">
        <v>2810</v>
      </c>
    </row>
    <row r="254" spans="1:68">
      <c r="A254" s="39" t="s">
        <v>20</v>
      </c>
      <c r="B254" s="39" t="s">
        <v>21</v>
      </c>
      <c r="C254" s="39" t="s">
        <v>22</v>
      </c>
      <c r="D254" s="39" t="s">
        <v>443</v>
      </c>
      <c r="E254" s="39" t="s">
        <v>24</v>
      </c>
      <c r="F254" s="39" t="s">
        <v>444</v>
      </c>
      <c r="G254" s="39" t="s">
        <v>445</v>
      </c>
      <c r="H254" s="39" t="s">
        <v>75</v>
      </c>
      <c r="I254" s="39" t="b">
        <v>0</v>
      </c>
      <c r="J254" s="39" t="s">
        <v>75</v>
      </c>
      <c r="K254" s="39" t="b">
        <v>0</v>
      </c>
      <c r="L254" s="39" t="s">
        <v>458</v>
      </c>
      <c r="M254" s="39" t="s">
        <v>459</v>
      </c>
      <c r="N254" s="39" t="s">
        <v>2508</v>
      </c>
      <c r="R254" s="39" t="s">
        <v>445</v>
      </c>
      <c r="S254" s="39" t="b">
        <f t="shared" si="8"/>
        <v>1</v>
      </c>
      <c r="T254" s="39" t="s">
        <v>444</v>
      </c>
      <c r="U254" s="39" t="b">
        <f t="shared" si="9"/>
        <v>1</v>
      </c>
      <c r="V254" s="39" t="s">
        <v>2564</v>
      </c>
      <c r="W254" s="39" t="s">
        <v>2564</v>
      </c>
      <c r="X254" s="83" t="s">
        <v>2584</v>
      </c>
      <c r="Y254" s="84" t="s">
        <v>2607</v>
      </c>
      <c r="Z254" s="83" t="s">
        <v>2508</v>
      </c>
      <c r="AA254" s="84" t="s">
        <v>2509</v>
      </c>
      <c r="AB254" s="108"/>
      <c r="AC254" s="107"/>
      <c r="AD254" s="84"/>
      <c r="AE254" s="83"/>
      <c r="AF254" s="84"/>
      <c r="AG254" s="83"/>
      <c r="AH254" s="84"/>
      <c r="AI254" s="39" t="s">
        <v>28</v>
      </c>
      <c r="AJ254" s="39" t="s">
        <v>45</v>
      </c>
      <c r="AK254" s="39" t="s">
        <v>460</v>
      </c>
      <c r="AP254" s="39" t="s">
        <v>461</v>
      </c>
      <c r="AQ254" s="39" t="s">
        <v>462</v>
      </c>
      <c r="AR254" s="39" t="s">
        <v>68</v>
      </c>
      <c r="AS254" s="39" t="s">
        <v>32</v>
      </c>
      <c r="AU254" s="44">
        <v>6285772094247</v>
      </c>
      <c r="AX254" s="39" t="s">
        <v>463</v>
      </c>
      <c r="AZ254" s="39" t="s">
        <v>444</v>
      </c>
      <c r="BA254" s="39" t="s">
        <v>1903</v>
      </c>
      <c r="BB254" s="39" t="s">
        <v>445</v>
      </c>
      <c r="BC254" s="39" t="s">
        <v>1926</v>
      </c>
      <c r="BD254" s="39" t="b">
        <v>1</v>
      </c>
      <c r="BE254" s="39" t="b">
        <v>1</v>
      </c>
      <c r="BF254" s="39" t="s">
        <v>458</v>
      </c>
      <c r="BG254" s="39" t="s">
        <v>459</v>
      </c>
      <c r="BH254" s="39" t="s">
        <v>2112</v>
      </c>
      <c r="BI254" s="39" t="s">
        <v>2113</v>
      </c>
      <c r="BJ254" s="39" t="b">
        <v>1</v>
      </c>
      <c r="BK254" s="39" t="b">
        <v>1</v>
      </c>
      <c r="BN254" s="39">
        <v>0</v>
      </c>
      <c r="BO254" s="39" t="s">
        <v>2801</v>
      </c>
      <c r="BP254" s="39" t="s">
        <v>2810</v>
      </c>
    </row>
    <row r="255" spans="1:68">
      <c r="A255" s="39" t="s">
        <v>20</v>
      </c>
      <c r="B255" s="39" t="s">
        <v>21</v>
      </c>
      <c r="C255" s="39" t="s">
        <v>22</v>
      </c>
      <c r="D255" s="39" t="s">
        <v>443</v>
      </c>
      <c r="E255" s="39" t="s">
        <v>24</v>
      </c>
      <c r="F255" s="39" t="s">
        <v>444</v>
      </c>
      <c r="G255" s="39" t="s">
        <v>445</v>
      </c>
      <c r="H255" s="39" t="s">
        <v>75</v>
      </c>
      <c r="I255" s="39" t="b">
        <v>0</v>
      </c>
      <c r="J255" s="39" t="s">
        <v>75</v>
      </c>
      <c r="K255" s="39" t="b">
        <v>0</v>
      </c>
      <c r="L255" s="39" t="s">
        <v>464</v>
      </c>
      <c r="M255" s="39" t="s">
        <v>465</v>
      </c>
      <c r="N255" s="39" t="s">
        <v>2508</v>
      </c>
      <c r="R255" s="39" t="s">
        <v>445</v>
      </c>
      <c r="S255" s="39" t="b">
        <f t="shared" si="8"/>
        <v>1</v>
      </c>
      <c r="T255" s="39" t="s">
        <v>444</v>
      </c>
      <c r="U255" s="39" t="b">
        <f t="shared" si="9"/>
        <v>1</v>
      </c>
      <c r="V255" s="39" t="s">
        <v>2564</v>
      </c>
      <c r="W255" s="39" t="s">
        <v>2564</v>
      </c>
      <c r="X255" s="83" t="s">
        <v>2585</v>
      </c>
      <c r="Y255" s="84" t="s">
        <v>2608</v>
      </c>
      <c r="Z255" s="83" t="s">
        <v>2508</v>
      </c>
      <c r="AA255" s="84" t="s">
        <v>2509</v>
      </c>
      <c r="AB255" s="108"/>
      <c r="AC255" s="107"/>
      <c r="AD255" s="84"/>
      <c r="AE255" s="83"/>
      <c r="AF255" s="84"/>
      <c r="AG255" s="83"/>
      <c r="AH255" s="84"/>
      <c r="AI255" s="39" t="s">
        <v>28</v>
      </c>
      <c r="AJ255" s="39" t="s">
        <v>45</v>
      </c>
      <c r="AK255" s="39" t="s">
        <v>466</v>
      </c>
      <c r="AP255" s="39" t="s">
        <v>467</v>
      </c>
      <c r="AQ255" s="39" t="s">
        <v>468</v>
      </c>
      <c r="AR255" s="39" t="s">
        <v>68</v>
      </c>
      <c r="AS255" s="39" t="s">
        <v>32</v>
      </c>
      <c r="AU255" s="44">
        <v>6281412127890</v>
      </c>
      <c r="AX255" s="39" t="s">
        <v>469</v>
      </c>
      <c r="AZ255" s="39" t="s">
        <v>444</v>
      </c>
      <c r="BA255" s="39" t="s">
        <v>1903</v>
      </c>
      <c r="BB255" s="39" t="s">
        <v>445</v>
      </c>
      <c r="BC255" s="39" t="s">
        <v>1926</v>
      </c>
      <c r="BD255" s="39" t="b">
        <v>1</v>
      </c>
      <c r="BE255" s="39" t="b">
        <v>1</v>
      </c>
      <c r="BF255" s="39" t="s">
        <v>464</v>
      </c>
      <c r="BG255" s="39" t="s">
        <v>465</v>
      </c>
      <c r="BH255" s="39" t="s">
        <v>2114</v>
      </c>
      <c r="BI255" s="39" t="s">
        <v>2115</v>
      </c>
      <c r="BJ255" s="39" t="b">
        <v>1</v>
      </c>
      <c r="BK255" s="39" t="b">
        <v>1</v>
      </c>
      <c r="BN255" s="39">
        <v>0</v>
      </c>
      <c r="BO255" s="39" t="s">
        <v>2801</v>
      </c>
      <c r="BP255" s="39" t="s">
        <v>2810</v>
      </c>
    </row>
    <row r="256" spans="1:68">
      <c r="A256" s="39" t="s">
        <v>20</v>
      </c>
      <c r="B256" s="39" t="s">
        <v>21</v>
      </c>
      <c r="C256" s="39" t="s">
        <v>22</v>
      </c>
      <c r="D256" s="39" t="s">
        <v>443</v>
      </c>
      <c r="E256" s="39" t="s">
        <v>24</v>
      </c>
      <c r="F256" s="39" t="s">
        <v>444</v>
      </c>
      <c r="G256" s="39" t="s">
        <v>445</v>
      </c>
      <c r="H256" s="39" t="s">
        <v>75</v>
      </c>
      <c r="I256" s="39" t="b">
        <v>0</v>
      </c>
      <c r="J256" s="39" t="s">
        <v>75</v>
      </c>
      <c r="K256" s="39" t="b">
        <v>0</v>
      </c>
      <c r="L256" s="39" t="s">
        <v>480</v>
      </c>
      <c r="M256" s="39" t="s">
        <v>481</v>
      </c>
      <c r="N256" s="39" t="s">
        <v>2508</v>
      </c>
      <c r="R256" s="39" t="s">
        <v>445</v>
      </c>
      <c r="S256" s="39" t="b">
        <f t="shared" si="8"/>
        <v>1</v>
      </c>
      <c r="T256" s="39" t="s">
        <v>444</v>
      </c>
      <c r="U256" s="39" t="b">
        <f t="shared" si="9"/>
        <v>1</v>
      </c>
      <c r="V256" s="39" t="s">
        <v>2564</v>
      </c>
      <c r="W256" s="39" t="s">
        <v>2564</v>
      </c>
      <c r="X256" s="83" t="s">
        <v>480</v>
      </c>
      <c r="Y256" s="84" t="s">
        <v>481</v>
      </c>
      <c r="Z256" s="83" t="s">
        <v>2508</v>
      </c>
      <c r="AA256" s="84" t="s">
        <v>2508</v>
      </c>
      <c r="AB256" s="108"/>
      <c r="AC256" s="107"/>
      <c r="AD256" s="84"/>
      <c r="AE256" s="83"/>
      <c r="AF256" s="84"/>
      <c r="AG256" s="83"/>
      <c r="AH256" s="84"/>
      <c r="AI256" s="39" t="s">
        <v>28</v>
      </c>
      <c r="AJ256" s="39" t="s">
        <v>45</v>
      </c>
      <c r="AK256" s="39" t="s">
        <v>482</v>
      </c>
      <c r="AP256" s="39" t="s">
        <v>483</v>
      </c>
      <c r="AQ256" s="39" t="s">
        <v>484</v>
      </c>
      <c r="AR256" s="39" t="s">
        <v>68</v>
      </c>
      <c r="AS256" s="39" t="s">
        <v>32</v>
      </c>
      <c r="AU256" s="44">
        <v>6281511661167</v>
      </c>
      <c r="AX256" s="39" t="s">
        <v>485</v>
      </c>
      <c r="AZ256" s="39" t="s">
        <v>444</v>
      </c>
      <c r="BA256" s="39" t="s">
        <v>1903</v>
      </c>
      <c r="BB256" s="39" t="s">
        <v>445</v>
      </c>
      <c r="BC256" s="39" t="s">
        <v>1926</v>
      </c>
      <c r="BD256" s="39" t="b">
        <v>1</v>
      </c>
      <c r="BE256" s="39" t="b">
        <v>1</v>
      </c>
      <c r="BF256" s="39" t="s">
        <v>480</v>
      </c>
      <c r="BG256" s="39" t="s">
        <v>481</v>
      </c>
      <c r="BH256" s="39" t="s">
        <v>2118</v>
      </c>
      <c r="BI256" s="39" t="s">
        <v>2119</v>
      </c>
      <c r="BJ256" s="39" t="b">
        <v>1</v>
      </c>
      <c r="BK256" s="39" t="b">
        <v>1</v>
      </c>
      <c r="BN256" s="39">
        <v>0</v>
      </c>
      <c r="BO256" s="39" t="s">
        <v>2801</v>
      </c>
      <c r="BP256" s="39" t="s">
        <v>2810</v>
      </c>
    </row>
    <row r="257" spans="1:68">
      <c r="A257" s="39" t="s">
        <v>20</v>
      </c>
      <c r="B257" s="39" t="s">
        <v>21</v>
      </c>
      <c r="C257" s="39" t="s">
        <v>22</v>
      </c>
      <c r="D257" s="39" t="s">
        <v>443</v>
      </c>
      <c r="E257" s="39" t="s">
        <v>24</v>
      </c>
      <c r="F257" s="39" t="s">
        <v>444</v>
      </c>
      <c r="G257" s="39" t="s">
        <v>445</v>
      </c>
      <c r="H257" s="39" t="s">
        <v>75</v>
      </c>
      <c r="I257" s="39" t="b">
        <v>0</v>
      </c>
      <c r="J257" s="39" t="s">
        <v>75</v>
      </c>
      <c r="K257" s="39" t="b">
        <v>0</v>
      </c>
      <c r="L257" s="39" t="s">
        <v>492</v>
      </c>
      <c r="M257" s="39" t="s">
        <v>493</v>
      </c>
      <c r="N257" s="39" t="s">
        <v>2508</v>
      </c>
      <c r="R257" s="39" t="s">
        <v>445</v>
      </c>
      <c r="S257" s="39" t="b">
        <f t="shared" si="8"/>
        <v>1</v>
      </c>
      <c r="T257" s="39" t="s">
        <v>444</v>
      </c>
      <c r="U257" s="39" t="b">
        <f t="shared" si="9"/>
        <v>1</v>
      </c>
      <c r="V257" s="39" t="s">
        <v>2564</v>
      </c>
      <c r="W257" s="39" t="s">
        <v>2564</v>
      </c>
      <c r="X257" s="83" t="s">
        <v>492</v>
      </c>
      <c r="Y257" s="84" t="s">
        <v>493</v>
      </c>
      <c r="Z257" s="83" t="s">
        <v>2508</v>
      </c>
      <c r="AA257" s="84" t="s">
        <v>2508</v>
      </c>
      <c r="AB257" s="108"/>
      <c r="AC257" s="107"/>
      <c r="AD257" s="84"/>
      <c r="AE257" s="83"/>
      <c r="AF257" s="84"/>
      <c r="AG257" s="83"/>
      <c r="AH257" s="84"/>
      <c r="AI257" s="39" t="s">
        <v>28</v>
      </c>
      <c r="AJ257" s="39" t="s">
        <v>45</v>
      </c>
      <c r="AK257" s="39" t="s">
        <v>494</v>
      </c>
      <c r="AP257" s="39" t="s">
        <v>495</v>
      </c>
      <c r="AQ257" s="39" t="s">
        <v>496</v>
      </c>
      <c r="AR257" s="39" t="s">
        <v>68</v>
      </c>
      <c r="AS257" s="39" t="s">
        <v>32</v>
      </c>
      <c r="AU257" s="44">
        <v>6285893902559</v>
      </c>
      <c r="AX257" s="39" t="s">
        <v>497</v>
      </c>
      <c r="AZ257" s="39" t="s">
        <v>444</v>
      </c>
      <c r="BA257" s="39" t="s">
        <v>1903</v>
      </c>
      <c r="BB257" s="39" t="s">
        <v>445</v>
      </c>
      <c r="BC257" s="39" t="s">
        <v>1926</v>
      </c>
      <c r="BD257" s="39" t="b">
        <v>1</v>
      </c>
      <c r="BE257" s="39" t="b">
        <v>1</v>
      </c>
      <c r="BF257" s="39" t="s">
        <v>492</v>
      </c>
      <c r="BG257" s="39" t="s">
        <v>493</v>
      </c>
      <c r="BH257" s="39" t="s">
        <v>2122</v>
      </c>
      <c r="BI257" s="39" t="s">
        <v>2123</v>
      </c>
      <c r="BJ257" s="39" t="b">
        <v>1</v>
      </c>
      <c r="BK257" s="39" t="b">
        <v>1</v>
      </c>
      <c r="BN257" s="39">
        <v>0</v>
      </c>
      <c r="BO257" s="39" t="s">
        <v>2801</v>
      </c>
      <c r="BP257" s="39" t="s">
        <v>2810</v>
      </c>
    </row>
    <row r="258" spans="1:68">
      <c r="A258" s="39" t="s">
        <v>20</v>
      </c>
      <c r="B258" s="39" t="s">
        <v>21</v>
      </c>
      <c r="C258" s="39" t="s">
        <v>22</v>
      </c>
      <c r="D258" s="39" t="s">
        <v>443</v>
      </c>
      <c r="E258" s="39" t="s">
        <v>24</v>
      </c>
      <c r="F258" s="39" t="s">
        <v>444</v>
      </c>
      <c r="G258" s="39" t="s">
        <v>445</v>
      </c>
      <c r="H258" s="39" t="s">
        <v>75</v>
      </c>
      <c r="I258" s="39" t="b">
        <v>0</v>
      </c>
      <c r="J258" s="39" t="s">
        <v>75</v>
      </c>
      <c r="K258" s="39" t="b">
        <v>0</v>
      </c>
      <c r="L258" s="39" t="s">
        <v>1702</v>
      </c>
      <c r="M258" s="39" t="s">
        <v>1701</v>
      </c>
      <c r="N258" s="39" t="s">
        <v>2508</v>
      </c>
      <c r="R258" s="39" t="s">
        <v>445</v>
      </c>
      <c r="S258" s="39" t="b">
        <f t="shared" si="8"/>
        <v>1</v>
      </c>
      <c r="T258" s="39" t="s">
        <v>444</v>
      </c>
      <c r="U258" s="39" t="b">
        <f t="shared" si="9"/>
        <v>1</v>
      </c>
      <c r="V258" s="39" t="s">
        <v>2564</v>
      </c>
      <c r="W258" s="39" t="s">
        <v>2564</v>
      </c>
      <c r="X258" s="83" t="s">
        <v>1702</v>
      </c>
      <c r="Y258" s="84" t="s">
        <v>1701</v>
      </c>
      <c r="Z258" s="83" t="s">
        <v>2508</v>
      </c>
      <c r="AA258" s="84" t="s">
        <v>2508</v>
      </c>
      <c r="AB258" s="108"/>
      <c r="AC258" s="107"/>
      <c r="AD258" s="84"/>
      <c r="AE258" s="83"/>
      <c r="AF258" s="84"/>
      <c r="AG258" s="83"/>
      <c r="AH258" s="84"/>
      <c r="AI258" s="39" t="s">
        <v>28</v>
      </c>
      <c r="AJ258" s="39" t="s">
        <v>45</v>
      </c>
      <c r="AK258" s="39" t="s">
        <v>1703</v>
      </c>
      <c r="AP258" s="39" t="s">
        <v>1704</v>
      </c>
      <c r="AQ258" s="39" t="s">
        <v>1705</v>
      </c>
      <c r="AR258" s="39" t="s">
        <v>68</v>
      </c>
      <c r="AS258" s="39" t="s">
        <v>32</v>
      </c>
      <c r="AU258" s="44">
        <v>62895396000770</v>
      </c>
      <c r="AX258" s="39" t="s">
        <v>1706</v>
      </c>
      <c r="AZ258" s="39" t="s">
        <v>444</v>
      </c>
      <c r="BA258" s="39" t="s">
        <v>1903</v>
      </c>
      <c r="BB258" s="39" t="s">
        <v>445</v>
      </c>
      <c r="BC258" s="39" t="s">
        <v>1926</v>
      </c>
      <c r="BD258" s="39" t="b">
        <v>1</v>
      </c>
      <c r="BE258" s="39" t="b">
        <v>1</v>
      </c>
      <c r="BF258" s="39" t="s">
        <v>1702</v>
      </c>
      <c r="BG258" s="39" t="s">
        <v>1701</v>
      </c>
      <c r="BH258" s="39" t="s">
        <v>2444</v>
      </c>
      <c r="BI258" s="39" t="s">
        <v>2445</v>
      </c>
      <c r="BJ258" s="39" t="b">
        <v>1</v>
      </c>
      <c r="BK258" s="39" t="b">
        <v>1</v>
      </c>
      <c r="BN258" s="39">
        <v>0</v>
      </c>
      <c r="BO258" s="39" t="s">
        <v>2801</v>
      </c>
      <c r="BP258" s="39" t="s">
        <v>2810</v>
      </c>
    </row>
    <row r="259" spans="1:68">
      <c r="A259" s="39" t="s">
        <v>20</v>
      </c>
      <c r="B259" s="39" t="s">
        <v>21</v>
      </c>
      <c r="C259" s="39" t="s">
        <v>22</v>
      </c>
      <c r="D259" s="39" t="s">
        <v>443</v>
      </c>
      <c r="E259" s="39" t="s">
        <v>24</v>
      </c>
      <c r="F259" s="39" t="s">
        <v>444</v>
      </c>
      <c r="G259" s="39" t="s">
        <v>445</v>
      </c>
      <c r="H259" s="39" t="s">
        <v>75</v>
      </c>
      <c r="I259" s="39" t="b">
        <v>0</v>
      </c>
      <c r="J259" s="39" t="s">
        <v>75</v>
      </c>
      <c r="K259" s="39" t="b">
        <v>0</v>
      </c>
      <c r="L259" s="39" t="s">
        <v>1714</v>
      </c>
      <c r="M259" s="39" t="s">
        <v>1713</v>
      </c>
      <c r="N259" s="39" t="s">
        <v>2508</v>
      </c>
      <c r="R259" s="39" t="s">
        <v>445</v>
      </c>
      <c r="S259" s="39" t="b">
        <f t="shared" si="8"/>
        <v>1</v>
      </c>
      <c r="T259" s="39" t="s">
        <v>444</v>
      </c>
      <c r="U259" s="39" t="b">
        <f t="shared" si="9"/>
        <v>1</v>
      </c>
      <c r="V259" s="39" t="s">
        <v>2564</v>
      </c>
      <c r="W259" s="39" t="s">
        <v>2564</v>
      </c>
      <c r="X259" s="83" t="s">
        <v>1714</v>
      </c>
      <c r="Y259" s="84" t="s">
        <v>1713</v>
      </c>
      <c r="Z259" s="83" t="s">
        <v>2508</v>
      </c>
      <c r="AA259" s="84" t="s">
        <v>2508</v>
      </c>
      <c r="AB259" s="108"/>
      <c r="AC259" s="107"/>
      <c r="AD259" s="84"/>
      <c r="AE259" s="83"/>
      <c r="AF259" s="84"/>
      <c r="AG259" s="83"/>
      <c r="AH259" s="84"/>
      <c r="AI259" s="39" t="s">
        <v>28</v>
      </c>
      <c r="AJ259" s="39" t="s">
        <v>45</v>
      </c>
      <c r="AK259" s="39" t="s">
        <v>1715</v>
      </c>
      <c r="AP259" s="39" t="s">
        <v>1716</v>
      </c>
      <c r="AQ259" s="39" t="s">
        <v>1717</v>
      </c>
      <c r="AR259" s="39" t="s">
        <v>68</v>
      </c>
      <c r="AS259" s="39" t="s">
        <v>32</v>
      </c>
      <c r="AU259" s="44">
        <v>6289602777992</v>
      </c>
      <c r="AX259" s="39" t="s">
        <v>1718</v>
      </c>
      <c r="AZ259" s="39" t="s">
        <v>444</v>
      </c>
      <c r="BA259" s="39" t="s">
        <v>1903</v>
      </c>
      <c r="BB259" s="39" t="s">
        <v>445</v>
      </c>
      <c r="BC259" s="39" t="s">
        <v>1926</v>
      </c>
      <c r="BD259" s="39" t="b">
        <v>1</v>
      </c>
      <c r="BE259" s="39" t="b">
        <v>1</v>
      </c>
      <c r="BF259" s="39" t="s">
        <v>1714</v>
      </c>
      <c r="BG259" s="39" t="s">
        <v>1713</v>
      </c>
      <c r="BH259" s="39" t="s">
        <v>2448</v>
      </c>
      <c r="BI259" s="39" t="s">
        <v>2449</v>
      </c>
      <c r="BJ259" s="39" t="b">
        <v>1</v>
      </c>
      <c r="BK259" s="39" t="b">
        <v>1</v>
      </c>
      <c r="BN259" s="39">
        <v>0</v>
      </c>
      <c r="BO259" s="39" t="s">
        <v>2801</v>
      </c>
      <c r="BP259" s="39" t="s">
        <v>2810</v>
      </c>
    </row>
    <row r="260" spans="1:68">
      <c r="A260" s="39" t="s">
        <v>20</v>
      </c>
      <c r="B260" s="39" t="s">
        <v>21</v>
      </c>
      <c r="C260" s="39" t="s">
        <v>22</v>
      </c>
      <c r="D260" s="39" t="s">
        <v>443</v>
      </c>
      <c r="E260" s="39" t="s">
        <v>24</v>
      </c>
      <c r="F260" s="39" t="s">
        <v>444</v>
      </c>
      <c r="G260" s="39" t="s">
        <v>445</v>
      </c>
      <c r="H260" s="39" t="s">
        <v>75</v>
      </c>
      <c r="I260" s="39" t="b">
        <v>0</v>
      </c>
      <c r="J260" s="39" t="s">
        <v>75</v>
      </c>
      <c r="K260" s="39" t="b">
        <v>0</v>
      </c>
      <c r="L260" s="39" t="s">
        <v>1780</v>
      </c>
      <c r="M260" s="39" t="s">
        <v>1779</v>
      </c>
      <c r="N260" s="39" t="s">
        <v>2508</v>
      </c>
      <c r="R260" s="39" t="s">
        <v>445</v>
      </c>
      <c r="S260" s="39" t="b">
        <f t="shared" si="8"/>
        <v>1</v>
      </c>
      <c r="T260" s="39" t="s">
        <v>444</v>
      </c>
      <c r="U260" s="39" t="b">
        <f t="shared" si="9"/>
        <v>1</v>
      </c>
      <c r="V260" s="39" t="s">
        <v>2564</v>
      </c>
      <c r="W260" s="39" t="s">
        <v>2564</v>
      </c>
      <c r="X260" s="83" t="s">
        <v>1780</v>
      </c>
      <c r="Y260" s="84" t="s">
        <v>1779</v>
      </c>
      <c r="Z260" s="83" t="s">
        <v>2508</v>
      </c>
      <c r="AA260" s="84" t="s">
        <v>2508</v>
      </c>
      <c r="AB260" s="108"/>
      <c r="AC260" s="107"/>
      <c r="AD260" s="84"/>
      <c r="AE260" s="83"/>
      <c r="AF260" s="84"/>
      <c r="AG260" s="83"/>
      <c r="AH260" s="84"/>
      <c r="AI260" s="39" t="s">
        <v>28</v>
      </c>
      <c r="AJ260" s="39" t="s">
        <v>45</v>
      </c>
      <c r="AK260" s="39" t="s">
        <v>1781</v>
      </c>
      <c r="AP260" s="39" t="s">
        <v>1782</v>
      </c>
      <c r="AQ260" s="39" t="s">
        <v>1783</v>
      </c>
      <c r="AR260" s="39" t="s">
        <v>68</v>
      </c>
      <c r="AS260" s="39" t="s">
        <v>32</v>
      </c>
      <c r="AU260" s="44">
        <v>6289602777984</v>
      </c>
      <c r="AX260" s="39" t="s">
        <v>1784</v>
      </c>
      <c r="AZ260" s="39" t="s">
        <v>444</v>
      </c>
      <c r="BA260" s="39" t="s">
        <v>1903</v>
      </c>
      <c r="BB260" s="39" t="s">
        <v>445</v>
      </c>
      <c r="BC260" s="39" t="s">
        <v>1926</v>
      </c>
      <c r="BD260" s="39" t="b">
        <v>1</v>
      </c>
      <c r="BE260" s="39" t="b">
        <v>1</v>
      </c>
      <c r="BF260" s="39" t="s">
        <v>1780</v>
      </c>
      <c r="BG260" s="39" t="s">
        <v>1779</v>
      </c>
      <c r="BH260" s="39" t="s">
        <v>2466</v>
      </c>
      <c r="BI260" s="39" t="s">
        <v>2467</v>
      </c>
      <c r="BJ260" s="39" t="b">
        <v>1</v>
      </c>
      <c r="BK260" s="39" t="b">
        <v>1</v>
      </c>
      <c r="BN260" s="39">
        <v>0</v>
      </c>
      <c r="BO260" s="39" t="s">
        <v>2801</v>
      </c>
      <c r="BP260" s="39" t="s">
        <v>2810</v>
      </c>
    </row>
    <row r="261" spans="1:68">
      <c r="A261" s="39" t="s">
        <v>20</v>
      </c>
      <c r="B261" s="39" t="s">
        <v>21</v>
      </c>
      <c r="C261" s="39" t="s">
        <v>22</v>
      </c>
      <c r="D261" s="39" t="s">
        <v>443</v>
      </c>
      <c r="E261" s="39" t="s">
        <v>24</v>
      </c>
      <c r="F261" s="39" t="s">
        <v>444</v>
      </c>
      <c r="G261" s="39" t="s">
        <v>445</v>
      </c>
      <c r="H261" s="39" t="s">
        <v>75</v>
      </c>
      <c r="I261" s="39" t="b">
        <v>0</v>
      </c>
      <c r="J261" s="39" t="s">
        <v>75</v>
      </c>
      <c r="K261" s="39" t="b">
        <v>0</v>
      </c>
      <c r="L261" s="39" t="s">
        <v>1798</v>
      </c>
      <c r="M261" s="39" t="s">
        <v>1797</v>
      </c>
      <c r="N261" s="39" t="s">
        <v>2508</v>
      </c>
      <c r="R261" s="39" t="s">
        <v>445</v>
      </c>
      <c r="S261" s="39" t="b">
        <f t="shared" ref="S261:S276" si="13">R261=G261</f>
        <v>1</v>
      </c>
      <c r="T261" s="39" t="s">
        <v>444</v>
      </c>
      <c r="U261" s="39" t="b">
        <f t="shared" ref="U261:U276" si="14">T261=F261</f>
        <v>1</v>
      </c>
      <c r="V261" s="39" t="s">
        <v>2564</v>
      </c>
      <c r="W261" s="39" t="s">
        <v>2564</v>
      </c>
      <c r="X261" s="83" t="s">
        <v>1798</v>
      </c>
      <c r="Y261" s="84" t="s">
        <v>1797</v>
      </c>
      <c r="Z261" s="83" t="s">
        <v>2508</v>
      </c>
      <c r="AA261" s="84" t="s">
        <v>2508</v>
      </c>
      <c r="AB261" s="108"/>
      <c r="AC261" s="107"/>
      <c r="AD261" s="84"/>
      <c r="AE261" s="83"/>
      <c r="AF261" s="84"/>
      <c r="AG261" s="83"/>
      <c r="AH261" s="84"/>
      <c r="AI261" s="39" t="s">
        <v>28</v>
      </c>
      <c r="AJ261" s="39" t="s">
        <v>44</v>
      </c>
      <c r="AK261" s="39" t="s">
        <v>1799</v>
      </c>
      <c r="AP261" s="39" t="s">
        <v>1800</v>
      </c>
      <c r="AQ261" s="39" t="s">
        <v>1801</v>
      </c>
      <c r="AR261" s="39" t="s">
        <v>68</v>
      </c>
      <c r="AS261" s="39" t="s">
        <v>32</v>
      </c>
      <c r="AT261" s="39">
        <v>6295396000709</v>
      </c>
      <c r="AU261" s="44">
        <v>628999998911</v>
      </c>
      <c r="AX261" s="39" t="s">
        <v>1802</v>
      </c>
      <c r="AZ261" s="39" t="s">
        <v>444</v>
      </c>
      <c r="BA261" s="39" t="s">
        <v>1903</v>
      </c>
      <c r="BB261" s="39" t="s">
        <v>445</v>
      </c>
      <c r="BC261" s="39" t="s">
        <v>1926</v>
      </c>
      <c r="BD261" s="39" t="b">
        <v>1</v>
      </c>
      <c r="BE261" s="39" t="b">
        <v>1</v>
      </c>
      <c r="BF261" s="39" t="s">
        <v>1798</v>
      </c>
      <c r="BG261" s="39" t="s">
        <v>1797</v>
      </c>
      <c r="BH261" s="39" t="s">
        <v>2472</v>
      </c>
      <c r="BI261" s="39" t="s">
        <v>2473</v>
      </c>
      <c r="BJ261" s="39" t="b">
        <v>1</v>
      </c>
      <c r="BK261" s="39" t="b">
        <v>1</v>
      </c>
      <c r="BN261" s="39">
        <v>0</v>
      </c>
      <c r="BO261" s="39" t="s">
        <v>2801</v>
      </c>
      <c r="BP261" s="39" t="s">
        <v>2810</v>
      </c>
    </row>
    <row r="262" spans="1:68">
      <c r="A262" s="39" t="s">
        <v>20</v>
      </c>
      <c r="B262" s="39" t="s">
        <v>21</v>
      </c>
      <c r="C262" s="39" t="s">
        <v>22</v>
      </c>
      <c r="D262" s="39" t="s">
        <v>470</v>
      </c>
      <c r="E262" s="39" t="s">
        <v>471</v>
      </c>
      <c r="F262" s="39" t="s">
        <v>472</v>
      </c>
      <c r="G262" s="39" t="s">
        <v>473</v>
      </c>
      <c r="H262" s="39" t="s">
        <v>75</v>
      </c>
      <c r="I262" s="39" t="b">
        <v>0</v>
      </c>
      <c r="J262" s="39" t="s">
        <v>75</v>
      </c>
      <c r="K262" s="39" t="b">
        <v>0</v>
      </c>
      <c r="L262" s="39">
        <v>2613051407</v>
      </c>
      <c r="M262" s="39" t="s">
        <v>520</v>
      </c>
      <c r="N262" s="39" t="s">
        <v>2508</v>
      </c>
      <c r="R262" s="39" t="s">
        <v>473</v>
      </c>
      <c r="S262" s="39" t="b">
        <f t="shared" si="13"/>
        <v>1</v>
      </c>
      <c r="T262" s="39" t="s">
        <v>472</v>
      </c>
      <c r="U262" s="39" t="b">
        <f t="shared" si="14"/>
        <v>1</v>
      </c>
      <c r="V262" s="39" t="s">
        <v>2564</v>
      </c>
      <c r="W262" s="39" t="s">
        <v>2564</v>
      </c>
      <c r="X262" s="83">
        <v>2613051407</v>
      </c>
      <c r="Y262" s="84" t="s">
        <v>520</v>
      </c>
      <c r="Z262" s="83" t="s">
        <v>2508</v>
      </c>
      <c r="AA262" s="84" t="s">
        <v>2508</v>
      </c>
      <c r="AB262" s="108"/>
      <c r="AC262" s="107"/>
      <c r="AD262" s="84"/>
      <c r="AE262" s="83"/>
      <c r="AF262" s="84"/>
      <c r="AG262" s="83"/>
      <c r="AH262" s="84"/>
      <c r="AI262" s="39" t="s">
        <v>28</v>
      </c>
      <c r="AJ262" s="39" t="s">
        <v>44</v>
      </c>
      <c r="AK262" s="39" t="s">
        <v>521</v>
      </c>
      <c r="AP262" s="39" t="s">
        <v>522</v>
      </c>
      <c r="AQ262" s="39" t="s">
        <v>523</v>
      </c>
      <c r="AR262" s="39" t="s">
        <v>524</v>
      </c>
      <c r="AS262" s="39" t="s">
        <v>32</v>
      </c>
      <c r="AT262" s="39">
        <v>6285776350018</v>
      </c>
      <c r="AU262" s="44">
        <v>6285776350018</v>
      </c>
      <c r="AX262" s="39" t="s">
        <v>525</v>
      </c>
      <c r="AZ262" s="39" t="s">
        <v>472</v>
      </c>
      <c r="BA262" s="39" t="s">
        <v>1903</v>
      </c>
      <c r="BB262" s="39" t="s">
        <v>473</v>
      </c>
      <c r="BC262" s="39" t="s">
        <v>1927</v>
      </c>
      <c r="BD262" s="39" t="b">
        <v>1</v>
      </c>
      <c r="BE262" s="39" t="b">
        <v>1</v>
      </c>
      <c r="BF262" s="39">
        <v>2613051407</v>
      </c>
      <c r="BG262" s="39" t="s">
        <v>520</v>
      </c>
      <c r="BH262" s="39" t="s">
        <v>2130</v>
      </c>
      <c r="BI262" s="39" t="s">
        <v>2131</v>
      </c>
      <c r="BJ262" s="39" t="b">
        <v>1</v>
      </c>
      <c r="BK262" s="39" t="b">
        <v>1</v>
      </c>
      <c r="BN262" s="39">
        <v>0</v>
      </c>
      <c r="BO262" s="39" t="s">
        <v>2802</v>
      </c>
      <c r="BP262" s="39" t="s">
        <v>2810</v>
      </c>
    </row>
    <row r="263" spans="1:68">
      <c r="A263" s="39" t="s">
        <v>20</v>
      </c>
      <c r="B263" s="39" t="s">
        <v>21</v>
      </c>
      <c r="C263" s="39" t="s">
        <v>22</v>
      </c>
      <c r="D263" s="39" t="s">
        <v>470</v>
      </c>
      <c r="E263" s="39" t="s">
        <v>471</v>
      </c>
      <c r="F263" s="39" t="s">
        <v>472</v>
      </c>
      <c r="G263" s="39" t="s">
        <v>473</v>
      </c>
      <c r="H263" s="39" t="s">
        <v>75</v>
      </c>
      <c r="I263" s="39" t="b">
        <v>0</v>
      </c>
      <c r="J263" s="39" t="s">
        <v>75</v>
      </c>
      <c r="K263" s="39" t="b">
        <v>0</v>
      </c>
      <c r="L263" s="39" t="s">
        <v>474</v>
      </c>
      <c r="M263" s="39" t="s">
        <v>475</v>
      </c>
      <c r="N263" s="39" t="s">
        <v>2508</v>
      </c>
      <c r="R263" s="39" t="s">
        <v>473</v>
      </c>
      <c r="S263" s="39" t="b">
        <f t="shared" si="13"/>
        <v>1</v>
      </c>
      <c r="T263" s="39" t="s">
        <v>472</v>
      </c>
      <c r="U263" s="39" t="b">
        <f t="shared" si="14"/>
        <v>1</v>
      </c>
      <c r="V263" s="39" t="s">
        <v>2564</v>
      </c>
      <c r="W263" s="39" t="s">
        <v>2564</v>
      </c>
      <c r="X263" s="83" t="s">
        <v>2586</v>
      </c>
      <c r="Y263" s="84" t="s">
        <v>2609</v>
      </c>
      <c r="Z263" s="83" t="s">
        <v>2508</v>
      </c>
      <c r="AA263" s="84" t="s">
        <v>2509</v>
      </c>
      <c r="AB263" s="108"/>
      <c r="AC263" s="107"/>
      <c r="AD263" s="84"/>
      <c r="AE263" s="83"/>
      <c r="AF263" s="84"/>
      <c r="AG263" s="83"/>
      <c r="AH263" s="84"/>
      <c r="AI263" s="39" t="s">
        <v>28</v>
      </c>
      <c r="AJ263" s="39" t="s">
        <v>45</v>
      </c>
      <c r="AK263" s="39" t="s">
        <v>476</v>
      </c>
      <c r="AP263" s="39" t="s">
        <v>477</v>
      </c>
      <c r="AQ263" s="39" t="s">
        <v>478</v>
      </c>
      <c r="AR263" s="39" t="s">
        <v>68</v>
      </c>
      <c r="AS263" s="39" t="s">
        <v>32</v>
      </c>
      <c r="AU263" s="44">
        <v>6285819325199</v>
      </c>
      <c r="AX263" s="39" t="s">
        <v>479</v>
      </c>
      <c r="AZ263" s="39" t="s">
        <v>472</v>
      </c>
      <c r="BA263" s="39" t="s">
        <v>1903</v>
      </c>
      <c r="BB263" s="39" t="s">
        <v>473</v>
      </c>
      <c r="BC263" s="39" t="s">
        <v>1927</v>
      </c>
      <c r="BD263" s="39" t="b">
        <v>1</v>
      </c>
      <c r="BE263" s="39" t="b">
        <v>1</v>
      </c>
      <c r="BF263" s="39" t="s">
        <v>474</v>
      </c>
      <c r="BG263" s="39" t="s">
        <v>475</v>
      </c>
      <c r="BH263" s="39" t="s">
        <v>2116</v>
      </c>
      <c r="BI263" s="39" t="s">
        <v>2117</v>
      </c>
      <c r="BJ263" s="39" t="b">
        <v>1</v>
      </c>
      <c r="BK263" s="39" t="b">
        <v>1</v>
      </c>
      <c r="BN263" s="39">
        <v>0</v>
      </c>
      <c r="BO263" s="39" t="s">
        <v>2802</v>
      </c>
      <c r="BP263" s="39" t="s">
        <v>2810</v>
      </c>
    </row>
    <row r="264" spans="1:68">
      <c r="A264" s="39" t="s">
        <v>20</v>
      </c>
      <c r="B264" s="39" t="s">
        <v>21</v>
      </c>
      <c r="C264" s="39" t="s">
        <v>22</v>
      </c>
      <c r="D264" s="39" t="s">
        <v>470</v>
      </c>
      <c r="E264" s="39" t="s">
        <v>471</v>
      </c>
      <c r="F264" s="39" t="s">
        <v>472</v>
      </c>
      <c r="G264" s="39" t="s">
        <v>473</v>
      </c>
      <c r="H264" s="39" t="s">
        <v>75</v>
      </c>
      <c r="I264" s="39" t="b">
        <v>0</v>
      </c>
      <c r="J264" s="39" t="s">
        <v>75</v>
      </c>
      <c r="K264" s="39" t="b">
        <v>0</v>
      </c>
      <c r="L264" s="39" t="s">
        <v>486</v>
      </c>
      <c r="M264" s="39" t="s">
        <v>487</v>
      </c>
      <c r="N264" s="39" t="s">
        <v>2508</v>
      </c>
      <c r="R264" s="39" t="s">
        <v>473</v>
      </c>
      <c r="S264" s="39" t="b">
        <f t="shared" si="13"/>
        <v>1</v>
      </c>
      <c r="T264" s="39" t="s">
        <v>472</v>
      </c>
      <c r="U264" s="39" t="b">
        <f t="shared" si="14"/>
        <v>1</v>
      </c>
      <c r="V264" s="39" t="s">
        <v>2564</v>
      </c>
      <c r="W264" s="39" t="s">
        <v>2564</v>
      </c>
      <c r="X264" s="83" t="s">
        <v>2587</v>
      </c>
      <c r="Y264" s="84" t="s">
        <v>2610</v>
      </c>
      <c r="Z264" s="83" t="s">
        <v>2508</v>
      </c>
      <c r="AA264" s="84" t="s">
        <v>2509</v>
      </c>
      <c r="AB264" s="108"/>
      <c r="AC264" s="107"/>
      <c r="AD264" s="84"/>
      <c r="AE264" s="83"/>
      <c r="AF264" s="84"/>
      <c r="AG264" s="83"/>
      <c r="AH264" s="84"/>
      <c r="AI264" s="39" t="s">
        <v>28</v>
      </c>
      <c r="AJ264" s="39" t="s">
        <v>45</v>
      </c>
      <c r="AK264" s="39" t="s">
        <v>488</v>
      </c>
      <c r="AP264" s="39" t="s">
        <v>489</v>
      </c>
      <c r="AQ264" s="39" t="s">
        <v>490</v>
      </c>
      <c r="AR264" s="39" t="s">
        <v>119</v>
      </c>
      <c r="AS264" s="39" t="s">
        <v>32</v>
      </c>
      <c r="AU264" s="44">
        <v>6281412128935</v>
      </c>
      <c r="AX264" s="39" t="s">
        <v>491</v>
      </c>
      <c r="AZ264" s="39" t="s">
        <v>472</v>
      </c>
      <c r="BA264" s="39" t="s">
        <v>1903</v>
      </c>
      <c r="BB264" s="39" t="s">
        <v>473</v>
      </c>
      <c r="BC264" s="39" t="s">
        <v>1927</v>
      </c>
      <c r="BD264" s="39" t="b">
        <v>1</v>
      </c>
      <c r="BE264" s="39" t="b">
        <v>1</v>
      </c>
      <c r="BF264" s="39" t="s">
        <v>486</v>
      </c>
      <c r="BG264" s="39" t="s">
        <v>487</v>
      </c>
      <c r="BH264" s="39" t="s">
        <v>2120</v>
      </c>
      <c r="BI264" s="39" t="s">
        <v>2121</v>
      </c>
      <c r="BJ264" s="39" t="b">
        <v>1</v>
      </c>
      <c r="BK264" s="39" t="b">
        <v>1</v>
      </c>
      <c r="BN264" s="39">
        <v>0</v>
      </c>
      <c r="BO264" s="39" t="s">
        <v>2802</v>
      </c>
      <c r="BP264" s="39" t="s">
        <v>2810</v>
      </c>
    </row>
    <row r="265" spans="1:68">
      <c r="A265" s="39" t="s">
        <v>20</v>
      </c>
      <c r="B265" s="39" t="s">
        <v>21</v>
      </c>
      <c r="C265" s="39" t="s">
        <v>22</v>
      </c>
      <c r="D265" s="39" t="s">
        <v>470</v>
      </c>
      <c r="E265" s="39" t="s">
        <v>471</v>
      </c>
      <c r="F265" s="39" t="s">
        <v>472</v>
      </c>
      <c r="G265" s="39" t="s">
        <v>473</v>
      </c>
      <c r="H265" s="39" t="s">
        <v>75</v>
      </c>
      <c r="I265" s="39" t="b">
        <v>0</v>
      </c>
      <c r="J265" s="39" t="s">
        <v>75</v>
      </c>
      <c r="K265" s="39" t="b">
        <v>0</v>
      </c>
      <c r="L265" s="39" t="s">
        <v>514</v>
      </c>
      <c r="M265" s="39" t="s">
        <v>515</v>
      </c>
      <c r="N265" s="39" t="s">
        <v>2508</v>
      </c>
      <c r="R265" s="39" t="s">
        <v>473</v>
      </c>
      <c r="S265" s="39" t="b">
        <f t="shared" si="13"/>
        <v>1</v>
      </c>
      <c r="T265" s="39" t="s">
        <v>472</v>
      </c>
      <c r="U265" s="39" t="b">
        <f t="shared" si="14"/>
        <v>1</v>
      </c>
      <c r="V265" s="39" t="s">
        <v>2564</v>
      </c>
      <c r="W265" s="39" t="s">
        <v>2564</v>
      </c>
      <c r="X265" s="83" t="s">
        <v>514</v>
      </c>
      <c r="Y265" s="84" t="s">
        <v>515</v>
      </c>
      <c r="Z265" s="83" t="s">
        <v>2508</v>
      </c>
      <c r="AA265" s="84" t="s">
        <v>2508</v>
      </c>
      <c r="AB265" s="108"/>
      <c r="AC265" s="107"/>
      <c r="AD265" s="84"/>
      <c r="AE265" s="83"/>
      <c r="AF265" s="84"/>
      <c r="AG265" s="83"/>
      <c r="AH265" s="84"/>
      <c r="AI265" s="39" t="s">
        <v>28</v>
      </c>
      <c r="AJ265" s="39" t="s">
        <v>45</v>
      </c>
      <c r="AK265" s="39" t="s">
        <v>516</v>
      </c>
      <c r="AM265" s="39" t="s">
        <v>516</v>
      </c>
      <c r="AN265" s="39" t="s">
        <v>516</v>
      </c>
      <c r="AO265" s="39" t="b">
        <v>0</v>
      </c>
      <c r="AP265" s="39" t="s">
        <v>517</v>
      </c>
      <c r="AQ265" s="39">
        <v>3173011411800000</v>
      </c>
      <c r="AR265" s="39" t="s">
        <v>68</v>
      </c>
      <c r="AS265" s="39" t="s">
        <v>32</v>
      </c>
      <c r="AU265" s="44">
        <v>6285773788026</v>
      </c>
      <c r="AX265" s="39" t="s">
        <v>518</v>
      </c>
      <c r="AY265" s="39" t="s">
        <v>519</v>
      </c>
      <c r="AZ265" s="39" t="s">
        <v>472</v>
      </c>
      <c r="BA265" s="39" t="s">
        <v>1903</v>
      </c>
      <c r="BB265" s="39" t="s">
        <v>473</v>
      </c>
      <c r="BC265" s="39" t="s">
        <v>1927</v>
      </c>
      <c r="BD265" s="39" t="b">
        <v>1</v>
      </c>
      <c r="BE265" s="39" t="b">
        <v>1</v>
      </c>
      <c r="BF265" s="39" t="s">
        <v>514</v>
      </c>
      <c r="BG265" s="39" t="s">
        <v>515</v>
      </c>
      <c r="BH265" s="39" t="s">
        <v>2128</v>
      </c>
      <c r="BI265" s="39" t="s">
        <v>2129</v>
      </c>
      <c r="BJ265" s="39" t="b">
        <v>1</v>
      </c>
      <c r="BK265" s="39" t="b">
        <v>1</v>
      </c>
      <c r="BN265" s="39">
        <v>0</v>
      </c>
      <c r="BO265" s="39" t="s">
        <v>2802</v>
      </c>
      <c r="BP265" s="39" t="s">
        <v>2810</v>
      </c>
    </row>
    <row r="266" spans="1:68">
      <c r="A266" s="39" t="s">
        <v>20</v>
      </c>
      <c r="B266" s="39" t="s">
        <v>21</v>
      </c>
      <c r="C266" s="39" t="s">
        <v>22</v>
      </c>
      <c r="D266" s="39" t="s">
        <v>470</v>
      </c>
      <c r="E266" s="39" t="s">
        <v>471</v>
      </c>
      <c r="F266" s="39" t="s">
        <v>472</v>
      </c>
      <c r="G266" s="39" t="s">
        <v>473</v>
      </c>
      <c r="H266" s="39" t="s">
        <v>75</v>
      </c>
      <c r="I266" s="39" t="b">
        <v>0</v>
      </c>
      <c r="J266" s="39" t="s">
        <v>75</v>
      </c>
      <c r="K266" s="39" t="b">
        <v>0</v>
      </c>
      <c r="L266" s="39" t="s">
        <v>1031</v>
      </c>
      <c r="M266" s="39" t="s">
        <v>1032</v>
      </c>
      <c r="N266" s="39" t="s">
        <v>2508</v>
      </c>
      <c r="R266" s="39" t="s">
        <v>473</v>
      </c>
      <c r="S266" s="39" t="b">
        <f t="shared" si="13"/>
        <v>1</v>
      </c>
      <c r="T266" s="39" t="s">
        <v>472</v>
      </c>
      <c r="U266" s="39" t="b">
        <f t="shared" si="14"/>
        <v>1</v>
      </c>
      <c r="V266" s="39" t="s">
        <v>2564</v>
      </c>
      <c r="W266" s="39" t="s">
        <v>2564</v>
      </c>
      <c r="X266" s="83" t="s">
        <v>1031</v>
      </c>
      <c r="Y266" s="84" t="s">
        <v>1032</v>
      </c>
      <c r="Z266" s="83" t="s">
        <v>2508</v>
      </c>
      <c r="AA266" s="84" t="s">
        <v>2508</v>
      </c>
      <c r="AB266" s="108"/>
      <c r="AC266" s="107"/>
      <c r="AD266" s="84"/>
      <c r="AE266" s="83"/>
      <c r="AF266" s="84"/>
      <c r="AG266" s="83"/>
      <c r="AH266" s="84"/>
      <c r="AI266" s="39" t="s">
        <v>28</v>
      </c>
      <c r="AJ266" s="39" t="s">
        <v>45</v>
      </c>
      <c r="AK266" s="39" t="s">
        <v>1033</v>
      </c>
      <c r="AP266" s="39" t="s">
        <v>1034</v>
      </c>
      <c r="AQ266" s="39" t="s">
        <v>1035</v>
      </c>
      <c r="AR266" s="39" t="s">
        <v>68</v>
      </c>
      <c r="AS266" s="39" t="s">
        <v>32</v>
      </c>
      <c r="AU266" s="44">
        <v>6285691777932</v>
      </c>
      <c r="AX266" s="39" t="s">
        <v>1036</v>
      </c>
      <c r="AZ266" s="39" t="s">
        <v>472</v>
      </c>
      <c r="BA266" s="39" t="s">
        <v>1903</v>
      </c>
      <c r="BB266" s="39" t="s">
        <v>473</v>
      </c>
      <c r="BC266" s="39" t="s">
        <v>1927</v>
      </c>
      <c r="BD266" s="39" t="b">
        <v>1</v>
      </c>
      <c r="BE266" s="39" t="b">
        <v>1</v>
      </c>
      <c r="BF266" s="39" t="s">
        <v>1031</v>
      </c>
      <c r="BG266" s="39" t="s">
        <v>1032</v>
      </c>
      <c r="BH266" s="39" t="s">
        <v>2258</v>
      </c>
      <c r="BI266" s="39" t="s">
        <v>2259</v>
      </c>
      <c r="BJ266" s="39" t="b">
        <v>1</v>
      </c>
      <c r="BK266" s="39" t="b">
        <v>1</v>
      </c>
      <c r="BN266" s="39">
        <v>0</v>
      </c>
      <c r="BO266" s="39" t="s">
        <v>2802</v>
      </c>
      <c r="BP266" s="39" t="s">
        <v>2810</v>
      </c>
    </row>
    <row r="267" spans="1:68">
      <c r="A267" s="39" t="s">
        <v>20</v>
      </c>
      <c r="B267" s="39" t="s">
        <v>21</v>
      </c>
      <c r="C267" s="39" t="s">
        <v>22</v>
      </c>
      <c r="D267" s="39" t="s">
        <v>470</v>
      </c>
      <c r="E267" s="39" t="s">
        <v>471</v>
      </c>
      <c r="F267" s="39" t="s">
        <v>472</v>
      </c>
      <c r="G267" s="39" t="s">
        <v>473</v>
      </c>
      <c r="H267" s="39" t="s">
        <v>75</v>
      </c>
      <c r="I267" s="39" t="b">
        <v>0</v>
      </c>
      <c r="J267" s="39" t="s">
        <v>75</v>
      </c>
      <c r="K267" s="39" t="b">
        <v>0</v>
      </c>
      <c r="L267" s="39" t="s">
        <v>1132</v>
      </c>
      <c r="M267" s="39" t="s">
        <v>1133</v>
      </c>
      <c r="N267" s="39" t="s">
        <v>2508</v>
      </c>
      <c r="R267" s="39" t="s">
        <v>473</v>
      </c>
      <c r="S267" s="39" t="b">
        <f t="shared" si="13"/>
        <v>1</v>
      </c>
      <c r="T267" s="39" t="s">
        <v>472</v>
      </c>
      <c r="U267" s="39" t="b">
        <f t="shared" si="14"/>
        <v>1</v>
      </c>
      <c r="V267" s="39" t="s">
        <v>2564</v>
      </c>
      <c r="W267" s="39" t="s">
        <v>2564</v>
      </c>
      <c r="X267" s="83" t="s">
        <v>1132</v>
      </c>
      <c r="Y267" s="84" t="s">
        <v>1133</v>
      </c>
      <c r="Z267" s="83" t="s">
        <v>2508</v>
      </c>
      <c r="AA267" s="84" t="s">
        <v>2508</v>
      </c>
      <c r="AB267" s="108"/>
      <c r="AC267" s="107"/>
      <c r="AD267" s="84"/>
      <c r="AE267" s="83"/>
      <c r="AF267" s="84"/>
      <c r="AG267" s="83"/>
      <c r="AH267" s="84"/>
      <c r="AI267" s="39" t="s">
        <v>28</v>
      </c>
      <c r="AJ267" s="39" t="s">
        <v>45</v>
      </c>
      <c r="AK267" s="39" t="s">
        <v>1134</v>
      </c>
      <c r="AP267" s="39" t="s">
        <v>1135</v>
      </c>
      <c r="AQ267" s="39" t="s">
        <v>1136</v>
      </c>
      <c r="AR267" s="39" t="s">
        <v>68</v>
      </c>
      <c r="AS267" s="39" t="s">
        <v>32</v>
      </c>
      <c r="AU267" s="44">
        <v>6285691777934</v>
      </c>
      <c r="AX267" s="39" t="s">
        <v>1137</v>
      </c>
      <c r="AZ267" s="39" t="s">
        <v>472</v>
      </c>
      <c r="BA267" s="39" t="s">
        <v>1903</v>
      </c>
      <c r="BB267" s="39" t="s">
        <v>473</v>
      </c>
      <c r="BC267" s="39" t="s">
        <v>1927</v>
      </c>
      <c r="BD267" s="39" t="b">
        <v>1</v>
      </c>
      <c r="BE267" s="39" t="b">
        <v>1</v>
      </c>
      <c r="BF267" s="39" t="s">
        <v>1132</v>
      </c>
      <c r="BG267" s="39" t="s">
        <v>1133</v>
      </c>
      <c r="BH267" s="39" t="s">
        <v>2290</v>
      </c>
      <c r="BI267" s="39" t="s">
        <v>2291</v>
      </c>
      <c r="BJ267" s="39" t="b">
        <v>1</v>
      </c>
      <c r="BK267" s="39" t="b">
        <v>1</v>
      </c>
      <c r="BN267" s="39">
        <v>0</v>
      </c>
      <c r="BO267" s="39" t="s">
        <v>2802</v>
      </c>
      <c r="BP267" s="39" t="s">
        <v>2810</v>
      </c>
    </row>
    <row r="268" spans="1:68">
      <c r="A268" s="39" t="s">
        <v>20</v>
      </c>
      <c r="B268" s="39" t="s">
        <v>21</v>
      </c>
      <c r="C268" s="39" t="s">
        <v>22</v>
      </c>
      <c r="D268" s="39" t="s">
        <v>470</v>
      </c>
      <c r="E268" s="39" t="s">
        <v>471</v>
      </c>
      <c r="F268" s="39" t="s">
        <v>472</v>
      </c>
      <c r="G268" s="39" t="s">
        <v>473</v>
      </c>
      <c r="H268" s="39" t="s">
        <v>75</v>
      </c>
      <c r="I268" s="39" t="b">
        <v>0</v>
      </c>
      <c r="J268" s="39" t="s">
        <v>75</v>
      </c>
      <c r="K268" s="39" t="b">
        <v>0</v>
      </c>
      <c r="L268" s="39" t="s">
        <v>1138</v>
      </c>
      <c r="M268" s="39" t="s">
        <v>1139</v>
      </c>
      <c r="N268" s="39" t="s">
        <v>2508</v>
      </c>
      <c r="R268" s="39" t="s">
        <v>473</v>
      </c>
      <c r="S268" s="39" t="b">
        <f t="shared" si="13"/>
        <v>1</v>
      </c>
      <c r="T268" s="39" t="s">
        <v>472</v>
      </c>
      <c r="U268" s="39" t="b">
        <f t="shared" si="14"/>
        <v>1</v>
      </c>
      <c r="V268" s="39" t="s">
        <v>2564</v>
      </c>
      <c r="W268" s="39" t="s">
        <v>2564</v>
      </c>
      <c r="X268" s="83" t="s">
        <v>1138</v>
      </c>
      <c r="Y268" s="84" t="s">
        <v>1139</v>
      </c>
      <c r="Z268" s="83" t="s">
        <v>2508</v>
      </c>
      <c r="AA268" s="84" t="s">
        <v>2508</v>
      </c>
      <c r="AB268" s="108"/>
      <c r="AC268" s="107"/>
      <c r="AD268" s="84"/>
      <c r="AE268" s="83"/>
      <c r="AF268" s="84"/>
      <c r="AG268" s="83"/>
      <c r="AH268" s="84"/>
      <c r="AI268" s="39" t="s">
        <v>28</v>
      </c>
      <c r="AJ268" s="39" t="s">
        <v>45</v>
      </c>
      <c r="AK268" s="39" t="s">
        <v>1140</v>
      </c>
      <c r="AP268" s="39" t="s">
        <v>1141</v>
      </c>
      <c r="AQ268" s="39" t="s">
        <v>1142</v>
      </c>
      <c r="AR268" s="39" t="s">
        <v>68</v>
      </c>
      <c r="AS268" s="39" t="s">
        <v>32</v>
      </c>
      <c r="AU268" s="44">
        <v>6285691777964</v>
      </c>
      <c r="AX268" s="39" t="s">
        <v>1143</v>
      </c>
      <c r="AZ268" s="39" t="s">
        <v>472</v>
      </c>
      <c r="BA268" s="39" t="s">
        <v>1903</v>
      </c>
      <c r="BB268" s="39" t="s">
        <v>473</v>
      </c>
      <c r="BC268" s="39" t="s">
        <v>1927</v>
      </c>
      <c r="BD268" s="39" t="b">
        <v>1</v>
      </c>
      <c r="BE268" s="39" t="b">
        <v>1</v>
      </c>
      <c r="BF268" s="39" t="s">
        <v>1138</v>
      </c>
      <c r="BG268" s="39" t="s">
        <v>1139</v>
      </c>
      <c r="BH268" s="39" t="s">
        <v>2292</v>
      </c>
      <c r="BI268" s="39" t="s">
        <v>2293</v>
      </c>
      <c r="BJ268" s="39" t="b">
        <v>1</v>
      </c>
      <c r="BK268" s="39" t="b">
        <v>1</v>
      </c>
      <c r="BN268" s="39">
        <v>0</v>
      </c>
      <c r="BO268" s="39" t="s">
        <v>2802</v>
      </c>
      <c r="BP268" s="39" t="s">
        <v>2810</v>
      </c>
    </row>
    <row r="269" spans="1:68">
      <c r="A269" s="39" t="s">
        <v>20</v>
      </c>
      <c r="B269" s="39" t="s">
        <v>21</v>
      </c>
      <c r="C269" s="39" t="s">
        <v>22</v>
      </c>
      <c r="D269" s="39" t="s">
        <v>470</v>
      </c>
      <c r="E269" s="39" t="s">
        <v>471</v>
      </c>
      <c r="F269" s="39" t="s">
        <v>472</v>
      </c>
      <c r="G269" s="39" t="s">
        <v>473</v>
      </c>
      <c r="H269" s="39" t="s">
        <v>75</v>
      </c>
      <c r="I269" s="39" t="b">
        <v>0</v>
      </c>
      <c r="J269" s="39" t="s">
        <v>75</v>
      </c>
      <c r="K269" s="39" t="b">
        <v>0</v>
      </c>
      <c r="L269" s="39" t="s">
        <v>1804</v>
      </c>
      <c r="M269" s="39" t="s">
        <v>1803</v>
      </c>
      <c r="N269" s="39" t="s">
        <v>2508</v>
      </c>
      <c r="R269" s="39" t="s">
        <v>473</v>
      </c>
      <c r="S269" s="39" t="b">
        <f t="shared" si="13"/>
        <v>1</v>
      </c>
      <c r="T269" s="39" t="s">
        <v>472</v>
      </c>
      <c r="U269" s="39" t="b">
        <f t="shared" si="14"/>
        <v>1</v>
      </c>
      <c r="V269" s="39" t="s">
        <v>2564</v>
      </c>
      <c r="W269" s="39" t="s">
        <v>2564</v>
      </c>
      <c r="X269" s="83" t="s">
        <v>1804</v>
      </c>
      <c r="Y269" s="84" t="s">
        <v>1803</v>
      </c>
      <c r="Z269" s="83" t="s">
        <v>2508</v>
      </c>
      <c r="AA269" s="84" t="s">
        <v>2508</v>
      </c>
      <c r="AB269" s="108"/>
      <c r="AC269" s="107"/>
      <c r="AD269" s="84"/>
      <c r="AE269" s="83"/>
      <c r="AF269" s="84"/>
      <c r="AG269" s="83"/>
      <c r="AH269" s="84"/>
      <c r="AI269" s="39" t="s">
        <v>28</v>
      </c>
      <c r="AJ269" s="39" t="s">
        <v>45</v>
      </c>
      <c r="AK269" s="39" t="s">
        <v>1805</v>
      </c>
      <c r="AP269" s="39" t="s">
        <v>1806</v>
      </c>
      <c r="AQ269" s="39" t="s">
        <v>1807</v>
      </c>
      <c r="AR269" s="39" t="s">
        <v>68</v>
      </c>
      <c r="AS269" s="39" t="s">
        <v>32</v>
      </c>
      <c r="AU269" s="44">
        <v>6289602777994</v>
      </c>
      <c r="AX269" s="39" t="s">
        <v>1808</v>
      </c>
      <c r="AZ269" s="39" t="s">
        <v>472</v>
      </c>
      <c r="BA269" s="39" t="s">
        <v>1903</v>
      </c>
      <c r="BB269" s="39" t="s">
        <v>473</v>
      </c>
      <c r="BC269" s="39" t="s">
        <v>1927</v>
      </c>
      <c r="BD269" s="39" t="b">
        <v>1</v>
      </c>
      <c r="BE269" s="39" t="b">
        <v>1</v>
      </c>
      <c r="BF269" s="39" t="s">
        <v>1804</v>
      </c>
      <c r="BG269" s="39" t="s">
        <v>1803</v>
      </c>
      <c r="BH269" s="39" t="s">
        <v>2474</v>
      </c>
      <c r="BI269" s="39" t="s">
        <v>2475</v>
      </c>
      <c r="BJ269" s="39" t="b">
        <v>1</v>
      </c>
      <c r="BK269" s="39" t="b">
        <v>1</v>
      </c>
      <c r="BN269" s="39">
        <v>0</v>
      </c>
      <c r="BO269" s="39" t="s">
        <v>2802</v>
      </c>
      <c r="BP269" s="39" t="s">
        <v>2810</v>
      </c>
    </row>
    <row r="270" spans="1:68">
      <c r="A270" s="39" t="s">
        <v>20</v>
      </c>
      <c r="B270" s="39" t="s">
        <v>21</v>
      </c>
      <c r="C270" s="39" t="s">
        <v>22</v>
      </c>
      <c r="D270" s="39" t="s">
        <v>498</v>
      </c>
      <c r="E270" s="39" t="s">
        <v>499</v>
      </c>
      <c r="F270" s="39" t="s">
        <v>500</v>
      </c>
      <c r="G270" s="39" t="s">
        <v>501</v>
      </c>
      <c r="H270" s="39" t="s">
        <v>75</v>
      </c>
      <c r="I270" s="39" t="b">
        <v>0</v>
      </c>
      <c r="J270" s="39" t="s">
        <v>75</v>
      </c>
      <c r="K270" s="39" t="b">
        <v>0</v>
      </c>
      <c r="L270" s="39" t="s">
        <v>502</v>
      </c>
      <c r="M270" s="39" t="s">
        <v>503</v>
      </c>
      <c r="N270" s="39" t="s">
        <v>2508</v>
      </c>
      <c r="R270" s="39" t="s">
        <v>501</v>
      </c>
      <c r="S270" s="39" t="b">
        <f t="shared" si="13"/>
        <v>1</v>
      </c>
      <c r="T270" s="39" t="s">
        <v>500</v>
      </c>
      <c r="U270" s="39" t="b">
        <f t="shared" si="14"/>
        <v>1</v>
      </c>
      <c r="V270" s="39" t="s">
        <v>2564</v>
      </c>
      <c r="W270" s="39" t="s">
        <v>2564</v>
      </c>
      <c r="X270" s="83" t="s">
        <v>502</v>
      </c>
      <c r="Y270" s="84" t="s">
        <v>503</v>
      </c>
      <c r="Z270" s="83" t="s">
        <v>2508</v>
      </c>
      <c r="AA270" s="84" t="s">
        <v>2508</v>
      </c>
      <c r="AB270" s="108"/>
      <c r="AC270" s="107"/>
      <c r="AD270" s="84"/>
      <c r="AE270" s="83"/>
      <c r="AF270" s="84"/>
      <c r="AG270" s="83"/>
      <c r="AH270" s="84"/>
      <c r="AI270" s="39" t="s">
        <v>28</v>
      </c>
      <c r="AJ270" s="39" t="s">
        <v>45</v>
      </c>
      <c r="AK270" s="39" t="s">
        <v>504</v>
      </c>
      <c r="AP270" s="39" t="s">
        <v>505</v>
      </c>
      <c r="AQ270" s="39" t="s">
        <v>506</v>
      </c>
      <c r="AR270" s="39" t="s">
        <v>68</v>
      </c>
      <c r="AS270" s="39" t="s">
        <v>32</v>
      </c>
      <c r="AU270" s="44">
        <v>6285604234396</v>
      </c>
      <c r="AX270" s="39" t="s">
        <v>507</v>
      </c>
      <c r="AZ270" s="39" t="s">
        <v>500</v>
      </c>
      <c r="BA270" s="39" t="s">
        <v>1903</v>
      </c>
      <c r="BB270" s="39" t="s">
        <v>501</v>
      </c>
      <c r="BC270" s="39" t="s">
        <v>1926</v>
      </c>
      <c r="BD270" s="39" t="b">
        <v>1</v>
      </c>
      <c r="BE270" s="39" t="b">
        <v>1</v>
      </c>
      <c r="BF270" s="39" t="s">
        <v>502</v>
      </c>
      <c r="BG270" s="39" t="s">
        <v>503</v>
      </c>
      <c r="BH270" s="39" t="s">
        <v>2124</v>
      </c>
      <c r="BI270" s="39" t="s">
        <v>2125</v>
      </c>
      <c r="BJ270" s="39" t="b">
        <v>1</v>
      </c>
      <c r="BK270" s="39" t="b">
        <v>1</v>
      </c>
      <c r="BN270" s="39">
        <v>0</v>
      </c>
      <c r="BO270" s="39" t="s">
        <v>2803</v>
      </c>
      <c r="BP270" s="39" t="s">
        <v>2810</v>
      </c>
    </row>
    <row r="271" spans="1:68">
      <c r="A271" s="39" t="s">
        <v>20</v>
      </c>
      <c r="B271" s="39" t="s">
        <v>21</v>
      </c>
      <c r="C271" s="39" t="s">
        <v>22</v>
      </c>
      <c r="D271" s="39" t="s">
        <v>498</v>
      </c>
      <c r="E271" s="39" t="s">
        <v>499</v>
      </c>
      <c r="F271" s="39" t="s">
        <v>500</v>
      </c>
      <c r="G271" s="39" t="s">
        <v>501</v>
      </c>
      <c r="H271" s="39" t="s">
        <v>75</v>
      </c>
      <c r="I271" s="39" t="b">
        <v>0</v>
      </c>
      <c r="J271" s="39" t="s">
        <v>75</v>
      </c>
      <c r="K271" s="39" t="b">
        <v>0</v>
      </c>
      <c r="L271" s="39" t="s">
        <v>508</v>
      </c>
      <c r="M271" s="39" t="s">
        <v>509</v>
      </c>
      <c r="N271" s="39" t="s">
        <v>2543</v>
      </c>
      <c r="O271" s="39" t="s">
        <v>2525</v>
      </c>
      <c r="R271" s="39" t="s">
        <v>501</v>
      </c>
      <c r="S271" s="39" t="b">
        <f t="shared" si="13"/>
        <v>1</v>
      </c>
      <c r="T271" s="39" t="s">
        <v>444</v>
      </c>
      <c r="U271" s="39" t="b">
        <f t="shared" si="14"/>
        <v>0</v>
      </c>
      <c r="V271" s="39" t="s">
        <v>2561</v>
      </c>
      <c r="W271" s="39" t="s">
        <v>2564</v>
      </c>
      <c r="X271" s="83" t="s">
        <v>508</v>
      </c>
      <c r="Y271" s="84" t="s">
        <v>509</v>
      </c>
      <c r="Z271" s="83" t="s">
        <v>2508</v>
      </c>
      <c r="AA271" s="84" t="s">
        <v>2508</v>
      </c>
      <c r="AB271" s="108"/>
      <c r="AC271" s="107"/>
      <c r="AD271" s="84"/>
      <c r="AE271" s="83"/>
      <c r="AF271" s="84"/>
      <c r="AG271" s="83"/>
      <c r="AH271" s="84"/>
      <c r="AI271" s="39" t="s">
        <v>28</v>
      </c>
      <c r="AJ271" s="39" t="s">
        <v>45</v>
      </c>
      <c r="AK271" s="39" t="s">
        <v>510</v>
      </c>
      <c r="AP271" s="39" t="s">
        <v>511</v>
      </c>
      <c r="AQ271" s="39" t="s">
        <v>512</v>
      </c>
      <c r="AR271" s="39" t="s">
        <v>68</v>
      </c>
      <c r="AS271" s="39" t="s">
        <v>32</v>
      </c>
      <c r="AU271" s="44">
        <v>6285718656667</v>
      </c>
      <c r="AX271" s="39" t="s">
        <v>513</v>
      </c>
      <c r="AZ271" s="39" t="s">
        <v>500</v>
      </c>
      <c r="BA271" s="39" t="s">
        <v>1903</v>
      </c>
      <c r="BB271" s="39" t="s">
        <v>501</v>
      </c>
      <c r="BC271" s="39" t="s">
        <v>1926</v>
      </c>
      <c r="BD271" s="39" t="b">
        <v>1</v>
      </c>
      <c r="BE271" s="39" t="b">
        <v>1</v>
      </c>
      <c r="BF271" s="39" t="s">
        <v>508</v>
      </c>
      <c r="BG271" s="39" t="s">
        <v>509</v>
      </c>
      <c r="BH271" s="39" t="s">
        <v>2126</v>
      </c>
      <c r="BI271" s="39" t="s">
        <v>2127</v>
      </c>
      <c r="BJ271" s="39" t="b">
        <v>1</v>
      </c>
      <c r="BK271" s="39" t="b">
        <v>1</v>
      </c>
      <c r="BN271" s="39">
        <v>0</v>
      </c>
      <c r="BO271" s="39" t="s">
        <v>2803</v>
      </c>
      <c r="BP271" s="39" t="s">
        <v>2810</v>
      </c>
    </row>
    <row r="272" spans="1:68">
      <c r="A272" s="39" t="s">
        <v>20</v>
      </c>
      <c r="B272" s="39" t="s">
        <v>21</v>
      </c>
      <c r="C272" s="39" t="s">
        <v>22</v>
      </c>
      <c r="D272" s="39" t="s">
        <v>498</v>
      </c>
      <c r="E272" s="39" t="s">
        <v>499</v>
      </c>
      <c r="F272" s="39" t="s">
        <v>500</v>
      </c>
      <c r="G272" s="39" t="s">
        <v>501</v>
      </c>
      <c r="H272" s="39" t="s">
        <v>75</v>
      </c>
      <c r="I272" s="39" t="b">
        <v>0</v>
      </c>
      <c r="J272" s="39" t="s">
        <v>75</v>
      </c>
      <c r="K272" s="39" t="b">
        <v>0</v>
      </c>
      <c r="L272" s="39" t="s">
        <v>1144</v>
      </c>
      <c r="M272" s="39" t="s">
        <v>1145</v>
      </c>
      <c r="N272" s="39" t="s">
        <v>2508</v>
      </c>
      <c r="R272" s="39" t="s">
        <v>501</v>
      </c>
      <c r="S272" s="39" t="b">
        <f t="shared" si="13"/>
        <v>1</v>
      </c>
      <c r="T272" s="39" t="s">
        <v>500</v>
      </c>
      <c r="U272" s="39" t="b">
        <f t="shared" si="14"/>
        <v>1</v>
      </c>
      <c r="V272" s="39" t="s">
        <v>2564</v>
      </c>
      <c r="W272" s="39" t="s">
        <v>2564</v>
      </c>
      <c r="X272" s="83" t="s">
        <v>1144</v>
      </c>
      <c r="Y272" s="84" t="s">
        <v>1145</v>
      </c>
      <c r="Z272" s="83" t="s">
        <v>2508</v>
      </c>
      <c r="AA272" s="84" t="s">
        <v>2508</v>
      </c>
      <c r="AB272" s="108"/>
      <c r="AC272" s="107"/>
      <c r="AD272" s="84"/>
      <c r="AE272" s="83"/>
      <c r="AF272" s="84"/>
      <c r="AG272" s="83"/>
      <c r="AH272" s="84"/>
      <c r="AI272" s="39" t="s">
        <v>28</v>
      </c>
      <c r="AJ272" s="39" t="s">
        <v>45</v>
      </c>
      <c r="AK272" s="39" t="s">
        <v>1146</v>
      </c>
      <c r="AP272" s="39" t="s">
        <v>1147</v>
      </c>
      <c r="AQ272" s="39" t="s">
        <v>1148</v>
      </c>
      <c r="AR272" s="39" t="s">
        <v>68</v>
      </c>
      <c r="AS272" s="39" t="s">
        <v>32</v>
      </c>
      <c r="AU272" s="44">
        <v>6285691778037</v>
      </c>
      <c r="AX272" s="39" t="s">
        <v>1149</v>
      </c>
      <c r="AZ272" s="39" t="s">
        <v>500</v>
      </c>
      <c r="BA272" s="39" t="s">
        <v>1903</v>
      </c>
      <c r="BB272" s="39" t="s">
        <v>501</v>
      </c>
      <c r="BC272" s="39" t="s">
        <v>1926</v>
      </c>
      <c r="BD272" s="39" t="b">
        <v>1</v>
      </c>
      <c r="BE272" s="39" t="b">
        <v>1</v>
      </c>
      <c r="BF272" s="39" t="s">
        <v>1144</v>
      </c>
      <c r="BG272" s="39" t="s">
        <v>1145</v>
      </c>
      <c r="BH272" s="39" t="s">
        <v>2294</v>
      </c>
      <c r="BI272" s="39" t="s">
        <v>2295</v>
      </c>
      <c r="BJ272" s="39" t="b">
        <v>1</v>
      </c>
      <c r="BK272" s="39" t="b">
        <v>1</v>
      </c>
      <c r="BN272" s="39">
        <v>0</v>
      </c>
      <c r="BO272" s="39" t="s">
        <v>2803</v>
      </c>
      <c r="BP272" s="39" t="s">
        <v>2810</v>
      </c>
    </row>
    <row r="273" spans="1:68">
      <c r="A273" s="39" t="s">
        <v>20</v>
      </c>
      <c r="B273" s="39" t="s">
        <v>21</v>
      </c>
      <c r="C273" s="39" t="s">
        <v>22</v>
      </c>
      <c r="D273" s="39" t="s">
        <v>498</v>
      </c>
      <c r="E273" s="39" t="s">
        <v>499</v>
      </c>
      <c r="F273" s="39" t="s">
        <v>500</v>
      </c>
      <c r="G273" s="39" t="s">
        <v>501</v>
      </c>
      <c r="H273" s="39" t="s">
        <v>75</v>
      </c>
      <c r="I273" s="39" t="b">
        <v>0</v>
      </c>
      <c r="J273" s="39" t="s">
        <v>75</v>
      </c>
      <c r="K273" s="39" t="b">
        <v>0</v>
      </c>
      <c r="L273" s="39" t="s">
        <v>1708</v>
      </c>
      <c r="M273" s="39" t="s">
        <v>1707</v>
      </c>
      <c r="N273" s="39" t="s">
        <v>2508</v>
      </c>
      <c r="P273" s="39" t="s">
        <v>2543</v>
      </c>
      <c r="R273" s="39" t="s">
        <v>473</v>
      </c>
      <c r="S273" s="39" t="b">
        <f t="shared" si="13"/>
        <v>0</v>
      </c>
      <c r="T273" s="39" t="s">
        <v>500</v>
      </c>
      <c r="U273" s="39" t="b">
        <f t="shared" si="14"/>
        <v>1</v>
      </c>
      <c r="V273" s="39" t="s">
        <v>2564</v>
      </c>
      <c r="W273" s="39" t="s">
        <v>2561</v>
      </c>
      <c r="X273" s="83" t="s">
        <v>1708</v>
      </c>
      <c r="Y273" s="84" t="s">
        <v>1707</v>
      </c>
      <c r="Z273" s="83" t="s">
        <v>2508</v>
      </c>
      <c r="AA273" s="84" t="s">
        <v>2508</v>
      </c>
      <c r="AB273" s="108"/>
      <c r="AC273" s="107"/>
      <c r="AD273" s="84"/>
      <c r="AE273" s="83"/>
      <c r="AF273" s="84"/>
      <c r="AG273" s="83"/>
      <c r="AH273" s="84"/>
      <c r="AI273" s="39" t="s">
        <v>28</v>
      </c>
      <c r="AJ273" s="39" t="s">
        <v>44</v>
      </c>
      <c r="AK273" s="39" t="s">
        <v>1709</v>
      </c>
      <c r="AP273" s="39" t="s">
        <v>1710</v>
      </c>
      <c r="AQ273" s="39" t="s">
        <v>1711</v>
      </c>
      <c r="AR273" s="39" t="s">
        <v>31</v>
      </c>
      <c r="AS273" s="39" t="s">
        <v>32</v>
      </c>
      <c r="AT273" s="39">
        <v>6289602777986</v>
      </c>
      <c r="AU273" s="44">
        <v>6289602777986</v>
      </c>
      <c r="AX273" s="39" t="s">
        <v>1712</v>
      </c>
      <c r="AZ273" s="39" t="s">
        <v>500</v>
      </c>
      <c r="BA273" s="39" t="s">
        <v>1903</v>
      </c>
      <c r="BB273" s="39" t="s">
        <v>501</v>
      </c>
      <c r="BC273" s="39" t="s">
        <v>1926</v>
      </c>
      <c r="BD273" s="39" t="b">
        <v>1</v>
      </c>
      <c r="BE273" s="39" t="b">
        <v>1</v>
      </c>
      <c r="BF273" s="39" t="s">
        <v>1708</v>
      </c>
      <c r="BG273" s="39" t="s">
        <v>1707</v>
      </c>
      <c r="BH273" s="39" t="s">
        <v>2446</v>
      </c>
      <c r="BI273" s="39" t="s">
        <v>2447</v>
      </c>
      <c r="BJ273" s="39" t="b">
        <v>1</v>
      </c>
      <c r="BK273" s="39" t="b">
        <v>1</v>
      </c>
      <c r="BN273" s="39">
        <v>0</v>
      </c>
      <c r="BO273" s="39" t="s">
        <v>2803</v>
      </c>
      <c r="BP273" s="39" t="s">
        <v>2810</v>
      </c>
    </row>
    <row r="274" spans="1:68">
      <c r="A274" s="39" t="s">
        <v>20</v>
      </c>
      <c r="B274" s="39" t="s">
        <v>21</v>
      </c>
      <c r="C274" s="39" t="s">
        <v>22</v>
      </c>
      <c r="D274" s="39" t="s">
        <v>498</v>
      </c>
      <c r="E274" s="39" t="s">
        <v>499</v>
      </c>
      <c r="F274" s="39" t="s">
        <v>500</v>
      </c>
      <c r="G274" s="39" t="s">
        <v>501</v>
      </c>
      <c r="H274" s="39" t="s">
        <v>75</v>
      </c>
      <c r="I274" s="39" t="b">
        <v>0</v>
      </c>
      <c r="J274" s="39" t="s">
        <v>75</v>
      </c>
      <c r="K274" s="39" t="b">
        <v>0</v>
      </c>
      <c r="L274" s="39" t="s">
        <v>1786</v>
      </c>
      <c r="M274" s="39" t="s">
        <v>1785</v>
      </c>
      <c r="N274" s="39" t="s">
        <v>2508</v>
      </c>
      <c r="P274" s="39" t="s">
        <v>2543</v>
      </c>
      <c r="R274" s="39" t="s">
        <v>445</v>
      </c>
      <c r="S274" s="39" t="b">
        <f t="shared" si="13"/>
        <v>0</v>
      </c>
      <c r="T274" s="39" t="s">
        <v>500</v>
      </c>
      <c r="U274" s="39" t="b">
        <f t="shared" si="14"/>
        <v>1</v>
      </c>
      <c r="V274" s="39" t="s">
        <v>2564</v>
      </c>
      <c r="W274" s="39" t="s">
        <v>2561</v>
      </c>
      <c r="X274" s="83" t="s">
        <v>1786</v>
      </c>
      <c r="Y274" s="84" t="s">
        <v>1785</v>
      </c>
      <c r="Z274" s="83" t="s">
        <v>2508</v>
      </c>
      <c r="AA274" s="84" t="s">
        <v>2508</v>
      </c>
      <c r="AB274" s="108"/>
      <c r="AC274" s="107"/>
      <c r="AD274" s="84"/>
      <c r="AE274" s="83"/>
      <c r="AF274" s="84"/>
      <c r="AG274" s="83"/>
      <c r="AH274" s="84"/>
      <c r="AI274" s="39" t="s">
        <v>28</v>
      </c>
      <c r="AJ274" s="39" t="s">
        <v>45</v>
      </c>
      <c r="AK274" s="39" t="s">
        <v>1787</v>
      </c>
      <c r="AP274" s="39" t="s">
        <v>1788</v>
      </c>
      <c r="AQ274" s="39" t="s">
        <v>1789</v>
      </c>
      <c r="AR274" s="39" t="s">
        <v>68</v>
      </c>
      <c r="AS274" s="39" t="s">
        <v>32</v>
      </c>
      <c r="AU274" s="44">
        <v>6289602777985</v>
      </c>
      <c r="AX274" s="39" t="s">
        <v>1790</v>
      </c>
      <c r="AZ274" s="39" t="s">
        <v>500</v>
      </c>
      <c r="BA274" s="39" t="s">
        <v>1903</v>
      </c>
      <c r="BB274" s="39" t="s">
        <v>501</v>
      </c>
      <c r="BC274" s="39" t="s">
        <v>1926</v>
      </c>
      <c r="BD274" s="39" t="b">
        <v>1</v>
      </c>
      <c r="BE274" s="39" t="b">
        <v>1</v>
      </c>
      <c r="BF274" s="39" t="s">
        <v>1786</v>
      </c>
      <c r="BG274" s="39" t="s">
        <v>1785</v>
      </c>
      <c r="BH274" s="39" t="s">
        <v>2468</v>
      </c>
      <c r="BI274" s="39" t="s">
        <v>2469</v>
      </c>
      <c r="BJ274" s="39" t="b">
        <v>1</v>
      </c>
      <c r="BK274" s="39" t="b">
        <v>1</v>
      </c>
      <c r="BN274" s="39">
        <v>0</v>
      </c>
      <c r="BO274" s="39" t="s">
        <v>2803</v>
      </c>
      <c r="BP274" s="39" t="s">
        <v>2810</v>
      </c>
    </row>
    <row r="275" spans="1:68">
      <c r="A275" s="39" t="s">
        <v>20</v>
      </c>
      <c r="B275" s="39" t="s">
        <v>21</v>
      </c>
      <c r="C275" s="39" t="s">
        <v>22</v>
      </c>
      <c r="D275" s="39" t="s">
        <v>498</v>
      </c>
      <c r="E275" s="39" t="s">
        <v>499</v>
      </c>
      <c r="F275" s="39" t="s">
        <v>500</v>
      </c>
      <c r="G275" s="39" t="s">
        <v>501</v>
      </c>
      <c r="H275" s="39" t="s">
        <v>75</v>
      </c>
      <c r="I275" s="39" t="b">
        <v>0</v>
      </c>
      <c r="J275" s="39" t="s">
        <v>75</v>
      </c>
      <c r="K275" s="39" t="b">
        <v>0</v>
      </c>
      <c r="L275" s="39" t="s">
        <v>1792</v>
      </c>
      <c r="M275" s="39" t="s">
        <v>1791</v>
      </c>
      <c r="N275" s="39" t="s">
        <v>2508</v>
      </c>
      <c r="P275" s="39" t="s">
        <v>2543</v>
      </c>
      <c r="R275" s="39" t="s">
        <v>473</v>
      </c>
      <c r="S275" s="39" t="b">
        <f t="shared" si="13"/>
        <v>0</v>
      </c>
      <c r="T275" s="39" t="s">
        <v>500</v>
      </c>
      <c r="U275" s="39" t="b">
        <f t="shared" si="14"/>
        <v>1</v>
      </c>
      <c r="V275" s="39" t="s">
        <v>2564</v>
      </c>
      <c r="W275" s="39" t="s">
        <v>2561</v>
      </c>
      <c r="X275" s="83" t="s">
        <v>1792</v>
      </c>
      <c r="Y275" s="84" t="s">
        <v>1791</v>
      </c>
      <c r="Z275" s="83" t="s">
        <v>2508</v>
      </c>
      <c r="AA275" s="84" t="s">
        <v>2508</v>
      </c>
      <c r="AB275" s="108"/>
      <c r="AC275" s="107"/>
      <c r="AD275" s="84"/>
      <c r="AE275" s="83"/>
      <c r="AF275" s="84"/>
      <c r="AG275" s="83"/>
      <c r="AH275" s="84"/>
      <c r="AI275" s="39" t="s">
        <v>28</v>
      </c>
      <c r="AJ275" s="39" t="s">
        <v>45</v>
      </c>
      <c r="AK275" s="39" t="s">
        <v>1793</v>
      </c>
      <c r="AP275" s="39" t="s">
        <v>1794</v>
      </c>
      <c r="AQ275" s="39" t="s">
        <v>1795</v>
      </c>
      <c r="AR275" s="39" t="s">
        <v>68</v>
      </c>
      <c r="AS275" s="39" t="s">
        <v>32</v>
      </c>
      <c r="AU275" s="44">
        <v>6289602777988</v>
      </c>
      <c r="AX275" s="39" t="s">
        <v>1796</v>
      </c>
      <c r="AZ275" s="39" t="s">
        <v>500</v>
      </c>
      <c r="BA275" s="39" t="s">
        <v>1903</v>
      </c>
      <c r="BB275" s="39" t="s">
        <v>501</v>
      </c>
      <c r="BC275" s="39" t="s">
        <v>1926</v>
      </c>
      <c r="BD275" s="39" t="b">
        <v>1</v>
      </c>
      <c r="BE275" s="39" t="b">
        <v>1</v>
      </c>
      <c r="BF275" s="39" t="s">
        <v>1792</v>
      </c>
      <c r="BG275" s="39" t="s">
        <v>1791</v>
      </c>
      <c r="BH275" s="39" t="s">
        <v>2470</v>
      </c>
      <c r="BI275" s="39" t="s">
        <v>2471</v>
      </c>
      <c r="BJ275" s="39" t="b">
        <v>1</v>
      </c>
      <c r="BK275" s="39" t="b">
        <v>1</v>
      </c>
      <c r="BN275" s="39">
        <v>0</v>
      </c>
      <c r="BO275" s="39" t="s">
        <v>2803</v>
      </c>
      <c r="BP275" s="39" t="s">
        <v>2810</v>
      </c>
    </row>
    <row r="276" spans="1:68">
      <c r="A276" s="39" t="s">
        <v>20</v>
      </c>
      <c r="B276" s="39" t="s">
        <v>21</v>
      </c>
      <c r="C276" s="39" t="s">
        <v>22</v>
      </c>
      <c r="D276" s="39" t="s">
        <v>498</v>
      </c>
      <c r="E276" s="39" t="s">
        <v>499</v>
      </c>
      <c r="F276" s="39" t="s">
        <v>500</v>
      </c>
      <c r="G276" s="39" t="s">
        <v>501</v>
      </c>
      <c r="H276" s="39" t="s">
        <v>75</v>
      </c>
      <c r="I276" s="39" t="b">
        <v>0</v>
      </c>
      <c r="J276" s="39" t="s">
        <v>75</v>
      </c>
      <c r="K276" s="39" t="b">
        <v>0</v>
      </c>
      <c r="L276" s="39" t="s">
        <v>1810</v>
      </c>
      <c r="M276" s="39" t="s">
        <v>1809</v>
      </c>
      <c r="N276" s="39" t="s">
        <v>2508</v>
      </c>
      <c r="P276" s="39" t="s">
        <v>2543</v>
      </c>
      <c r="R276" s="39" t="s">
        <v>445</v>
      </c>
      <c r="S276" s="39" t="b">
        <f t="shared" si="13"/>
        <v>0</v>
      </c>
      <c r="T276" s="39" t="s">
        <v>500</v>
      </c>
      <c r="U276" s="39" t="b">
        <f t="shared" si="14"/>
        <v>1</v>
      </c>
      <c r="V276" s="39" t="s">
        <v>2564</v>
      </c>
      <c r="W276" s="39" t="s">
        <v>2561</v>
      </c>
      <c r="X276" s="83" t="s">
        <v>1810</v>
      </c>
      <c r="Y276" s="84" t="s">
        <v>1809</v>
      </c>
      <c r="Z276" s="83" t="s">
        <v>2508</v>
      </c>
      <c r="AA276" s="84" t="s">
        <v>2508</v>
      </c>
      <c r="AB276" s="108"/>
      <c r="AC276" s="107"/>
      <c r="AD276" s="84"/>
      <c r="AE276" s="83"/>
      <c r="AF276" s="84"/>
      <c r="AG276" s="83"/>
      <c r="AH276" s="84"/>
      <c r="AI276" s="39" t="s">
        <v>28</v>
      </c>
      <c r="AJ276" s="39" t="s">
        <v>45</v>
      </c>
      <c r="AK276" s="39" t="s">
        <v>1811</v>
      </c>
      <c r="AP276" s="39" t="s">
        <v>1812</v>
      </c>
      <c r="AQ276" s="39" t="s">
        <v>1813</v>
      </c>
      <c r="AR276" s="39" t="s">
        <v>68</v>
      </c>
      <c r="AS276" s="39" t="s">
        <v>32</v>
      </c>
      <c r="AU276" s="44">
        <v>6289602777998</v>
      </c>
      <c r="AX276" s="39" t="s">
        <v>1814</v>
      </c>
      <c r="AZ276" s="39" t="s">
        <v>500</v>
      </c>
      <c r="BA276" s="39" t="s">
        <v>1903</v>
      </c>
      <c r="BB276" s="39" t="s">
        <v>501</v>
      </c>
      <c r="BC276" s="39" t="s">
        <v>1926</v>
      </c>
      <c r="BD276" s="39" t="b">
        <v>1</v>
      </c>
      <c r="BE276" s="39" t="b">
        <v>1</v>
      </c>
      <c r="BF276" s="39" t="s">
        <v>1810</v>
      </c>
      <c r="BG276" s="39" t="s">
        <v>1809</v>
      </c>
      <c r="BH276" s="39" t="s">
        <v>2476</v>
      </c>
      <c r="BI276" s="39" t="s">
        <v>2477</v>
      </c>
      <c r="BJ276" s="39" t="b">
        <v>1</v>
      </c>
      <c r="BK276" s="39" t="b">
        <v>1</v>
      </c>
      <c r="BN276" s="39">
        <v>0</v>
      </c>
      <c r="BO276" s="39" t="s">
        <v>2803</v>
      </c>
      <c r="BP276" s="39" t="s">
        <v>2810</v>
      </c>
    </row>
  </sheetData>
  <sortState xmlns:xlrd2="http://schemas.microsoft.com/office/spreadsheetml/2017/richdata2" ref="A5:BK276">
    <sortCondition ref="C5:C276"/>
    <sortCondition ref="D5:D276"/>
    <sortCondition ref="E5:E276"/>
    <sortCondition ref="F5:F276"/>
    <sortCondition ref="L5:L276"/>
  </sortState>
  <mergeCells count="2">
    <mergeCell ref="X1:Y1"/>
    <mergeCell ref="AE1:AF1"/>
  </mergeCells>
  <conditionalFormatting sqref="L4:L185 L187:L213 L215:L276">
    <cfRule type="duplicateValues" dxfId="101" priority="204"/>
  </conditionalFormatting>
  <conditionalFormatting sqref="L186">
    <cfRule type="duplicateValues" dxfId="100" priority="154"/>
  </conditionalFormatting>
  <conditionalFormatting sqref="L187:L213 L2:L185 L215:L1048576">
    <cfRule type="duplicateValues" dxfId="99" priority="197"/>
  </conditionalFormatting>
  <conditionalFormatting sqref="L214">
    <cfRule type="duplicateValues" dxfId="98" priority="152"/>
  </conditionalFormatting>
  <conditionalFormatting sqref="M186">
    <cfRule type="duplicateValues" dxfId="97" priority="153"/>
  </conditionalFormatting>
  <conditionalFormatting sqref="M214">
    <cfRule type="duplicateValues" dxfId="96" priority="151"/>
  </conditionalFormatting>
  <conditionalFormatting sqref="N2:O3 N4 P5:P104 Q13:Q14 Q79 Q100 N129:O132 N134:O139 N141:O144 N146:O148 N151:O177 N181:O184 N187:O192 N194:O196 N199:O199 N201:O213 N215:O215 N217:O217 N219:O220 N239:O241 N243:O247">
    <cfRule type="cellIs" dxfId="95" priority="180" operator="equal">
      <formula>"RE-CREATE"</formula>
    </cfRule>
    <cfRule type="cellIs" dxfId="94" priority="181" operator="equal">
      <formula>"CLOSED"</formula>
    </cfRule>
    <cfRule type="cellIs" dxfId="93" priority="182" operator="equal">
      <formula>"ACTIVE"</formula>
    </cfRule>
  </conditionalFormatting>
  <conditionalFormatting sqref="N5:O117">
    <cfRule type="cellIs" dxfId="92" priority="146" operator="equal">
      <formula>"RE-CREATE"</formula>
    </cfRule>
    <cfRule type="cellIs" dxfId="91" priority="147" operator="equal">
      <formula>"CLOSED"</formula>
    </cfRule>
    <cfRule type="cellIs" dxfId="90" priority="148" operator="equal">
      <formula>"ACTIVE"</formula>
    </cfRule>
  </conditionalFormatting>
  <conditionalFormatting sqref="N222:O237">
    <cfRule type="cellIs" dxfId="89" priority="32" operator="equal">
      <formula>"RE-CREATE"</formula>
    </cfRule>
    <cfRule type="cellIs" dxfId="88" priority="33" operator="equal">
      <formula>"CLOSED"</formula>
    </cfRule>
    <cfRule type="cellIs" dxfId="87" priority="34" operator="equal">
      <formula>"ACTIVE"</formula>
    </cfRule>
  </conditionalFormatting>
  <conditionalFormatting sqref="N249:O1048576">
    <cfRule type="cellIs" dxfId="86" priority="14" operator="equal">
      <formula>"RE-CREATE"</formula>
    </cfRule>
    <cfRule type="cellIs" dxfId="85" priority="15" operator="equal">
      <formula>"CLOSED"</formula>
    </cfRule>
    <cfRule type="cellIs" dxfId="84" priority="16" operator="equal">
      <formula>"ACTIVE"</formula>
    </cfRule>
  </conditionalFormatting>
  <conditionalFormatting sqref="N118:P128">
    <cfRule type="cellIs" dxfId="83" priority="131" operator="equal">
      <formula>"RE-CREATE"</formula>
    </cfRule>
    <cfRule type="cellIs" dxfId="82" priority="132" operator="equal">
      <formula>"CLOSED"</formula>
    </cfRule>
    <cfRule type="cellIs" dxfId="81" priority="133" operator="equal">
      <formula>"ACTIVE"</formula>
    </cfRule>
  </conditionalFormatting>
  <conditionalFormatting sqref="N133:P133">
    <cfRule type="cellIs" dxfId="80" priority="125" operator="equal">
      <formula>"RE-CREATE"</formula>
    </cfRule>
    <cfRule type="cellIs" dxfId="79" priority="126" operator="equal">
      <formula>"CLOSED"</formula>
    </cfRule>
    <cfRule type="cellIs" dxfId="78" priority="127" operator="equal">
      <formula>"ACTIVE"</formula>
    </cfRule>
  </conditionalFormatting>
  <conditionalFormatting sqref="N140:P140">
    <cfRule type="cellIs" dxfId="77" priority="119" operator="equal">
      <formula>"RE-CREATE"</formula>
    </cfRule>
    <cfRule type="cellIs" dxfId="76" priority="120" operator="equal">
      <formula>"CLOSED"</formula>
    </cfRule>
    <cfRule type="cellIs" dxfId="75" priority="121" operator="equal">
      <formula>"ACTIVE"</formula>
    </cfRule>
  </conditionalFormatting>
  <conditionalFormatting sqref="N145:P145">
    <cfRule type="cellIs" dxfId="74" priority="113" operator="equal">
      <formula>"RE-CREATE"</formula>
    </cfRule>
    <cfRule type="cellIs" dxfId="73" priority="114" operator="equal">
      <formula>"CLOSED"</formula>
    </cfRule>
    <cfRule type="cellIs" dxfId="72" priority="115" operator="equal">
      <formula>"ACTIVE"</formula>
    </cfRule>
  </conditionalFormatting>
  <conditionalFormatting sqref="N149:P150">
    <cfRule type="cellIs" dxfId="71" priority="104" operator="equal">
      <formula>"RE-CREATE"</formula>
    </cfRule>
    <cfRule type="cellIs" dxfId="70" priority="105" operator="equal">
      <formula>"CLOSED"</formula>
    </cfRule>
    <cfRule type="cellIs" dxfId="69" priority="106" operator="equal">
      <formula>"ACTIVE"</formula>
    </cfRule>
  </conditionalFormatting>
  <conditionalFormatting sqref="N178:P180">
    <cfRule type="cellIs" dxfId="68" priority="92" operator="equal">
      <formula>"RE-CREATE"</formula>
    </cfRule>
    <cfRule type="cellIs" dxfId="67" priority="93" operator="equal">
      <formula>"CLOSED"</formula>
    </cfRule>
    <cfRule type="cellIs" dxfId="66" priority="94" operator="equal">
      <formula>"ACTIVE"</formula>
    </cfRule>
  </conditionalFormatting>
  <conditionalFormatting sqref="N185:P185">
    <cfRule type="cellIs" dxfId="65" priority="86" operator="equal">
      <formula>"RE-CREATE"</formula>
    </cfRule>
    <cfRule type="cellIs" dxfId="64" priority="87" operator="equal">
      <formula>"CLOSED"</formula>
    </cfRule>
    <cfRule type="cellIs" dxfId="63" priority="88" operator="equal">
      <formula>"ACTIVE"</formula>
    </cfRule>
  </conditionalFormatting>
  <conditionalFormatting sqref="N193:P193">
    <cfRule type="cellIs" dxfId="62" priority="80" operator="equal">
      <formula>"RE-CREATE"</formula>
    </cfRule>
    <cfRule type="cellIs" dxfId="61" priority="81" operator="equal">
      <formula>"CLOSED"</formula>
    </cfRule>
    <cfRule type="cellIs" dxfId="60" priority="82" operator="equal">
      <formula>"ACTIVE"</formula>
    </cfRule>
  </conditionalFormatting>
  <conditionalFormatting sqref="N197:P198">
    <cfRule type="cellIs" dxfId="59" priority="71" operator="equal">
      <formula>"RE-CREATE"</formula>
    </cfRule>
    <cfRule type="cellIs" dxfId="58" priority="72" operator="equal">
      <formula>"CLOSED"</formula>
    </cfRule>
    <cfRule type="cellIs" dxfId="57" priority="73" operator="equal">
      <formula>"ACTIVE"</formula>
    </cfRule>
  </conditionalFormatting>
  <conditionalFormatting sqref="N200:P200">
    <cfRule type="cellIs" dxfId="56" priority="65" operator="equal">
      <formula>"RE-CREATE"</formula>
    </cfRule>
    <cfRule type="cellIs" dxfId="55" priority="66" operator="equal">
      <formula>"CLOSED"</formula>
    </cfRule>
    <cfRule type="cellIs" dxfId="54" priority="67" operator="equal">
      <formula>"ACTIVE"</formula>
    </cfRule>
  </conditionalFormatting>
  <conditionalFormatting sqref="N216:P216">
    <cfRule type="cellIs" dxfId="53" priority="59" operator="equal">
      <formula>"RE-CREATE"</formula>
    </cfRule>
    <cfRule type="cellIs" dxfId="52" priority="60" operator="equal">
      <formula>"CLOSED"</formula>
    </cfRule>
    <cfRule type="cellIs" dxfId="51" priority="61" operator="equal">
      <formula>"ACTIVE"</formula>
    </cfRule>
  </conditionalFormatting>
  <conditionalFormatting sqref="N218:P218">
    <cfRule type="cellIs" dxfId="50" priority="53" operator="equal">
      <formula>"RE-CREATE"</formula>
    </cfRule>
    <cfRule type="cellIs" dxfId="49" priority="54" operator="equal">
      <formula>"CLOSED"</formula>
    </cfRule>
    <cfRule type="cellIs" dxfId="48" priority="55" operator="equal">
      <formula>"ACTIVE"</formula>
    </cfRule>
  </conditionalFormatting>
  <conditionalFormatting sqref="N221:P221">
    <cfRule type="cellIs" dxfId="47" priority="47" operator="equal">
      <formula>"RE-CREATE"</formula>
    </cfRule>
    <cfRule type="cellIs" dxfId="46" priority="48" operator="equal">
      <formula>"CLOSED"</formula>
    </cfRule>
    <cfRule type="cellIs" dxfId="45" priority="49" operator="equal">
      <formula>"ACTIVE"</formula>
    </cfRule>
  </conditionalFormatting>
  <conditionalFormatting sqref="N238:P238">
    <cfRule type="cellIs" dxfId="44" priority="23" operator="equal">
      <formula>"RE-CREATE"</formula>
    </cfRule>
    <cfRule type="cellIs" dxfId="43" priority="24" operator="equal">
      <formula>"CLOSED"</formula>
    </cfRule>
    <cfRule type="cellIs" dxfId="42" priority="25" operator="equal">
      <formula>"ACTIVE"</formula>
    </cfRule>
  </conditionalFormatting>
  <conditionalFormatting sqref="N242:P242">
    <cfRule type="cellIs" dxfId="41" priority="11" operator="equal">
      <formula>"RE-CREATE"</formula>
    </cfRule>
    <cfRule type="cellIs" dxfId="40" priority="12" operator="equal">
      <formula>"CLOSED"</formula>
    </cfRule>
    <cfRule type="cellIs" dxfId="39" priority="13" operator="equal">
      <formula>"ACTIVE"</formula>
    </cfRule>
  </conditionalFormatting>
  <conditionalFormatting sqref="N248:P248">
    <cfRule type="cellIs" dxfId="38" priority="8" operator="equal">
      <formula>"RE-CREATE"</formula>
    </cfRule>
    <cfRule type="cellIs" dxfId="37" priority="9" operator="equal">
      <formula>"CLOSED"</formula>
    </cfRule>
    <cfRule type="cellIs" dxfId="36" priority="10" operator="equal">
      <formula>"ACTIVE"</formula>
    </cfRule>
  </conditionalFormatting>
  <conditionalFormatting sqref="P106:P111">
    <cfRule type="cellIs" dxfId="35" priority="177" operator="equal">
      <formula>"RE-CREATE"</formula>
    </cfRule>
    <cfRule type="cellIs" dxfId="34" priority="178" operator="equal">
      <formula>"CLOSED"</formula>
    </cfRule>
    <cfRule type="cellIs" dxfId="33" priority="179" operator="equal">
      <formula>"ACTIVE"</formula>
    </cfRule>
  </conditionalFormatting>
  <conditionalFormatting sqref="P113:P116">
    <cfRule type="cellIs" dxfId="32" priority="174" operator="equal">
      <formula>"RE-CREATE"</formula>
    </cfRule>
    <cfRule type="cellIs" dxfId="31" priority="175" operator="equal">
      <formula>"CLOSED"</formula>
    </cfRule>
    <cfRule type="cellIs" dxfId="30" priority="176" operator="equal">
      <formula>"ACTIVE"</formula>
    </cfRule>
  </conditionalFormatting>
  <conditionalFormatting sqref="P142">
    <cfRule type="cellIs" dxfId="29" priority="5" operator="equal">
      <formula>"RE-CREATE"</formula>
    </cfRule>
    <cfRule type="cellIs" dxfId="28" priority="6" operator="equal">
      <formula>"CLOSED"</formula>
    </cfRule>
    <cfRule type="cellIs" dxfId="27" priority="7" operator="equal">
      <formula>"ACTIVE"</formula>
    </cfRule>
  </conditionalFormatting>
  <conditionalFormatting sqref="P165">
    <cfRule type="cellIs" dxfId="26" priority="2" operator="equal">
      <formula>"RE-CREATE"</formula>
    </cfRule>
    <cfRule type="cellIs" dxfId="25" priority="3" operator="equal">
      <formula>"CLOSED"</formula>
    </cfRule>
    <cfRule type="cellIs" dxfId="24" priority="4" operator="equal">
      <formula>"ACTIVE"</formula>
    </cfRule>
  </conditionalFormatting>
  <conditionalFormatting sqref="P223">
    <cfRule type="cellIs" dxfId="23" priority="44" operator="equal">
      <formula>"RE-CREATE"</formula>
    </cfRule>
    <cfRule type="cellIs" dxfId="22" priority="45" operator="equal">
      <formula>"CLOSED"</formula>
    </cfRule>
    <cfRule type="cellIs" dxfId="21" priority="46" operator="equal">
      <formula>"ACTIVE"</formula>
    </cfRule>
  </conditionalFormatting>
  <conditionalFormatting sqref="P225">
    <cfRule type="cellIs" dxfId="20" priority="38" operator="equal">
      <formula>"RE-CREATE"</formula>
    </cfRule>
    <cfRule type="cellIs" dxfId="19" priority="39" operator="equal">
      <formula>"CLOSED"</formula>
    </cfRule>
    <cfRule type="cellIs" dxfId="18" priority="40" operator="equal">
      <formula>"ACTIVE"</formula>
    </cfRule>
  </conditionalFormatting>
  <conditionalFormatting sqref="P236">
    <cfRule type="cellIs" dxfId="17" priority="29" operator="equal">
      <formula>"RE-CREATE"</formula>
    </cfRule>
    <cfRule type="cellIs" dxfId="16" priority="30" operator="equal">
      <formula>"CLOSED"</formula>
    </cfRule>
    <cfRule type="cellIs" dxfId="15" priority="31" operator="equal">
      <formula>"ACTIVE"</formula>
    </cfRule>
  </conditionalFormatting>
  <conditionalFormatting sqref="Z5:AD276">
    <cfRule type="cellIs" dxfId="14" priority="1" operator="equal">
      <formula>"ACTIVE"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B08A-26DB-4A90-85B3-6EEAE487020A}">
  <dimension ref="A1:AP38"/>
  <sheetViews>
    <sheetView workbookViewId="0">
      <selection activeCell="K28" sqref="K28"/>
    </sheetView>
  </sheetViews>
  <sheetFormatPr defaultRowHeight="14"/>
  <cols>
    <col min="1" max="1" width="21.4140625" bestFit="1" customWidth="1"/>
    <col min="2" max="2" width="19.1640625" hidden="1" customWidth="1"/>
    <col min="3" max="3" width="5.4140625" hidden="1" customWidth="1"/>
    <col min="4" max="5" width="16.4140625" customWidth="1"/>
    <col min="6" max="6" width="15.58203125" bestFit="1" customWidth="1"/>
    <col min="7" max="9" width="15.58203125" customWidth="1"/>
    <col min="10" max="10" width="16.75" bestFit="1" customWidth="1"/>
    <col min="11" max="11" width="29" bestFit="1" customWidth="1"/>
    <col min="12" max="12" width="14.83203125" bestFit="1" customWidth="1"/>
    <col min="13" max="13" width="11.75" bestFit="1" customWidth="1"/>
    <col min="14" max="14" width="7.1640625" bestFit="1" customWidth="1"/>
    <col min="15" max="16" width="15.58203125" bestFit="1" customWidth="1"/>
    <col min="17" max="17" width="9.58203125" bestFit="1" customWidth="1"/>
    <col min="18" max="18" width="11.1640625" bestFit="1" customWidth="1"/>
    <col min="19" max="19" width="13.1640625" bestFit="1" customWidth="1"/>
    <col min="20" max="20" width="11" bestFit="1" customWidth="1"/>
    <col min="21" max="21" width="23.75" bestFit="1" customWidth="1"/>
    <col min="22" max="22" width="9" bestFit="1" customWidth="1"/>
    <col min="23" max="23" width="21.58203125" bestFit="1" customWidth="1"/>
    <col min="24" max="24" width="19.83203125" bestFit="1" customWidth="1"/>
    <col min="25" max="25" width="11.75" bestFit="1" customWidth="1"/>
    <col min="26" max="26" width="16.25" bestFit="1" customWidth="1"/>
    <col min="27" max="27" width="13.4140625" bestFit="1" customWidth="1"/>
    <col min="28" max="28" width="17.58203125" bestFit="1" customWidth="1"/>
    <col min="29" max="29" width="16.83203125" bestFit="1" customWidth="1"/>
    <col min="30" max="30" width="7.4140625" bestFit="1" customWidth="1"/>
    <col min="31" max="31" width="10" bestFit="1" customWidth="1"/>
    <col min="32" max="32" width="5" bestFit="1" customWidth="1"/>
    <col min="33" max="33" width="8.75" bestFit="1" customWidth="1"/>
    <col min="34" max="34" width="18.75" bestFit="1" customWidth="1"/>
    <col min="35" max="35" width="21" bestFit="1" customWidth="1"/>
    <col min="36" max="36" width="14" bestFit="1" customWidth="1"/>
    <col min="37" max="37" width="9" bestFit="1" customWidth="1"/>
    <col min="38" max="38" width="7.25" bestFit="1" customWidth="1"/>
    <col min="39" max="39" width="8.83203125" bestFit="1" customWidth="1"/>
    <col min="40" max="40" width="9.83203125" bestFit="1" customWidth="1"/>
    <col min="41" max="41" width="13.1640625" bestFit="1" customWidth="1"/>
    <col min="42" max="42" width="14.1640625" bestFit="1" customWidth="1"/>
  </cols>
  <sheetData>
    <row r="1" spans="1:42">
      <c r="A1" t="s">
        <v>2619</v>
      </c>
      <c r="B1" t="s">
        <v>2620</v>
      </c>
      <c r="C1" t="s">
        <v>2621</v>
      </c>
      <c r="D1" t="s">
        <v>2748</v>
      </c>
      <c r="E1" t="s">
        <v>2749</v>
      </c>
      <c r="F1" t="s">
        <v>2737</v>
      </c>
      <c r="G1" t="s">
        <v>2736</v>
      </c>
      <c r="H1" t="s">
        <v>2745</v>
      </c>
      <c r="I1" t="s">
        <v>2746</v>
      </c>
      <c r="J1" t="s">
        <v>2747</v>
      </c>
      <c r="K1" t="s">
        <v>2623</v>
      </c>
      <c r="L1" t="s">
        <v>2624</v>
      </c>
      <c r="M1" t="s">
        <v>17</v>
      </c>
      <c r="N1" s="78" t="s">
        <v>2517</v>
      </c>
      <c r="O1" t="s">
        <v>2625</v>
      </c>
      <c r="P1" s="78" t="s">
        <v>2626</v>
      </c>
      <c r="Q1" t="s">
        <v>2627</v>
      </c>
      <c r="R1" s="78" t="s">
        <v>2628</v>
      </c>
      <c r="S1" t="s">
        <v>2629</v>
      </c>
      <c r="T1" t="s">
        <v>2630</v>
      </c>
      <c r="U1" t="s">
        <v>2631</v>
      </c>
      <c r="V1" t="s">
        <v>2632</v>
      </c>
      <c r="W1" s="78" t="s">
        <v>2633</v>
      </c>
      <c r="X1" t="s">
        <v>2634</v>
      </c>
      <c r="Y1" t="s">
        <v>2635</v>
      </c>
      <c r="Z1" t="s">
        <v>2636</v>
      </c>
      <c r="AA1" t="s">
        <v>2637</v>
      </c>
      <c r="AB1" t="s">
        <v>2638</v>
      </c>
      <c r="AC1" t="s">
        <v>2639</v>
      </c>
      <c r="AD1" t="s">
        <v>2640</v>
      </c>
      <c r="AE1" t="s">
        <v>2641</v>
      </c>
      <c r="AF1" t="s">
        <v>2642</v>
      </c>
      <c r="AG1" t="s">
        <v>2643</v>
      </c>
      <c r="AH1" t="s">
        <v>2644</v>
      </c>
      <c r="AI1" t="s">
        <v>2645</v>
      </c>
      <c r="AJ1" t="s">
        <v>2646</v>
      </c>
      <c r="AK1" t="s">
        <v>2647</v>
      </c>
      <c r="AL1" t="s">
        <v>2648</v>
      </c>
      <c r="AM1" t="s">
        <v>2649</v>
      </c>
      <c r="AN1" t="s">
        <v>2650</v>
      </c>
      <c r="AO1" t="s">
        <v>2651</v>
      </c>
      <c r="AP1" t="s">
        <v>2652</v>
      </c>
    </row>
    <row r="2" spans="1:42" ht="16">
      <c r="A2" s="79" t="s">
        <v>83</v>
      </c>
      <c r="B2" t="s">
        <v>5</v>
      </c>
      <c r="C2" t="s">
        <v>2653</v>
      </c>
      <c r="D2" t="s">
        <v>84</v>
      </c>
      <c r="E2" t="s">
        <v>85</v>
      </c>
      <c r="F2" s="86" t="s">
        <v>2581</v>
      </c>
      <c r="G2" s="86" t="s">
        <v>2604</v>
      </c>
      <c r="H2" s="92" t="b">
        <v>0</v>
      </c>
      <c r="I2" s="92" t="b">
        <v>0</v>
      </c>
      <c r="J2" s="86" t="s">
        <v>2743</v>
      </c>
      <c r="K2" s="79" t="s">
        <v>236</v>
      </c>
      <c r="L2" s="80">
        <v>62318000041</v>
      </c>
      <c r="M2" t="s">
        <v>2654</v>
      </c>
      <c r="N2">
        <v>20000</v>
      </c>
      <c r="O2" t="s">
        <v>2581</v>
      </c>
      <c r="P2" s="78" t="s">
        <v>2655</v>
      </c>
      <c r="Q2" t="s">
        <v>2656</v>
      </c>
      <c r="R2" s="78" t="s">
        <v>2657</v>
      </c>
      <c r="S2" s="79" t="s">
        <v>237</v>
      </c>
      <c r="T2" t="s">
        <v>2658</v>
      </c>
      <c r="U2" t="s">
        <v>2659</v>
      </c>
      <c r="V2" t="s">
        <v>2660</v>
      </c>
      <c r="W2" s="78" t="s">
        <v>2661</v>
      </c>
      <c r="X2" t="s">
        <v>2662</v>
      </c>
      <c r="Y2" t="s">
        <v>2654</v>
      </c>
      <c r="Z2" s="44">
        <v>6285777258258</v>
      </c>
      <c r="AA2" s="39" t="s">
        <v>84</v>
      </c>
      <c r="AB2" t="s">
        <v>2663</v>
      </c>
      <c r="AC2">
        <v>110003</v>
      </c>
      <c r="AD2" t="s">
        <v>2664</v>
      </c>
      <c r="AE2" t="s">
        <v>2665</v>
      </c>
      <c r="AF2" t="s">
        <v>2666</v>
      </c>
      <c r="AG2" t="s">
        <v>2667</v>
      </c>
      <c r="AH2" t="s">
        <v>2668</v>
      </c>
    </row>
    <row r="3" spans="1:42" ht="16">
      <c r="A3" s="79" t="s">
        <v>24</v>
      </c>
      <c r="B3" t="s">
        <v>5</v>
      </c>
      <c r="C3" t="s">
        <v>2653</v>
      </c>
      <c r="D3" t="s">
        <v>444</v>
      </c>
      <c r="E3" t="s">
        <v>445</v>
      </c>
      <c r="F3" s="86" t="s">
        <v>2582</v>
      </c>
      <c r="G3" s="86" t="s">
        <v>2605</v>
      </c>
      <c r="H3" s="92" t="b">
        <v>0</v>
      </c>
      <c r="I3" s="92" t="b">
        <v>0</v>
      </c>
      <c r="J3" s="86" t="s">
        <v>2743</v>
      </c>
      <c r="K3" s="79" t="s">
        <v>448</v>
      </c>
      <c r="L3" s="80">
        <v>62318000042</v>
      </c>
      <c r="M3" t="s">
        <v>2654</v>
      </c>
      <c r="N3">
        <v>20000</v>
      </c>
      <c r="O3" t="s">
        <v>2582</v>
      </c>
      <c r="P3" s="78" t="s">
        <v>2655</v>
      </c>
      <c r="Q3" t="s">
        <v>2656</v>
      </c>
      <c r="R3" s="78" t="s">
        <v>2657</v>
      </c>
      <c r="S3" s="79" t="s">
        <v>2669</v>
      </c>
      <c r="T3" t="s">
        <v>2670</v>
      </c>
      <c r="U3" t="s">
        <v>2659</v>
      </c>
      <c r="V3" t="s">
        <v>2660</v>
      </c>
      <c r="W3" s="78" t="s">
        <v>2661</v>
      </c>
      <c r="X3" t="s">
        <v>2662</v>
      </c>
      <c r="Y3" t="s">
        <v>2654</v>
      </c>
      <c r="Z3" s="44">
        <v>6285710444484</v>
      </c>
      <c r="AA3" s="39" t="s">
        <v>444</v>
      </c>
      <c r="AB3" t="s">
        <v>2663</v>
      </c>
      <c r="AC3">
        <v>109332</v>
      </c>
      <c r="AD3" t="s">
        <v>2664</v>
      </c>
      <c r="AE3" t="s">
        <v>2665</v>
      </c>
      <c r="AF3" t="s">
        <v>2666</v>
      </c>
      <c r="AG3" t="s">
        <v>2667</v>
      </c>
      <c r="AH3" s="39" t="s">
        <v>450</v>
      </c>
    </row>
    <row r="4" spans="1:42" ht="16">
      <c r="A4" s="79" t="s">
        <v>24</v>
      </c>
      <c r="B4" t="s">
        <v>5</v>
      </c>
      <c r="C4" t="s">
        <v>2653</v>
      </c>
      <c r="D4" t="s">
        <v>444</v>
      </c>
      <c r="E4" t="s">
        <v>445</v>
      </c>
      <c r="F4" s="86" t="s">
        <v>2583</v>
      </c>
      <c r="G4" s="86" t="s">
        <v>2606</v>
      </c>
      <c r="H4" s="92" t="b">
        <v>0</v>
      </c>
      <c r="I4" s="92" t="b">
        <v>0</v>
      </c>
      <c r="J4" s="86" t="s">
        <v>2743</v>
      </c>
      <c r="K4" s="79" t="s">
        <v>454</v>
      </c>
      <c r="L4" s="80">
        <v>62318000043</v>
      </c>
      <c r="M4" t="s">
        <v>2654</v>
      </c>
      <c r="N4">
        <v>20000</v>
      </c>
      <c r="O4" t="s">
        <v>2583</v>
      </c>
      <c r="P4" s="78" t="s">
        <v>2655</v>
      </c>
      <c r="Q4" t="s">
        <v>2656</v>
      </c>
      <c r="R4" s="78" t="s">
        <v>2657</v>
      </c>
      <c r="S4" s="79" t="s">
        <v>2671</v>
      </c>
      <c r="T4" t="s">
        <v>2672</v>
      </c>
      <c r="U4" t="s">
        <v>2659</v>
      </c>
      <c r="V4" t="s">
        <v>2660</v>
      </c>
      <c r="W4" s="78" t="s">
        <v>2661</v>
      </c>
      <c r="X4" t="s">
        <v>2662</v>
      </c>
      <c r="Y4" t="s">
        <v>2654</v>
      </c>
      <c r="Z4" s="44">
        <v>6285695423326</v>
      </c>
      <c r="AA4" s="39" t="s">
        <v>444</v>
      </c>
      <c r="AB4" t="s">
        <v>2663</v>
      </c>
      <c r="AC4">
        <v>109332</v>
      </c>
      <c r="AD4" t="s">
        <v>2664</v>
      </c>
      <c r="AE4" t="s">
        <v>2665</v>
      </c>
      <c r="AF4" t="s">
        <v>2666</v>
      </c>
      <c r="AG4" t="s">
        <v>2667</v>
      </c>
      <c r="AH4" s="39" t="s">
        <v>456</v>
      </c>
    </row>
    <row r="5" spans="1:42" ht="16">
      <c r="A5" s="79" t="s">
        <v>24</v>
      </c>
      <c r="B5" t="s">
        <v>5</v>
      </c>
      <c r="C5" t="s">
        <v>2653</v>
      </c>
      <c r="D5" t="s">
        <v>444</v>
      </c>
      <c r="E5" t="s">
        <v>445</v>
      </c>
      <c r="F5" s="86" t="s">
        <v>2584</v>
      </c>
      <c r="G5" s="86" t="s">
        <v>2607</v>
      </c>
      <c r="H5" s="92" t="b">
        <v>0</v>
      </c>
      <c r="I5" s="92" t="b">
        <v>0</v>
      </c>
      <c r="J5" s="86" t="s">
        <v>2743</v>
      </c>
      <c r="K5" s="79" t="s">
        <v>460</v>
      </c>
      <c r="L5" s="80">
        <v>62318000044</v>
      </c>
      <c r="M5" t="s">
        <v>2654</v>
      </c>
      <c r="N5">
        <v>20000</v>
      </c>
      <c r="O5" t="s">
        <v>2584</v>
      </c>
      <c r="P5" s="78" t="s">
        <v>2655</v>
      </c>
      <c r="Q5" t="s">
        <v>2656</v>
      </c>
      <c r="R5" s="78" t="s">
        <v>2657</v>
      </c>
      <c r="S5" s="79" t="s">
        <v>460</v>
      </c>
      <c r="T5" s="79" t="s">
        <v>460</v>
      </c>
      <c r="U5" t="s">
        <v>2659</v>
      </c>
      <c r="V5" t="s">
        <v>2660</v>
      </c>
      <c r="W5" s="78" t="s">
        <v>2661</v>
      </c>
      <c r="X5" t="s">
        <v>2662</v>
      </c>
      <c r="Y5" t="s">
        <v>2654</v>
      </c>
      <c r="Z5" s="44">
        <v>6285772094247</v>
      </c>
      <c r="AA5" s="39" t="s">
        <v>444</v>
      </c>
      <c r="AB5" t="s">
        <v>2663</v>
      </c>
      <c r="AC5">
        <v>109332</v>
      </c>
      <c r="AD5" t="s">
        <v>2664</v>
      </c>
      <c r="AE5" t="s">
        <v>2665</v>
      </c>
      <c r="AF5" t="s">
        <v>2666</v>
      </c>
      <c r="AG5" t="s">
        <v>2667</v>
      </c>
      <c r="AH5" s="39" t="s">
        <v>462</v>
      </c>
    </row>
    <row r="6" spans="1:42" ht="16">
      <c r="A6" s="79" t="s">
        <v>24</v>
      </c>
      <c r="B6" t="s">
        <v>5</v>
      </c>
      <c r="C6" t="s">
        <v>2653</v>
      </c>
      <c r="D6" t="s">
        <v>444</v>
      </c>
      <c r="E6" t="s">
        <v>445</v>
      </c>
      <c r="F6" s="86" t="s">
        <v>2585</v>
      </c>
      <c r="G6" s="86" t="s">
        <v>2608</v>
      </c>
      <c r="H6" s="92" t="b">
        <v>0</v>
      </c>
      <c r="I6" s="92" t="b">
        <v>0</v>
      </c>
      <c r="J6" s="86" t="s">
        <v>2743</v>
      </c>
      <c r="K6" s="79" t="s">
        <v>466</v>
      </c>
      <c r="L6" s="80">
        <v>62318000045</v>
      </c>
      <c r="M6" t="s">
        <v>2654</v>
      </c>
      <c r="N6">
        <v>20000</v>
      </c>
      <c r="O6" t="s">
        <v>2585</v>
      </c>
      <c r="P6" s="78" t="s">
        <v>2655</v>
      </c>
      <c r="Q6" t="s">
        <v>2656</v>
      </c>
      <c r="R6" s="78" t="s">
        <v>2657</v>
      </c>
      <c r="S6" s="79" t="s">
        <v>2673</v>
      </c>
      <c r="T6" t="s">
        <v>2674</v>
      </c>
      <c r="U6" t="s">
        <v>2659</v>
      </c>
      <c r="V6" t="s">
        <v>2660</v>
      </c>
      <c r="W6" s="78" t="s">
        <v>2661</v>
      </c>
      <c r="X6" t="s">
        <v>2662</v>
      </c>
      <c r="Y6" t="s">
        <v>2654</v>
      </c>
      <c r="Z6" s="44">
        <v>6281412127890</v>
      </c>
      <c r="AA6" s="39" t="s">
        <v>444</v>
      </c>
      <c r="AB6" t="s">
        <v>2663</v>
      </c>
      <c r="AC6">
        <v>109332</v>
      </c>
      <c r="AD6" t="s">
        <v>2664</v>
      </c>
      <c r="AE6" t="s">
        <v>2665</v>
      </c>
      <c r="AF6" t="s">
        <v>2666</v>
      </c>
      <c r="AG6" t="s">
        <v>2667</v>
      </c>
      <c r="AH6" s="39" t="s">
        <v>468</v>
      </c>
    </row>
    <row r="7" spans="1:42" ht="16">
      <c r="A7" s="79" t="s">
        <v>471</v>
      </c>
      <c r="B7" t="s">
        <v>5</v>
      </c>
      <c r="C7" t="s">
        <v>2653</v>
      </c>
      <c r="D7" t="s">
        <v>472</v>
      </c>
      <c r="E7" t="s">
        <v>473</v>
      </c>
      <c r="F7" s="86" t="s">
        <v>2586</v>
      </c>
      <c r="G7" s="86" t="s">
        <v>2609</v>
      </c>
      <c r="H7" s="92" t="b">
        <v>0</v>
      </c>
      <c r="I7" s="92" t="b">
        <v>0</v>
      </c>
      <c r="J7" s="86" t="s">
        <v>2743</v>
      </c>
      <c r="K7" s="79" t="s">
        <v>476</v>
      </c>
      <c r="L7" s="80">
        <v>62318000046</v>
      </c>
      <c r="M7" t="s">
        <v>2654</v>
      </c>
      <c r="N7">
        <v>20000</v>
      </c>
      <c r="O7" t="s">
        <v>2586</v>
      </c>
      <c r="P7" s="78" t="s">
        <v>2655</v>
      </c>
      <c r="Q7" t="s">
        <v>2656</v>
      </c>
      <c r="R7" s="78" t="s">
        <v>2657</v>
      </c>
      <c r="S7" s="79" t="s">
        <v>2675</v>
      </c>
      <c r="T7" t="s">
        <v>2676</v>
      </c>
      <c r="U7" t="s">
        <v>2659</v>
      </c>
      <c r="V7" t="s">
        <v>2660</v>
      </c>
      <c r="W7" s="78" t="s">
        <v>2661</v>
      </c>
      <c r="X7" t="s">
        <v>2662</v>
      </c>
      <c r="Y7" t="s">
        <v>2654</v>
      </c>
      <c r="Z7" s="44">
        <v>6285819325199</v>
      </c>
      <c r="AA7" s="39" t="s">
        <v>472</v>
      </c>
      <c r="AB7" t="s">
        <v>2663</v>
      </c>
      <c r="AC7">
        <v>109335</v>
      </c>
      <c r="AD7" t="s">
        <v>2664</v>
      </c>
      <c r="AE7" t="s">
        <v>2665</v>
      </c>
      <c r="AF7" t="s">
        <v>2666</v>
      </c>
      <c r="AG7" t="s">
        <v>2667</v>
      </c>
      <c r="AH7" s="39" t="s">
        <v>478</v>
      </c>
    </row>
    <row r="8" spans="1:42" ht="16">
      <c r="A8" s="79" t="s">
        <v>471</v>
      </c>
      <c r="B8" t="s">
        <v>5</v>
      </c>
      <c r="C8" t="s">
        <v>2653</v>
      </c>
      <c r="D8" t="s">
        <v>472</v>
      </c>
      <c r="E8" t="s">
        <v>473</v>
      </c>
      <c r="F8" s="86" t="s">
        <v>2587</v>
      </c>
      <c r="G8" s="86" t="s">
        <v>2610</v>
      </c>
      <c r="H8" s="92" t="b">
        <v>0</v>
      </c>
      <c r="I8" s="92" t="b">
        <v>0</v>
      </c>
      <c r="J8" s="86" t="s">
        <v>2743</v>
      </c>
      <c r="K8" s="79" t="s">
        <v>488</v>
      </c>
      <c r="L8" s="80">
        <v>62318000047</v>
      </c>
      <c r="M8" t="s">
        <v>2654</v>
      </c>
      <c r="N8">
        <v>20000</v>
      </c>
      <c r="O8" t="s">
        <v>2587</v>
      </c>
      <c r="P8" s="78" t="s">
        <v>2655</v>
      </c>
      <c r="Q8" t="s">
        <v>2656</v>
      </c>
      <c r="R8" s="78" t="s">
        <v>2657</v>
      </c>
      <c r="S8" s="79" t="s">
        <v>2677</v>
      </c>
      <c r="T8" t="s">
        <v>2678</v>
      </c>
      <c r="U8" t="s">
        <v>2659</v>
      </c>
      <c r="V8" t="s">
        <v>2660</v>
      </c>
      <c r="W8" s="78" t="s">
        <v>2661</v>
      </c>
      <c r="X8" t="s">
        <v>2662</v>
      </c>
      <c r="Y8" t="s">
        <v>2654</v>
      </c>
      <c r="Z8" s="44">
        <v>6281412128935</v>
      </c>
      <c r="AA8" s="39" t="s">
        <v>472</v>
      </c>
      <c r="AB8" t="s">
        <v>2663</v>
      </c>
      <c r="AC8">
        <v>109335</v>
      </c>
      <c r="AD8" t="s">
        <v>2664</v>
      </c>
      <c r="AE8" t="s">
        <v>2665</v>
      </c>
      <c r="AF8" t="s">
        <v>2666</v>
      </c>
      <c r="AG8" t="s">
        <v>2667</v>
      </c>
      <c r="AH8" s="39" t="s">
        <v>490</v>
      </c>
    </row>
    <row r="9" spans="1:42" ht="16">
      <c r="A9" s="79" t="s">
        <v>703</v>
      </c>
      <c r="B9" t="s">
        <v>5</v>
      </c>
      <c r="C9" t="s">
        <v>2653</v>
      </c>
      <c r="D9" t="s">
        <v>704</v>
      </c>
      <c r="E9" t="s">
        <v>705</v>
      </c>
      <c r="F9" s="86" t="s">
        <v>2569</v>
      </c>
      <c r="G9" s="86" t="s">
        <v>2592</v>
      </c>
      <c r="H9" s="92" t="b">
        <v>0</v>
      </c>
      <c r="I9" s="92" t="b">
        <v>0</v>
      </c>
      <c r="J9" s="86" t="s">
        <v>2743</v>
      </c>
      <c r="K9" s="79" t="s">
        <v>732</v>
      </c>
      <c r="L9" s="80">
        <v>62318000048</v>
      </c>
      <c r="M9" t="s">
        <v>2654</v>
      </c>
      <c r="N9">
        <v>20000</v>
      </c>
      <c r="O9" t="s">
        <v>2569</v>
      </c>
      <c r="P9" s="78" t="s">
        <v>2655</v>
      </c>
      <c r="Q9" t="s">
        <v>2656</v>
      </c>
      <c r="R9" s="78" t="s">
        <v>2657</v>
      </c>
      <c r="S9" s="79" t="s">
        <v>2679</v>
      </c>
      <c r="T9" t="s">
        <v>2680</v>
      </c>
      <c r="U9" t="s">
        <v>2659</v>
      </c>
      <c r="V9" t="s">
        <v>2660</v>
      </c>
      <c r="W9" s="78" t="s">
        <v>2661</v>
      </c>
      <c r="X9" t="s">
        <v>2662</v>
      </c>
      <c r="Y9" t="s">
        <v>2654</v>
      </c>
      <c r="Z9" s="44">
        <v>6285779999546</v>
      </c>
      <c r="AA9" s="39" t="s">
        <v>704</v>
      </c>
      <c r="AB9" t="s">
        <v>2663</v>
      </c>
      <c r="AC9">
        <v>120985</v>
      </c>
      <c r="AD9" t="s">
        <v>2664</v>
      </c>
      <c r="AE9" t="s">
        <v>2665</v>
      </c>
      <c r="AF9" t="s">
        <v>2666</v>
      </c>
      <c r="AG9" t="s">
        <v>2667</v>
      </c>
      <c r="AH9" s="39" t="s">
        <v>734</v>
      </c>
    </row>
    <row r="10" spans="1:42" ht="16">
      <c r="A10" s="79" t="s">
        <v>703</v>
      </c>
      <c r="B10" t="s">
        <v>5</v>
      </c>
      <c r="C10" t="s">
        <v>2653</v>
      </c>
      <c r="D10" t="s">
        <v>704</v>
      </c>
      <c r="E10" t="s">
        <v>705</v>
      </c>
      <c r="F10" s="86" t="s">
        <v>2568</v>
      </c>
      <c r="G10" s="86" t="s">
        <v>2591</v>
      </c>
      <c r="H10" s="92" t="b">
        <v>0</v>
      </c>
      <c r="I10" s="92" t="b">
        <v>0</v>
      </c>
      <c r="J10" s="86" t="s">
        <v>2743</v>
      </c>
      <c r="K10" s="79" t="s">
        <v>773</v>
      </c>
      <c r="L10" s="80">
        <v>62318000049</v>
      </c>
      <c r="M10" t="s">
        <v>2654</v>
      </c>
      <c r="N10">
        <v>20000</v>
      </c>
      <c r="O10" t="s">
        <v>2568</v>
      </c>
      <c r="P10" s="78" t="s">
        <v>2655</v>
      </c>
      <c r="Q10" t="s">
        <v>2656</v>
      </c>
      <c r="R10" s="78" t="s">
        <v>2657</v>
      </c>
      <c r="S10" s="79" t="s">
        <v>773</v>
      </c>
      <c r="T10" s="79" t="s">
        <v>773</v>
      </c>
      <c r="U10" t="s">
        <v>2659</v>
      </c>
      <c r="V10" t="s">
        <v>2660</v>
      </c>
      <c r="W10" s="78" t="s">
        <v>2661</v>
      </c>
      <c r="X10" t="s">
        <v>2662</v>
      </c>
      <c r="Y10" t="s">
        <v>2654</v>
      </c>
      <c r="Z10" s="44">
        <v>6289507348390</v>
      </c>
      <c r="AA10" s="39" t="s">
        <v>704</v>
      </c>
      <c r="AB10" t="s">
        <v>2663</v>
      </c>
      <c r="AC10">
        <v>120985</v>
      </c>
      <c r="AD10" t="s">
        <v>2664</v>
      </c>
      <c r="AE10" t="s">
        <v>2665</v>
      </c>
      <c r="AF10" t="s">
        <v>2666</v>
      </c>
      <c r="AG10" t="s">
        <v>2667</v>
      </c>
      <c r="AH10" s="39" t="s">
        <v>775</v>
      </c>
    </row>
    <row r="11" spans="1:42" ht="16">
      <c r="A11" s="79" t="s">
        <v>807</v>
      </c>
      <c r="B11" t="s">
        <v>5</v>
      </c>
      <c r="C11" t="s">
        <v>2653</v>
      </c>
      <c r="D11" t="s">
        <v>808</v>
      </c>
      <c r="E11" t="s">
        <v>809</v>
      </c>
      <c r="F11" s="86" t="s">
        <v>2575</v>
      </c>
      <c r="G11" s="86" t="s">
        <v>2598</v>
      </c>
      <c r="H11" s="92" t="b">
        <v>1</v>
      </c>
      <c r="I11" s="92" t="b">
        <v>0</v>
      </c>
      <c r="J11" s="86" t="s">
        <v>2743</v>
      </c>
      <c r="K11" s="79" t="s">
        <v>812</v>
      </c>
      <c r="L11" s="80">
        <v>62318000050</v>
      </c>
      <c r="M11" t="s">
        <v>2654</v>
      </c>
      <c r="N11">
        <v>20000</v>
      </c>
      <c r="O11" t="s">
        <v>2575</v>
      </c>
      <c r="P11" s="78" t="s">
        <v>2655</v>
      </c>
      <c r="Q11" t="s">
        <v>2656</v>
      </c>
      <c r="R11" s="78" t="s">
        <v>2657</v>
      </c>
      <c r="S11" s="79" t="s">
        <v>2681</v>
      </c>
      <c r="T11" t="s">
        <v>2682</v>
      </c>
      <c r="U11" t="s">
        <v>2659</v>
      </c>
      <c r="V11" t="s">
        <v>2660</v>
      </c>
      <c r="W11" s="78" t="s">
        <v>2661</v>
      </c>
      <c r="X11" t="s">
        <v>2662</v>
      </c>
      <c r="Y11" t="s">
        <v>2654</v>
      </c>
      <c r="Z11" s="44">
        <v>6285857123456</v>
      </c>
      <c r="AA11" s="39" t="s">
        <v>808</v>
      </c>
      <c r="AB11" t="s">
        <v>2663</v>
      </c>
      <c r="AC11">
        <v>120979</v>
      </c>
      <c r="AD11" t="s">
        <v>2664</v>
      </c>
      <c r="AE11" t="s">
        <v>2665</v>
      </c>
      <c r="AF11" t="s">
        <v>2666</v>
      </c>
      <c r="AG11" t="s">
        <v>2667</v>
      </c>
      <c r="AH11" s="39" t="s">
        <v>815</v>
      </c>
    </row>
    <row r="12" spans="1:42" ht="16">
      <c r="A12" s="79" t="s">
        <v>821</v>
      </c>
      <c r="B12" t="s">
        <v>5</v>
      </c>
      <c r="C12" t="s">
        <v>2653</v>
      </c>
      <c r="D12" t="s">
        <v>822</v>
      </c>
      <c r="E12" t="s">
        <v>823</v>
      </c>
      <c r="F12" s="86" t="s">
        <v>2578</v>
      </c>
      <c r="G12" s="86" t="s">
        <v>2601</v>
      </c>
      <c r="H12" s="92" t="b">
        <v>0</v>
      </c>
      <c r="I12" s="92" t="b">
        <v>0</v>
      </c>
      <c r="J12" s="86" t="s">
        <v>2743</v>
      </c>
      <c r="K12" s="79" t="s">
        <v>826</v>
      </c>
      <c r="L12" s="80">
        <v>62318000051</v>
      </c>
      <c r="M12" t="s">
        <v>2654</v>
      </c>
      <c r="N12">
        <v>20000</v>
      </c>
      <c r="O12" s="48" t="s">
        <v>2578</v>
      </c>
      <c r="P12" s="78" t="s">
        <v>2655</v>
      </c>
      <c r="Q12" t="s">
        <v>2656</v>
      </c>
      <c r="R12" s="78" t="s">
        <v>2657</v>
      </c>
      <c r="S12" s="79" t="s">
        <v>2683</v>
      </c>
      <c r="T12" t="s">
        <v>2684</v>
      </c>
      <c r="U12" t="s">
        <v>2659</v>
      </c>
      <c r="V12" t="s">
        <v>2660</v>
      </c>
      <c r="W12" s="78" t="s">
        <v>2661</v>
      </c>
      <c r="X12" t="s">
        <v>2662</v>
      </c>
      <c r="Y12" t="s">
        <v>2654</v>
      </c>
      <c r="Z12" s="44">
        <v>6285880078885</v>
      </c>
      <c r="AA12" s="39" t="s">
        <v>822</v>
      </c>
      <c r="AB12" t="s">
        <v>2663</v>
      </c>
      <c r="AC12">
        <v>120978</v>
      </c>
      <c r="AD12" t="s">
        <v>2664</v>
      </c>
      <c r="AE12" t="s">
        <v>2665</v>
      </c>
      <c r="AF12" t="s">
        <v>2666</v>
      </c>
      <c r="AG12" t="s">
        <v>2667</v>
      </c>
      <c r="AH12" s="39" t="s">
        <v>828</v>
      </c>
    </row>
    <row r="13" spans="1:42" ht="16">
      <c r="A13" s="79" t="s">
        <v>807</v>
      </c>
      <c r="B13" t="s">
        <v>5</v>
      </c>
      <c r="C13" t="s">
        <v>2653</v>
      </c>
      <c r="D13" t="s">
        <v>808</v>
      </c>
      <c r="E13" t="s">
        <v>809</v>
      </c>
      <c r="F13" s="86" t="s">
        <v>2576</v>
      </c>
      <c r="G13" s="86" t="s">
        <v>2599</v>
      </c>
      <c r="H13" s="92" t="b">
        <v>0</v>
      </c>
      <c r="I13" s="92" t="b">
        <v>0</v>
      </c>
      <c r="J13" s="86" t="s">
        <v>2743</v>
      </c>
      <c r="K13" s="79" t="s">
        <v>834</v>
      </c>
      <c r="L13">
        <v>62318000052</v>
      </c>
      <c r="M13" t="s">
        <v>2654</v>
      </c>
      <c r="N13">
        <v>20000</v>
      </c>
      <c r="O13" t="s">
        <v>2576</v>
      </c>
      <c r="P13" s="78" t="s">
        <v>2655</v>
      </c>
      <c r="Q13" t="s">
        <v>2656</v>
      </c>
      <c r="R13" s="78" t="s">
        <v>2657</v>
      </c>
      <c r="S13" s="79" t="s">
        <v>2685</v>
      </c>
      <c r="T13" t="s">
        <v>2554</v>
      </c>
      <c r="U13" t="s">
        <v>2659</v>
      </c>
      <c r="V13" t="s">
        <v>2660</v>
      </c>
      <c r="W13" s="78" t="s">
        <v>2661</v>
      </c>
      <c r="X13" t="s">
        <v>2662</v>
      </c>
      <c r="Y13" t="s">
        <v>2654</v>
      </c>
      <c r="Z13" s="44">
        <v>6281400762344</v>
      </c>
      <c r="AA13" s="39" t="s">
        <v>808</v>
      </c>
      <c r="AB13" t="s">
        <v>2663</v>
      </c>
      <c r="AC13">
        <v>120979</v>
      </c>
      <c r="AD13" t="s">
        <v>2664</v>
      </c>
      <c r="AE13" t="s">
        <v>2665</v>
      </c>
      <c r="AF13" t="s">
        <v>2666</v>
      </c>
      <c r="AG13" t="s">
        <v>2667</v>
      </c>
      <c r="AH13" s="39" t="s">
        <v>836</v>
      </c>
    </row>
    <row r="14" spans="1:42" ht="16">
      <c r="A14" s="79" t="s">
        <v>839</v>
      </c>
      <c r="B14" t="s">
        <v>5</v>
      </c>
      <c r="C14" t="s">
        <v>2653</v>
      </c>
      <c r="D14" t="s">
        <v>840</v>
      </c>
      <c r="E14" t="s">
        <v>841</v>
      </c>
      <c r="F14" s="86" t="s">
        <v>2571</v>
      </c>
      <c r="G14" s="86" t="s">
        <v>2594</v>
      </c>
      <c r="H14" s="92" t="b">
        <v>0</v>
      </c>
      <c r="I14" s="92" t="b">
        <v>0</v>
      </c>
      <c r="J14" s="86" t="s">
        <v>2743</v>
      </c>
      <c r="K14" s="79" t="s">
        <v>844</v>
      </c>
      <c r="L14">
        <v>62318000053</v>
      </c>
      <c r="M14" t="s">
        <v>2654</v>
      </c>
      <c r="N14">
        <v>20000</v>
      </c>
      <c r="O14" t="s">
        <v>2571</v>
      </c>
      <c r="P14" s="78" t="s">
        <v>2655</v>
      </c>
      <c r="Q14" t="s">
        <v>2656</v>
      </c>
      <c r="R14" s="78" t="s">
        <v>2657</v>
      </c>
      <c r="S14" s="79" t="s">
        <v>2686</v>
      </c>
      <c r="T14" t="s">
        <v>2687</v>
      </c>
      <c r="U14" t="s">
        <v>2659</v>
      </c>
      <c r="V14" t="s">
        <v>2660</v>
      </c>
      <c r="W14" s="78" t="s">
        <v>2661</v>
      </c>
      <c r="X14" t="s">
        <v>2662</v>
      </c>
      <c r="Y14" t="s">
        <v>2654</v>
      </c>
      <c r="Z14" s="44">
        <v>6285882632792</v>
      </c>
      <c r="AA14" s="39" t="s">
        <v>840</v>
      </c>
      <c r="AB14" t="s">
        <v>2663</v>
      </c>
      <c r="AC14">
        <v>118399</v>
      </c>
      <c r="AD14" t="s">
        <v>2664</v>
      </c>
      <c r="AE14" t="s">
        <v>2665</v>
      </c>
      <c r="AF14" t="s">
        <v>2666</v>
      </c>
      <c r="AG14" t="s">
        <v>2667</v>
      </c>
      <c r="AH14" s="39" t="s">
        <v>847</v>
      </c>
    </row>
    <row r="15" spans="1:42" ht="16">
      <c r="A15" s="79" t="s">
        <v>807</v>
      </c>
      <c r="B15" t="s">
        <v>5</v>
      </c>
      <c r="C15" t="s">
        <v>2653</v>
      </c>
      <c r="D15" t="s">
        <v>808</v>
      </c>
      <c r="E15" t="s">
        <v>809</v>
      </c>
      <c r="F15" s="86" t="s">
        <v>2577</v>
      </c>
      <c r="G15" s="86" t="s">
        <v>2600</v>
      </c>
      <c r="H15" s="92" t="b">
        <v>1</v>
      </c>
      <c r="I15" s="92" t="b">
        <v>1</v>
      </c>
      <c r="J15" s="86" t="s">
        <v>2743</v>
      </c>
      <c r="K15" s="79" t="s">
        <v>853</v>
      </c>
      <c r="L15">
        <v>62318000054</v>
      </c>
      <c r="M15" t="s">
        <v>2654</v>
      </c>
      <c r="N15">
        <v>20000</v>
      </c>
      <c r="O15" t="s">
        <v>2577</v>
      </c>
      <c r="P15" s="78" t="s">
        <v>2655</v>
      </c>
      <c r="Q15" t="s">
        <v>2656</v>
      </c>
      <c r="R15" s="78" t="s">
        <v>2657</v>
      </c>
      <c r="S15" s="79" t="s">
        <v>853</v>
      </c>
      <c r="T15" s="79" t="s">
        <v>853</v>
      </c>
      <c r="U15" t="s">
        <v>2659</v>
      </c>
      <c r="V15" t="s">
        <v>2660</v>
      </c>
      <c r="W15" s="78" t="s">
        <v>2661</v>
      </c>
      <c r="X15" t="s">
        <v>2662</v>
      </c>
      <c r="Y15" t="s">
        <v>2654</v>
      </c>
      <c r="Z15" s="44">
        <v>6285813033710</v>
      </c>
      <c r="AA15" s="39" t="s">
        <v>808</v>
      </c>
      <c r="AB15" t="s">
        <v>2663</v>
      </c>
      <c r="AC15">
        <v>120979</v>
      </c>
      <c r="AD15" t="s">
        <v>2664</v>
      </c>
      <c r="AE15" t="s">
        <v>2665</v>
      </c>
      <c r="AF15" t="s">
        <v>2666</v>
      </c>
      <c r="AG15" t="s">
        <v>2667</v>
      </c>
      <c r="AH15" s="39" t="s">
        <v>856</v>
      </c>
    </row>
    <row r="16" spans="1:42" ht="16">
      <c r="A16" s="79" t="s">
        <v>821</v>
      </c>
      <c r="B16" t="s">
        <v>5</v>
      </c>
      <c r="C16" t="s">
        <v>2653</v>
      </c>
      <c r="D16" t="s">
        <v>822</v>
      </c>
      <c r="E16" t="s">
        <v>823</v>
      </c>
      <c r="F16" s="86" t="s">
        <v>2579</v>
      </c>
      <c r="G16" s="86" t="s">
        <v>2602</v>
      </c>
      <c r="H16" s="92" t="b">
        <v>0</v>
      </c>
      <c r="I16" s="92" t="b">
        <v>0</v>
      </c>
      <c r="J16" s="86" t="s">
        <v>2743</v>
      </c>
      <c r="K16" s="79" t="s">
        <v>862</v>
      </c>
      <c r="L16">
        <v>62318000055</v>
      </c>
      <c r="M16" t="s">
        <v>2654</v>
      </c>
      <c r="N16">
        <v>20000</v>
      </c>
      <c r="O16" t="s">
        <v>2579</v>
      </c>
      <c r="P16" s="78" t="s">
        <v>2655</v>
      </c>
      <c r="Q16" t="s">
        <v>2656</v>
      </c>
      <c r="R16" s="78" t="s">
        <v>2657</v>
      </c>
      <c r="S16" s="79" t="s">
        <v>2688</v>
      </c>
      <c r="T16" t="s">
        <v>2689</v>
      </c>
      <c r="U16" t="s">
        <v>2659</v>
      </c>
      <c r="V16" t="s">
        <v>2660</v>
      </c>
      <c r="W16" s="78" t="s">
        <v>2661</v>
      </c>
      <c r="X16" t="s">
        <v>2662</v>
      </c>
      <c r="Y16" t="s">
        <v>2654</v>
      </c>
      <c r="Z16" s="44">
        <v>6285811023192</v>
      </c>
      <c r="AA16" s="39" t="s">
        <v>822</v>
      </c>
      <c r="AB16" t="s">
        <v>2663</v>
      </c>
      <c r="AC16">
        <v>120978</v>
      </c>
      <c r="AD16" t="s">
        <v>2664</v>
      </c>
      <c r="AE16" t="s">
        <v>2665</v>
      </c>
      <c r="AF16" t="s">
        <v>2666</v>
      </c>
      <c r="AG16" t="s">
        <v>2667</v>
      </c>
      <c r="AH16" s="39" t="s">
        <v>864</v>
      </c>
    </row>
    <row r="17" spans="1:34" ht="16">
      <c r="A17" s="79" t="s">
        <v>879</v>
      </c>
      <c r="B17" t="s">
        <v>5</v>
      </c>
      <c r="C17" t="s">
        <v>2653</v>
      </c>
      <c r="D17" t="s">
        <v>880</v>
      </c>
      <c r="E17" t="s">
        <v>881</v>
      </c>
      <c r="F17" s="86" t="s">
        <v>2573</v>
      </c>
      <c r="G17" s="86" t="s">
        <v>2596</v>
      </c>
      <c r="H17" s="92" t="b">
        <v>0</v>
      </c>
      <c r="I17" s="92" t="b">
        <v>0</v>
      </c>
      <c r="J17" s="86" t="s">
        <v>2743</v>
      </c>
      <c r="K17" s="79" t="s">
        <v>902</v>
      </c>
      <c r="L17">
        <v>62318000056</v>
      </c>
      <c r="M17" t="s">
        <v>2654</v>
      </c>
      <c r="N17">
        <v>20000</v>
      </c>
      <c r="O17" t="s">
        <v>2573</v>
      </c>
      <c r="P17" s="78" t="s">
        <v>2655</v>
      </c>
      <c r="Q17" t="s">
        <v>2656</v>
      </c>
      <c r="R17" s="78" t="s">
        <v>2657</v>
      </c>
      <c r="S17" s="79" t="s">
        <v>2690</v>
      </c>
      <c r="T17" t="s">
        <v>2691</v>
      </c>
      <c r="U17" t="s">
        <v>2659</v>
      </c>
      <c r="V17" t="s">
        <v>2660</v>
      </c>
      <c r="W17" s="78" t="s">
        <v>2661</v>
      </c>
      <c r="X17" t="s">
        <v>2662</v>
      </c>
      <c r="Y17" t="s">
        <v>2654</v>
      </c>
      <c r="Z17" s="44">
        <v>6285664975358</v>
      </c>
      <c r="AA17" s="39" t="s">
        <v>880</v>
      </c>
      <c r="AB17" t="s">
        <v>2663</v>
      </c>
      <c r="AC17">
        <v>109720</v>
      </c>
      <c r="AD17" t="s">
        <v>2664</v>
      </c>
      <c r="AE17" t="s">
        <v>2665</v>
      </c>
      <c r="AF17" t="s">
        <v>2666</v>
      </c>
      <c r="AG17" t="s">
        <v>2667</v>
      </c>
      <c r="AH17" s="39" t="s">
        <v>904</v>
      </c>
    </row>
    <row r="18" spans="1:34" ht="16">
      <c r="A18" s="79" t="s">
        <v>879</v>
      </c>
      <c r="B18" t="s">
        <v>5</v>
      </c>
      <c r="C18" t="s">
        <v>2653</v>
      </c>
      <c r="D18" t="s">
        <v>880</v>
      </c>
      <c r="E18" t="s">
        <v>881</v>
      </c>
      <c r="F18" s="86" t="s">
        <v>2574</v>
      </c>
      <c r="G18" s="86" t="s">
        <v>2597</v>
      </c>
      <c r="H18" s="92" t="b">
        <v>0</v>
      </c>
      <c r="I18" s="92" t="b">
        <v>0</v>
      </c>
      <c r="J18" s="86" t="s">
        <v>2743</v>
      </c>
      <c r="K18" s="79" t="s">
        <v>910</v>
      </c>
      <c r="L18">
        <v>62318000057</v>
      </c>
      <c r="M18" t="s">
        <v>2654</v>
      </c>
      <c r="N18">
        <v>20000</v>
      </c>
      <c r="O18" t="s">
        <v>2574</v>
      </c>
      <c r="P18" s="78" t="s">
        <v>2655</v>
      </c>
      <c r="Q18" t="s">
        <v>2656</v>
      </c>
      <c r="R18" s="78" t="s">
        <v>2657</v>
      </c>
      <c r="S18" s="79" t="s">
        <v>2692</v>
      </c>
      <c r="T18" t="s">
        <v>2693</v>
      </c>
      <c r="U18" t="s">
        <v>2659</v>
      </c>
      <c r="V18" t="s">
        <v>2660</v>
      </c>
      <c r="W18" s="78" t="s">
        <v>2661</v>
      </c>
      <c r="X18" t="s">
        <v>2662</v>
      </c>
      <c r="Y18" t="s">
        <v>2654</v>
      </c>
      <c r="Z18" s="44">
        <v>6285774654948</v>
      </c>
      <c r="AA18" s="39" t="s">
        <v>880</v>
      </c>
      <c r="AB18" t="s">
        <v>2663</v>
      </c>
      <c r="AC18">
        <v>109720</v>
      </c>
      <c r="AD18" t="s">
        <v>2664</v>
      </c>
      <c r="AE18" t="s">
        <v>2665</v>
      </c>
      <c r="AF18" t="s">
        <v>2666</v>
      </c>
      <c r="AG18" t="s">
        <v>2667</v>
      </c>
      <c r="AH18" s="39" t="s">
        <v>912</v>
      </c>
    </row>
    <row r="19" spans="1:34" ht="16">
      <c r="A19" s="79" t="s">
        <v>103</v>
      </c>
      <c r="B19" t="s">
        <v>5</v>
      </c>
      <c r="C19" t="s">
        <v>2653</v>
      </c>
      <c r="D19" t="s">
        <v>104</v>
      </c>
      <c r="E19" t="s">
        <v>105</v>
      </c>
      <c r="F19" s="86" t="s">
        <v>2566</v>
      </c>
      <c r="G19" s="86" t="s">
        <v>2589</v>
      </c>
      <c r="H19" s="92" t="b">
        <v>0</v>
      </c>
      <c r="I19" s="92" t="b">
        <v>0</v>
      </c>
      <c r="J19" s="86" t="s">
        <v>2743</v>
      </c>
      <c r="K19" s="79" t="s">
        <v>979</v>
      </c>
      <c r="L19">
        <v>62318000058</v>
      </c>
      <c r="M19" t="s">
        <v>2654</v>
      </c>
      <c r="N19">
        <v>20000</v>
      </c>
      <c r="O19" t="s">
        <v>2566</v>
      </c>
      <c r="P19" s="78" t="s">
        <v>2655</v>
      </c>
      <c r="Q19" t="s">
        <v>2656</v>
      </c>
      <c r="R19" s="78" t="s">
        <v>2657</v>
      </c>
      <c r="S19" s="79" t="s">
        <v>2694</v>
      </c>
      <c r="T19" t="s">
        <v>2695</v>
      </c>
      <c r="U19" t="s">
        <v>2659</v>
      </c>
      <c r="V19" t="s">
        <v>2660</v>
      </c>
      <c r="W19" s="78" t="s">
        <v>2661</v>
      </c>
      <c r="X19" t="s">
        <v>2662</v>
      </c>
      <c r="Y19" t="s">
        <v>2654</v>
      </c>
      <c r="Z19" s="44">
        <v>6285692700647</v>
      </c>
      <c r="AA19" s="39" t="s">
        <v>104</v>
      </c>
      <c r="AB19" t="s">
        <v>2663</v>
      </c>
      <c r="AC19">
        <v>109396</v>
      </c>
      <c r="AD19" t="s">
        <v>2664</v>
      </c>
      <c r="AE19" t="s">
        <v>2665</v>
      </c>
      <c r="AF19" t="s">
        <v>2666</v>
      </c>
      <c r="AG19" t="s">
        <v>2667</v>
      </c>
      <c r="AH19" s="39" t="s">
        <v>981</v>
      </c>
    </row>
    <row r="20" spans="1:34" ht="16">
      <c r="A20" s="79" t="s">
        <v>112</v>
      </c>
      <c r="B20" t="s">
        <v>5</v>
      </c>
      <c r="C20" t="s">
        <v>2653</v>
      </c>
      <c r="D20" t="s">
        <v>113</v>
      </c>
      <c r="E20" t="s">
        <v>114</v>
      </c>
      <c r="F20" s="86" t="s">
        <v>2565</v>
      </c>
      <c r="G20" s="86" t="s">
        <v>2588</v>
      </c>
      <c r="H20" s="92" t="b">
        <v>0</v>
      </c>
      <c r="I20" s="92" t="b">
        <v>0</v>
      </c>
      <c r="J20" s="86" t="s">
        <v>2743</v>
      </c>
      <c r="K20" s="79" t="s">
        <v>985</v>
      </c>
      <c r="L20">
        <v>62318000059</v>
      </c>
      <c r="M20" t="s">
        <v>2654</v>
      </c>
      <c r="N20">
        <v>20000</v>
      </c>
      <c r="O20" t="s">
        <v>2565</v>
      </c>
      <c r="P20" s="78" t="s">
        <v>2655</v>
      </c>
      <c r="Q20" t="s">
        <v>2656</v>
      </c>
      <c r="R20" s="78" t="s">
        <v>2657</v>
      </c>
      <c r="S20" s="79" t="s">
        <v>2696</v>
      </c>
      <c r="T20" t="s">
        <v>2697</v>
      </c>
      <c r="U20" t="s">
        <v>2659</v>
      </c>
      <c r="V20" t="s">
        <v>2660</v>
      </c>
      <c r="W20" s="78" t="s">
        <v>2661</v>
      </c>
      <c r="X20" t="s">
        <v>2662</v>
      </c>
      <c r="Y20" t="s">
        <v>2654</v>
      </c>
      <c r="Z20" s="44">
        <v>6285692700664</v>
      </c>
      <c r="AA20" s="39" t="s">
        <v>113</v>
      </c>
      <c r="AB20" t="s">
        <v>2663</v>
      </c>
      <c r="AC20">
        <v>109400</v>
      </c>
      <c r="AD20" t="s">
        <v>2664</v>
      </c>
      <c r="AE20" t="s">
        <v>2665</v>
      </c>
      <c r="AF20" t="s">
        <v>2666</v>
      </c>
      <c r="AG20" t="s">
        <v>2667</v>
      </c>
      <c r="AH20" s="39" t="s">
        <v>987</v>
      </c>
    </row>
    <row r="21" spans="1:34" ht="16">
      <c r="A21" s="79" t="s">
        <v>103</v>
      </c>
      <c r="B21" t="s">
        <v>5</v>
      </c>
      <c r="C21" t="s">
        <v>2653</v>
      </c>
      <c r="D21" t="s">
        <v>104</v>
      </c>
      <c r="E21" t="s">
        <v>105</v>
      </c>
      <c r="F21" s="86" t="s">
        <v>2567</v>
      </c>
      <c r="G21" s="86" t="s">
        <v>2590</v>
      </c>
      <c r="H21" s="92" t="b">
        <v>0</v>
      </c>
      <c r="I21" s="92" t="b">
        <v>0</v>
      </c>
      <c r="J21" s="86" t="s">
        <v>2743</v>
      </c>
      <c r="K21" s="79" t="s">
        <v>991</v>
      </c>
      <c r="L21">
        <v>62318000060</v>
      </c>
      <c r="M21" t="s">
        <v>2654</v>
      </c>
      <c r="N21">
        <v>20000</v>
      </c>
      <c r="O21" t="s">
        <v>2567</v>
      </c>
      <c r="P21" s="78" t="s">
        <v>2655</v>
      </c>
      <c r="Q21" t="s">
        <v>2656</v>
      </c>
      <c r="R21" s="78" t="s">
        <v>2657</v>
      </c>
      <c r="S21" s="79" t="s">
        <v>2698</v>
      </c>
      <c r="T21" t="s">
        <v>2699</v>
      </c>
      <c r="U21" t="s">
        <v>2659</v>
      </c>
      <c r="V21" t="s">
        <v>2660</v>
      </c>
      <c r="W21" s="78" t="s">
        <v>2661</v>
      </c>
      <c r="X21" t="s">
        <v>2662</v>
      </c>
      <c r="Y21" t="s">
        <v>2654</v>
      </c>
      <c r="Z21" s="44">
        <v>6285692700667</v>
      </c>
      <c r="AA21" s="39" t="s">
        <v>104</v>
      </c>
      <c r="AB21" t="s">
        <v>2663</v>
      </c>
      <c r="AC21">
        <v>109396</v>
      </c>
      <c r="AD21" t="s">
        <v>2664</v>
      </c>
      <c r="AE21" t="s">
        <v>2665</v>
      </c>
      <c r="AF21" t="s">
        <v>2666</v>
      </c>
      <c r="AG21" t="s">
        <v>2667</v>
      </c>
      <c r="AH21" s="39" t="s">
        <v>993</v>
      </c>
    </row>
    <row r="22" spans="1:34" ht="16">
      <c r="A22" s="79" t="s">
        <v>839</v>
      </c>
      <c r="B22" t="s">
        <v>5</v>
      </c>
      <c r="C22" t="s">
        <v>2653</v>
      </c>
      <c r="D22" t="s">
        <v>840</v>
      </c>
      <c r="E22" t="s">
        <v>841</v>
      </c>
      <c r="F22" s="86" t="s">
        <v>2572</v>
      </c>
      <c r="G22" s="86" t="s">
        <v>2595</v>
      </c>
      <c r="H22" s="92" t="b">
        <v>0</v>
      </c>
      <c r="I22" s="92" t="b">
        <v>0</v>
      </c>
      <c r="J22" s="86" t="s">
        <v>2743</v>
      </c>
      <c r="K22" s="79" t="s">
        <v>1094</v>
      </c>
      <c r="L22">
        <v>62318000061</v>
      </c>
      <c r="M22" t="s">
        <v>2654</v>
      </c>
      <c r="N22">
        <v>20000</v>
      </c>
      <c r="O22" t="s">
        <v>2572</v>
      </c>
      <c r="P22" s="78" t="s">
        <v>2655</v>
      </c>
      <c r="Q22" t="s">
        <v>2656</v>
      </c>
      <c r="R22" s="78" t="s">
        <v>2657</v>
      </c>
      <c r="S22" s="79" t="s">
        <v>2700</v>
      </c>
      <c r="T22" t="s">
        <v>2555</v>
      </c>
      <c r="U22" t="s">
        <v>2659</v>
      </c>
      <c r="V22" t="s">
        <v>2660</v>
      </c>
      <c r="W22" s="78" t="s">
        <v>2661</v>
      </c>
      <c r="X22" t="s">
        <v>2662</v>
      </c>
      <c r="Y22" t="s">
        <v>2654</v>
      </c>
      <c r="Z22" s="44">
        <v>6285695001961</v>
      </c>
      <c r="AA22" s="39" t="s">
        <v>840</v>
      </c>
      <c r="AB22" t="s">
        <v>2663</v>
      </c>
      <c r="AC22">
        <v>118399</v>
      </c>
      <c r="AD22" t="s">
        <v>2664</v>
      </c>
      <c r="AE22" t="s">
        <v>2665</v>
      </c>
      <c r="AF22" t="s">
        <v>2666</v>
      </c>
      <c r="AG22" t="s">
        <v>2667</v>
      </c>
      <c r="AH22" s="39" t="s">
        <v>1095</v>
      </c>
    </row>
    <row r="23" spans="1:34" ht="16">
      <c r="A23" s="79" t="s">
        <v>1098</v>
      </c>
      <c r="B23" t="s">
        <v>5</v>
      </c>
      <c r="C23" t="s">
        <v>2653</v>
      </c>
      <c r="D23" t="s">
        <v>1099</v>
      </c>
      <c r="E23" t="s">
        <v>1100</v>
      </c>
      <c r="F23" s="86" t="s">
        <v>2570</v>
      </c>
      <c r="G23" s="86" t="s">
        <v>2593</v>
      </c>
      <c r="H23" s="92" t="b">
        <v>0</v>
      </c>
      <c r="I23" s="92" t="b">
        <v>0</v>
      </c>
      <c r="J23" s="86" t="s">
        <v>2743</v>
      </c>
      <c r="K23" s="79" t="s">
        <v>1212</v>
      </c>
      <c r="L23">
        <v>62318000062</v>
      </c>
      <c r="M23" t="s">
        <v>2654</v>
      </c>
      <c r="N23">
        <v>20000</v>
      </c>
      <c r="O23" t="s">
        <v>2570</v>
      </c>
      <c r="P23" s="78" t="s">
        <v>2655</v>
      </c>
      <c r="Q23" t="s">
        <v>2656</v>
      </c>
      <c r="R23" s="78" t="s">
        <v>2657</v>
      </c>
      <c r="S23" s="79" t="s">
        <v>2701</v>
      </c>
      <c r="T23" t="s">
        <v>2702</v>
      </c>
      <c r="U23" t="s">
        <v>2659</v>
      </c>
      <c r="V23" t="s">
        <v>2660</v>
      </c>
      <c r="W23" s="78" t="s">
        <v>2661</v>
      </c>
      <c r="X23" t="s">
        <v>2662</v>
      </c>
      <c r="Y23" t="s">
        <v>2654</v>
      </c>
      <c r="Z23" s="44">
        <v>6285692581643</v>
      </c>
      <c r="AA23" s="39" t="s">
        <v>1099</v>
      </c>
      <c r="AB23" t="s">
        <v>2663</v>
      </c>
      <c r="AC23">
        <v>109375</v>
      </c>
      <c r="AD23" t="s">
        <v>2664</v>
      </c>
      <c r="AE23" t="s">
        <v>2665</v>
      </c>
      <c r="AF23" t="s">
        <v>2666</v>
      </c>
      <c r="AG23" t="s">
        <v>2667</v>
      </c>
      <c r="AH23" s="39" t="s">
        <v>1214</v>
      </c>
    </row>
    <row r="24" spans="1:34" ht="16">
      <c r="A24" s="79" t="s">
        <v>1387</v>
      </c>
      <c r="B24" t="s">
        <v>5</v>
      </c>
      <c r="C24" t="s">
        <v>2653</v>
      </c>
      <c r="D24" t="s">
        <v>1388</v>
      </c>
      <c r="E24" t="s">
        <v>1389</v>
      </c>
      <c r="F24" s="86" t="s">
        <v>2580</v>
      </c>
      <c r="G24" s="86" t="s">
        <v>2603</v>
      </c>
      <c r="H24" s="92" t="b">
        <v>0</v>
      </c>
      <c r="I24" s="92" t="b">
        <v>0</v>
      </c>
      <c r="J24" s="86" t="s">
        <v>2743</v>
      </c>
      <c r="K24" s="79" t="s">
        <v>1410</v>
      </c>
      <c r="L24">
        <v>62318000063</v>
      </c>
      <c r="M24" t="s">
        <v>2654</v>
      </c>
      <c r="N24">
        <v>20000</v>
      </c>
      <c r="O24" t="s">
        <v>2580</v>
      </c>
      <c r="P24" s="78" t="s">
        <v>2655</v>
      </c>
      <c r="Q24" t="s">
        <v>2656</v>
      </c>
      <c r="R24" s="78" t="s">
        <v>2657</v>
      </c>
      <c r="S24" s="79" t="s">
        <v>1410</v>
      </c>
      <c r="T24" s="79" t="s">
        <v>1410</v>
      </c>
      <c r="U24" t="s">
        <v>2659</v>
      </c>
      <c r="V24" t="s">
        <v>2660</v>
      </c>
      <c r="W24" s="78" t="s">
        <v>2661</v>
      </c>
      <c r="X24" t="s">
        <v>2662</v>
      </c>
      <c r="Y24" t="s">
        <v>2654</v>
      </c>
      <c r="Z24" s="44">
        <v>6285772096969</v>
      </c>
      <c r="AA24" s="39" t="s">
        <v>1388</v>
      </c>
      <c r="AB24" t="s">
        <v>2663</v>
      </c>
      <c r="AC24">
        <v>118400</v>
      </c>
      <c r="AD24" t="s">
        <v>2664</v>
      </c>
      <c r="AE24" t="s">
        <v>2665</v>
      </c>
      <c r="AF24" t="s">
        <v>2666</v>
      </c>
      <c r="AG24" t="s">
        <v>2667</v>
      </c>
      <c r="AH24" s="39" t="s">
        <v>1412</v>
      </c>
    </row>
    <row r="25" spans="1:34" ht="16">
      <c r="A25" s="79" t="s">
        <v>642</v>
      </c>
      <c r="B25" t="s">
        <v>5</v>
      </c>
      <c r="C25" t="s">
        <v>2653</v>
      </c>
      <c r="D25" t="s">
        <v>643</v>
      </c>
      <c r="E25" t="s">
        <v>644</v>
      </c>
      <c r="F25" s="86" t="s">
        <v>2611</v>
      </c>
      <c r="G25" s="86" t="s">
        <v>2612</v>
      </c>
      <c r="H25" s="92" t="b">
        <v>0</v>
      </c>
      <c r="I25" s="92" t="b">
        <v>0</v>
      </c>
      <c r="J25" s="86" t="s">
        <v>2743</v>
      </c>
      <c r="K25" s="79" t="s">
        <v>915</v>
      </c>
      <c r="L25">
        <v>62318000064</v>
      </c>
      <c r="M25" t="s">
        <v>2654</v>
      </c>
      <c r="N25">
        <v>20000</v>
      </c>
      <c r="O25" t="s">
        <v>2611</v>
      </c>
      <c r="P25" s="78" t="s">
        <v>2655</v>
      </c>
      <c r="Q25" t="s">
        <v>2656</v>
      </c>
      <c r="R25" s="78" t="s">
        <v>2657</v>
      </c>
      <c r="S25" s="79" t="s">
        <v>2703</v>
      </c>
      <c r="T25" t="s">
        <v>2704</v>
      </c>
      <c r="U25" t="s">
        <v>2659</v>
      </c>
      <c r="V25" t="s">
        <v>2660</v>
      </c>
      <c r="W25" s="78" t="s">
        <v>2661</v>
      </c>
      <c r="X25" t="s">
        <v>2662</v>
      </c>
      <c r="Y25" t="s">
        <v>2654</v>
      </c>
      <c r="Z25" s="44">
        <v>62895322976661</v>
      </c>
      <c r="AA25" s="39" t="s">
        <v>643</v>
      </c>
      <c r="AB25" t="s">
        <v>2663</v>
      </c>
      <c r="AC25">
        <v>110022</v>
      </c>
      <c r="AD25" t="s">
        <v>2664</v>
      </c>
      <c r="AE25" t="s">
        <v>2665</v>
      </c>
      <c r="AF25" t="s">
        <v>2666</v>
      </c>
      <c r="AG25" t="s">
        <v>2667</v>
      </c>
      <c r="AH25" s="39" t="s">
        <v>917</v>
      </c>
    </row>
    <row r="26" spans="1:34" ht="16">
      <c r="A26" s="79" t="s">
        <v>252</v>
      </c>
      <c r="B26" t="s">
        <v>5</v>
      </c>
      <c r="C26" t="s">
        <v>2653</v>
      </c>
      <c r="D26" t="s">
        <v>253</v>
      </c>
      <c r="E26" t="s">
        <v>254</v>
      </c>
      <c r="F26" s="86" t="s">
        <v>2615</v>
      </c>
      <c r="G26" s="86" t="s">
        <v>2616</v>
      </c>
      <c r="H26" s="92" t="b">
        <v>0</v>
      </c>
      <c r="I26" s="92" t="b">
        <v>0</v>
      </c>
      <c r="J26" s="86" t="s">
        <v>2743</v>
      </c>
      <c r="K26" s="79" t="s">
        <v>2613</v>
      </c>
      <c r="L26">
        <v>62318000065</v>
      </c>
      <c r="M26" t="s">
        <v>2654</v>
      </c>
      <c r="N26">
        <v>20000</v>
      </c>
      <c r="O26" t="s">
        <v>2615</v>
      </c>
      <c r="P26" s="78" t="s">
        <v>2655</v>
      </c>
      <c r="Q26" t="s">
        <v>2656</v>
      </c>
      <c r="R26" s="78" t="s">
        <v>2657</v>
      </c>
      <c r="S26" s="79" t="s">
        <v>2705</v>
      </c>
      <c r="T26" t="s">
        <v>2706</v>
      </c>
      <c r="U26" t="s">
        <v>2659</v>
      </c>
      <c r="V26" t="s">
        <v>2660</v>
      </c>
      <c r="W26" s="78" t="s">
        <v>2661</v>
      </c>
      <c r="X26" t="s">
        <v>2662</v>
      </c>
      <c r="Y26" t="s">
        <v>2654</v>
      </c>
      <c r="Z26" s="44">
        <v>6281511043226</v>
      </c>
      <c r="AA26" s="39" t="s">
        <v>253</v>
      </c>
      <c r="AB26" t="s">
        <v>2663</v>
      </c>
      <c r="AC26">
        <v>109362</v>
      </c>
      <c r="AD26" t="s">
        <v>2664</v>
      </c>
      <c r="AE26" t="s">
        <v>2665</v>
      </c>
      <c r="AF26" t="s">
        <v>2666</v>
      </c>
      <c r="AG26" t="s">
        <v>2667</v>
      </c>
      <c r="AH26" t="s">
        <v>2668</v>
      </c>
    </row>
    <row r="27" spans="1:34">
      <c r="A27" t="s">
        <v>398</v>
      </c>
      <c r="B27" t="s">
        <v>5</v>
      </c>
      <c r="C27" t="s">
        <v>2653</v>
      </c>
      <c r="D27" t="s">
        <v>399</v>
      </c>
      <c r="E27">
        <v>0</v>
      </c>
      <c r="F27" t="s">
        <v>1696</v>
      </c>
      <c r="J27" t="s">
        <v>35</v>
      </c>
      <c r="K27" t="s">
        <v>1697</v>
      </c>
      <c r="L27">
        <v>62318000066</v>
      </c>
      <c r="M27" t="s">
        <v>2654</v>
      </c>
      <c r="N27">
        <v>20000</v>
      </c>
      <c r="O27" t="str">
        <f>F27</f>
        <v>DSEIN041</v>
      </c>
    </row>
    <row r="28" spans="1:34">
      <c r="A28" t="s">
        <v>357</v>
      </c>
      <c r="B28" t="s">
        <v>5</v>
      </c>
      <c r="C28" t="s">
        <v>2653</v>
      </c>
      <c r="D28" t="s">
        <v>358</v>
      </c>
      <c r="E28">
        <v>0</v>
      </c>
      <c r="F28" t="s">
        <v>436</v>
      </c>
      <c r="J28" t="s">
        <v>35</v>
      </c>
      <c r="K28" t="s">
        <v>438</v>
      </c>
      <c r="L28">
        <v>62318000067</v>
      </c>
      <c r="M28" t="s">
        <v>2654</v>
      </c>
      <c r="N28">
        <v>20000</v>
      </c>
      <c r="O28" t="str">
        <f t="shared" ref="O28:O38" si="0">F28</f>
        <v>CSOBKSB-02</v>
      </c>
    </row>
    <row r="29" spans="1:34">
      <c r="A29" t="s">
        <v>316</v>
      </c>
      <c r="B29" t="s">
        <v>5</v>
      </c>
      <c r="C29" t="s">
        <v>2653</v>
      </c>
      <c r="D29" t="s">
        <v>317</v>
      </c>
      <c r="E29">
        <v>0</v>
      </c>
      <c r="F29" t="s">
        <v>350</v>
      </c>
      <c r="J29" t="s">
        <v>35</v>
      </c>
      <c r="K29" t="s">
        <v>352</v>
      </c>
      <c r="L29">
        <v>62318000068</v>
      </c>
      <c r="M29" t="s">
        <v>2654</v>
      </c>
      <c r="N29">
        <v>20000</v>
      </c>
      <c r="O29" t="str">
        <f t="shared" si="0"/>
        <v>CSOBKSB-16</v>
      </c>
    </row>
    <row r="30" spans="1:34">
      <c r="A30" t="s">
        <v>283</v>
      </c>
      <c r="B30" t="s">
        <v>5</v>
      </c>
      <c r="C30" t="s">
        <v>2653</v>
      </c>
      <c r="D30" t="s">
        <v>284</v>
      </c>
      <c r="E30">
        <v>0</v>
      </c>
      <c r="F30" t="s">
        <v>1762</v>
      </c>
      <c r="J30" t="s">
        <v>35</v>
      </c>
      <c r="K30" t="s">
        <v>1763</v>
      </c>
      <c r="L30">
        <v>62318000069</v>
      </c>
      <c r="M30" t="s">
        <v>2654</v>
      </c>
      <c r="N30">
        <v>20000</v>
      </c>
      <c r="O30" t="str">
        <f t="shared" si="0"/>
        <v>DSEIN052</v>
      </c>
    </row>
    <row r="31" spans="1:34">
      <c r="A31" t="s">
        <v>692</v>
      </c>
      <c r="B31" t="s">
        <v>5</v>
      </c>
      <c r="C31" t="s">
        <v>2653</v>
      </c>
      <c r="D31" t="s">
        <v>693</v>
      </c>
      <c r="E31">
        <v>0</v>
      </c>
      <c r="F31" t="s">
        <v>754</v>
      </c>
      <c r="J31" t="s">
        <v>35</v>
      </c>
      <c r="K31" t="s">
        <v>756</v>
      </c>
      <c r="L31">
        <v>62318000070</v>
      </c>
      <c r="M31" t="s">
        <v>2654</v>
      </c>
      <c r="N31">
        <v>20000</v>
      </c>
      <c r="O31" t="str">
        <f t="shared" si="0"/>
        <v>CSO-LOKADPK25</v>
      </c>
    </row>
    <row r="32" spans="1:34">
      <c r="A32" t="s">
        <v>703</v>
      </c>
      <c r="B32" t="s">
        <v>5</v>
      </c>
      <c r="C32" t="s">
        <v>2653</v>
      </c>
      <c r="D32" t="s">
        <v>704</v>
      </c>
      <c r="E32">
        <v>0</v>
      </c>
      <c r="F32" t="s">
        <v>760</v>
      </c>
      <c r="J32" t="s">
        <v>35</v>
      </c>
      <c r="K32" t="s">
        <v>762</v>
      </c>
      <c r="L32">
        <v>62318000071</v>
      </c>
      <c r="M32" t="s">
        <v>2654</v>
      </c>
      <c r="N32">
        <v>20000</v>
      </c>
      <c r="O32" t="str">
        <f t="shared" si="0"/>
        <v>CSO-LOKADPK26</v>
      </c>
    </row>
    <row r="33" spans="1:15">
      <c r="A33" t="s">
        <v>1217</v>
      </c>
      <c r="B33" t="s">
        <v>5</v>
      </c>
      <c r="C33" t="s">
        <v>2653</v>
      </c>
      <c r="D33" t="s">
        <v>1218</v>
      </c>
      <c r="E33">
        <v>0</v>
      </c>
      <c r="F33" t="s">
        <v>1244</v>
      </c>
      <c r="J33" t="s">
        <v>35</v>
      </c>
      <c r="K33" t="s">
        <v>1246</v>
      </c>
      <c r="L33">
        <v>62318000072</v>
      </c>
      <c r="M33" t="s">
        <v>2654</v>
      </c>
      <c r="N33">
        <v>20000</v>
      </c>
      <c r="O33" t="str">
        <f t="shared" si="0"/>
        <v>DSEMATJAT752</v>
      </c>
    </row>
    <row r="34" spans="1:15">
      <c r="A34" t="s">
        <v>1217</v>
      </c>
      <c r="B34" t="s">
        <v>5</v>
      </c>
      <c r="C34" t="s">
        <v>2653</v>
      </c>
      <c r="D34" t="s">
        <v>1218</v>
      </c>
      <c r="E34">
        <v>0</v>
      </c>
      <c r="F34" t="s">
        <v>1250</v>
      </c>
      <c r="J34" t="s">
        <v>35</v>
      </c>
      <c r="K34" t="s">
        <v>1252</v>
      </c>
      <c r="L34">
        <v>62318000073</v>
      </c>
      <c r="M34" t="s">
        <v>2654</v>
      </c>
      <c r="N34">
        <v>20000</v>
      </c>
      <c r="O34" t="str">
        <f t="shared" si="0"/>
        <v>DSEMATJAT753</v>
      </c>
    </row>
    <row r="35" spans="1:15">
      <c r="A35" t="s">
        <v>920</v>
      </c>
      <c r="B35" t="s">
        <v>5</v>
      </c>
      <c r="C35" t="s">
        <v>2653</v>
      </c>
      <c r="D35" t="s">
        <v>921</v>
      </c>
      <c r="E35">
        <v>0</v>
      </c>
      <c r="F35" t="s">
        <v>924</v>
      </c>
      <c r="J35" t="s">
        <v>35</v>
      </c>
      <c r="K35" t="s">
        <v>926</v>
      </c>
      <c r="L35">
        <v>62318000074</v>
      </c>
      <c r="M35" t="s">
        <v>2654</v>
      </c>
      <c r="N35">
        <v>20000</v>
      </c>
      <c r="O35" t="str">
        <f t="shared" si="0"/>
        <v>DSE1807</v>
      </c>
    </row>
    <row r="36" spans="1:15">
      <c r="A36" t="s">
        <v>252</v>
      </c>
      <c r="B36" t="s">
        <v>5</v>
      </c>
      <c r="C36" t="s">
        <v>2653</v>
      </c>
      <c r="D36" t="s">
        <v>253</v>
      </c>
      <c r="E36">
        <v>0</v>
      </c>
      <c r="F36">
        <v>2613051197</v>
      </c>
      <c r="J36" t="s">
        <v>35</v>
      </c>
      <c r="K36" t="s">
        <v>261</v>
      </c>
      <c r="L36">
        <v>62318000075</v>
      </c>
      <c r="M36" t="s">
        <v>2654</v>
      </c>
      <c r="N36">
        <v>20000</v>
      </c>
      <c r="O36">
        <f t="shared" si="0"/>
        <v>2613051197</v>
      </c>
    </row>
    <row r="37" spans="1:15">
      <c r="A37" t="s">
        <v>182</v>
      </c>
      <c r="B37" t="s">
        <v>5</v>
      </c>
      <c r="C37" t="s">
        <v>2653</v>
      </c>
      <c r="D37" t="s">
        <v>183</v>
      </c>
      <c r="E37">
        <v>0</v>
      </c>
      <c r="F37">
        <v>2613051011</v>
      </c>
      <c r="J37" t="s">
        <v>35</v>
      </c>
      <c r="K37" t="s">
        <v>191</v>
      </c>
      <c r="L37">
        <v>62318000076</v>
      </c>
      <c r="M37" t="s">
        <v>2654</v>
      </c>
      <c r="N37">
        <v>20000</v>
      </c>
      <c r="O37">
        <f t="shared" si="0"/>
        <v>2613051011</v>
      </c>
    </row>
    <row r="38" spans="1:15">
      <c r="A38" t="s">
        <v>293</v>
      </c>
      <c r="B38" t="s">
        <v>5</v>
      </c>
      <c r="C38" t="s">
        <v>2653</v>
      </c>
      <c r="D38" t="s">
        <v>294</v>
      </c>
      <c r="E38">
        <v>0</v>
      </c>
      <c r="F38" t="s">
        <v>1298</v>
      </c>
      <c r="J38" t="s">
        <v>35</v>
      </c>
      <c r="K38" t="s">
        <v>1300</v>
      </c>
      <c r="L38">
        <v>62318000077</v>
      </c>
      <c r="M38" t="s">
        <v>2654</v>
      </c>
      <c r="N38">
        <v>20000</v>
      </c>
      <c r="O38" t="str">
        <f t="shared" si="0"/>
        <v>DSEPNKN03</v>
      </c>
    </row>
  </sheetData>
  <conditionalFormatting sqref="S2:S12">
    <cfRule type="duplicateValues" dxfId="13" priority="3"/>
  </conditionalFormatting>
  <conditionalFormatting sqref="T5">
    <cfRule type="duplicateValues" dxfId="12" priority="2"/>
  </conditionalFormatting>
  <conditionalFormatting sqref="T10">
    <cfRule type="duplicateValues" dxfId="1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8A73-89D8-4564-A7F8-BFDCDC63514C}">
  <dimension ref="A1:AC38"/>
  <sheetViews>
    <sheetView topLeftCell="A7" workbookViewId="0">
      <selection activeCell="A29" sqref="A29:J38"/>
    </sheetView>
  </sheetViews>
  <sheetFormatPr defaultRowHeight="14"/>
  <cols>
    <col min="1" max="1" width="21.4140625" bestFit="1" customWidth="1"/>
    <col min="2" max="2" width="19.1640625" bestFit="1" customWidth="1"/>
    <col min="3" max="3" width="5.4140625" bestFit="1" customWidth="1"/>
    <col min="4" max="4" width="22" bestFit="1" customWidth="1"/>
    <col min="5" max="5" width="24.75" bestFit="1" customWidth="1"/>
    <col min="6" max="6" width="29" bestFit="1" customWidth="1"/>
    <col min="7" max="7" width="15.75" bestFit="1" customWidth="1"/>
    <col min="8" max="8" width="11.75" bestFit="1" customWidth="1"/>
    <col min="9" max="9" width="7.1640625" bestFit="1" customWidth="1"/>
    <col min="10" max="10" width="22" bestFit="1" customWidth="1"/>
    <col min="11" max="11" width="15.58203125" bestFit="1" customWidth="1"/>
    <col min="12" max="12" width="9.58203125" bestFit="1" customWidth="1"/>
    <col min="13" max="13" width="11.1640625" bestFit="1" customWidth="1"/>
    <col min="14" max="14" width="13.1640625" bestFit="1" customWidth="1"/>
    <col min="15" max="15" width="11" bestFit="1" customWidth="1"/>
    <col min="16" max="16" width="23.75" bestFit="1" customWidth="1"/>
    <col min="17" max="17" width="9" bestFit="1" customWidth="1"/>
    <col min="18" max="18" width="21.58203125" bestFit="1" customWidth="1"/>
    <col min="19" max="19" width="19.83203125" bestFit="1" customWidth="1"/>
    <col min="20" max="20" width="11.75" bestFit="1" customWidth="1"/>
    <col min="21" max="21" width="16.25" bestFit="1" customWidth="1"/>
    <col min="22" max="22" width="15.58203125" bestFit="1" customWidth="1"/>
    <col min="23" max="23" width="17.58203125" bestFit="1" customWidth="1"/>
    <col min="24" max="24" width="16.83203125" bestFit="1" customWidth="1"/>
    <col min="25" max="25" width="7.4140625" bestFit="1" customWidth="1"/>
    <col min="26" max="26" width="10" bestFit="1" customWidth="1"/>
    <col min="27" max="27" width="5" bestFit="1" customWidth="1"/>
    <col min="28" max="28" width="8.75" bestFit="1" customWidth="1"/>
    <col min="29" max="29" width="18.75" bestFit="1" customWidth="1"/>
  </cols>
  <sheetData>
    <row r="1" spans="1:29">
      <c r="A1" t="s">
        <v>2619</v>
      </c>
      <c r="B1" t="s">
        <v>2620</v>
      </c>
      <c r="C1" t="s">
        <v>2621</v>
      </c>
      <c r="D1" t="s">
        <v>2622</v>
      </c>
      <c r="E1" t="s">
        <v>2504</v>
      </c>
      <c r="F1" t="s">
        <v>2623</v>
      </c>
      <c r="G1" t="s">
        <v>2624</v>
      </c>
      <c r="H1" t="s">
        <v>17</v>
      </c>
      <c r="I1" s="78" t="s">
        <v>2517</v>
      </c>
      <c r="J1" t="s">
        <v>2625</v>
      </c>
      <c r="K1" s="78" t="s">
        <v>2626</v>
      </c>
      <c r="L1" t="s">
        <v>2627</v>
      </c>
      <c r="M1" s="78" t="s">
        <v>2628</v>
      </c>
      <c r="N1" t="s">
        <v>2629</v>
      </c>
      <c r="O1" t="s">
        <v>2630</v>
      </c>
      <c r="P1" t="s">
        <v>2631</v>
      </c>
      <c r="Q1" t="s">
        <v>2632</v>
      </c>
      <c r="R1" s="78" t="s">
        <v>2633</v>
      </c>
      <c r="S1" t="s">
        <v>2634</v>
      </c>
      <c r="T1" t="s">
        <v>2635</v>
      </c>
      <c r="U1" t="s">
        <v>2636</v>
      </c>
      <c r="V1" t="s">
        <v>2637</v>
      </c>
      <c r="W1" t="s">
        <v>2638</v>
      </c>
      <c r="X1" t="s">
        <v>2639</v>
      </c>
      <c r="Y1" t="s">
        <v>2640</v>
      </c>
      <c r="Z1" t="s">
        <v>2641</v>
      </c>
      <c r="AA1" t="s">
        <v>2642</v>
      </c>
      <c r="AB1" t="s">
        <v>2643</v>
      </c>
      <c r="AC1" t="s">
        <v>2644</v>
      </c>
    </row>
    <row r="2" spans="1:29" ht="16">
      <c r="A2" s="79" t="s">
        <v>83</v>
      </c>
      <c r="B2" t="s">
        <v>5</v>
      </c>
      <c r="C2" t="s">
        <v>2653</v>
      </c>
      <c r="D2" s="86" t="s">
        <v>2604</v>
      </c>
      <c r="E2" s="86" t="s">
        <v>2743</v>
      </c>
      <c r="F2" s="79" t="s">
        <v>236</v>
      </c>
      <c r="G2" s="80" t="s">
        <v>2707</v>
      </c>
      <c r="H2" t="s">
        <v>2654</v>
      </c>
      <c r="I2">
        <v>20001</v>
      </c>
      <c r="J2" t="s">
        <v>2604</v>
      </c>
      <c r="K2" s="78" t="s">
        <v>2655</v>
      </c>
      <c r="L2" t="s">
        <v>2656</v>
      </c>
      <c r="M2" s="78" t="s">
        <v>2657</v>
      </c>
      <c r="N2" s="79" t="s">
        <v>237</v>
      </c>
      <c r="O2" t="s">
        <v>2658</v>
      </c>
      <c r="P2" t="s">
        <v>2659</v>
      </c>
      <c r="Q2" t="s">
        <v>2660</v>
      </c>
      <c r="R2" s="78" t="s">
        <v>2661</v>
      </c>
      <c r="S2" t="s">
        <v>2662</v>
      </c>
      <c r="T2" t="s">
        <v>2654</v>
      </c>
      <c r="U2" s="44">
        <v>6285777258258</v>
      </c>
      <c r="V2" s="39" t="s">
        <v>85</v>
      </c>
      <c r="W2" t="s">
        <v>2663</v>
      </c>
      <c r="X2">
        <v>110003</v>
      </c>
      <c r="Y2" t="s">
        <v>2664</v>
      </c>
      <c r="Z2" t="s">
        <v>2665</v>
      </c>
      <c r="AA2" t="s">
        <v>2666</v>
      </c>
      <c r="AB2" t="s">
        <v>2667</v>
      </c>
      <c r="AC2" t="s">
        <v>2668</v>
      </c>
    </row>
    <row r="3" spans="1:29" ht="16">
      <c r="A3" s="79" t="s">
        <v>24</v>
      </c>
      <c r="B3" t="s">
        <v>5</v>
      </c>
      <c r="C3" t="s">
        <v>2653</v>
      </c>
      <c r="D3" s="86" t="s">
        <v>2605</v>
      </c>
      <c r="E3" s="86" t="s">
        <v>2743</v>
      </c>
      <c r="F3" s="79" t="s">
        <v>448</v>
      </c>
      <c r="G3" s="80" t="s">
        <v>2708</v>
      </c>
      <c r="H3" t="s">
        <v>2654</v>
      </c>
      <c r="I3">
        <v>20001</v>
      </c>
      <c r="J3" t="s">
        <v>2605</v>
      </c>
      <c r="K3" s="78" t="s">
        <v>2655</v>
      </c>
      <c r="L3" t="s">
        <v>2656</v>
      </c>
      <c r="M3" s="78" t="s">
        <v>2657</v>
      </c>
      <c r="N3" s="79" t="s">
        <v>2669</v>
      </c>
      <c r="O3" t="s">
        <v>2670</v>
      </c>
      <c r="P3" t="s">
        <v>2659</v>
      </c>
      <c r="Q3" t="s">
        <v>2660</v>
      </c>
      <c r="R3" s="78" t="s">
        <v>2661</v>
      </c>
      <c r="S3" t="s">
        <v>2662</v>
      </c>
      <c r="T3" t="s">
        <v>2654</v>
      </c>
      <c r="U3" s="44">
        <v>6285710444484</v>
      </c>
      <c r="V3" s="39" t="s">
        <v>445</v>
      </c>
      <c r="W3" t="s">
        <v>2663</v>
      </c>
      <c r="X3">
        <v>109332</v>
      </c>
      <c r="Y3" t="s">
        <v>2664</v>
      </c>
      <c r="Z3" t="s">
        <v>2665</v>
      </c>
      <c r="AA3" t="s">
        <v>2666</v>
      </c>
      <c r="AB3" t="s">
        <v>2667</v>
      </c>
      <c r="AC3" s="39" t="s">
        <v>450</v>
      </c>
    </row>
    <row r="4" spans="1:29" ht="16">
      <c r="A4" s="79" t="s">
        <v>24</v>
      </c>
      <c r="B4" t="s">
        <v>5</v>
      </c>
      <c r="C4" t="s">
        <v>2653</v>
      </c>
      <c r="D4" s="86" t="s">
        <v>2606</v>
      </c>
      <c r="E4" s="86" t="s">
        <v>2743</v>
      </c>
      <c r="F4" s="79" t="s">
        <v>454</v>
      </c>
      <c r="G4" s="80" t="s">
        <v>2709</v>
      </c>
      <c r="H4" t="s">
        <v>2654</v>
      </c>
      <c r="I4">
        <v>20001</v>
      </c>
      <c r="J4" t="s">
        <v>2606</v>
      </c>
      <c r="K4" s="78" t="s">
        <v>2655</v>
      </c>
      <c r="L4" t="s">
        <v>2656</v>
      </c>
      <c r="M4" s="78" t="s">
        <v>2657</v>
      </c>
      <c r="N4" s="79" t="s">
        <v>2671</v>
      </c>
      <c r="O4" t="s">
        <v>2672</v>
      </c>
      <c r="P4" t="s">
        <v>2659</v>
      </c>
      <c r="Q4" t="s">
        <v>2660</v>
      </c>
      <c r="R4" s="78" t="s">
        <v>2661</v>
      </c>
      <c r="S4" t="s">
        <v>2662</v>
      </c>
      <c r="T4" t="s">
        <v>2654</v>
      </c>
      <c r="U4" s="44">
        <v>6285695423326</v>
      </c>
      <c r="V4" s="39" t="s">
        <v>445</v>
      </c>
      <c r="W4" t="s">
        <v>2663</v>
      </c>
      <c r="X4">
        <v>109332</v>
      </c>
      <c r="Y4" t="s">
        <v>2664</v>
      </c>
      <c r="Z4" t="s">
        <v>2665</v>
      </c>
      <c r="AA4" t="s">
        <v>2666</v>
      </c>
      <c r="AB4" t="s">
        <v>2667</v>
      </c>
      <c r="AC4" s="39" t="s">
        <v>456</v>
      </c>
    </row>
    <row r="5" spans="1:29" ht="16">
      <c r="A5" s="79" t="s">
        <v>24</v>
      </c>
      <c r="B5" t="s">
        <v>5</v>
      </c>
      <c r="C5" t="s">
        <v>2653</v>
      </c>
      <c r="D5" s="86" t="s">
        <v>2607</v>
      </c>
      <c r="E5" s="86" t="s">
        <v>2743</v>
      </c>
      <c r="F5" s="79" t="s">
        <v>460</v>
      </c>
      <c r="G5" s="80" t="s">
        <v>2710</v>
      </c>
      <c r="H5" t="s">
        <v>2654</v>
      </c>
      <c r="I5">
        <v>20001</v>
      </c>
      <c r="J5" t="s">
        <v>2607</v>
      </c>
      <c r="K5" s="78" t="s">
        <v>2655</v>
      </c>
      <c r="L5" t="s">
        <v>2656</v>
      </c>
      <c r="M5" s="78" t="s">
        <v>2657</v>
      </c>
      <c r="N5" s="79" t="s">
        <v>460</v>
      </c>
      <c r="O5" s="79" t="s">
        <v>460</v>
      </c>
      <c r="P5" t="s">
        <v>2659</v>
      </c>
      <c r="Q5" t="s">
        <v>2660</v>
      </c>
      <c r="R5" s="78" t="s">
        <v>2661</v>
      </c>
      <c r="S5" t="s">
        <v>2662</v>
      </c>
      <c r="T5" t="s">
        <v>2654</v>
      </c>
      <c r="U5" s="44">
        <v>6285772094247</v>
      </c>
      <c r="V5" s="39" t="s">
        <v>445</v>
      </c>
      <c r="W5" t="s">
        <v>2663</v>
      </c>
      <c r="X5">
        <v>109332</v>
      </c>
      <c r="Y5" t="s">
        <v>2664</v>
      </c>
      <c r="Z5" t="s">
        <v>2665</v>
      </c>
      <c r="AA5" t="s">
        <v>2666</v>
      </c>
      <c r="AB5" t="s">
        <v>2667</v>
      </c>
      <c r="AC5" s="39" t="s">
        <v>462</v>
      </c>
    </row>
    <row r="6" spans="1:29" ht="16">
      <c r="A6" s="79" t="s">
        <v>24</v>
      </c>
      <c r="B6" t="s">
        <v>5</v>
      </c>
      <c r="C6" t="s">
        <v>2653</v>
      </c>
      <c r="D6" s="86" t="s">
        <v>2608</v>
      </c>
      <c r="E6" s="86" t="s">
        <v>2743</v>
      </c>
      <c r="F6" s="79" t="s">
        <v>466</v>
      </c>
      <c r="G6" s="80" t="s">
        <v>2711</v>
      </c>
      <c r="H6" t="s">
        <v>2654</v>
      </c>
      <c r="I6">
        <v>20001</v>
      </c>
      <c r="J6" t="s">
        <v>2608</v>
      </c>
      <c r="K6" s="78" t="s">
        <v>2655</v>
      </c>
      <c r="L6" t="s">
        <v>2656</v>
      </c>
      <c r="M6" s="78" t="s">
        <v>2657</v>
      </c>
      <c r="N6" s="79" t="s">
        <v>2673</v>
      </c>
      <c r="O6" t="s">
        <v>2674</v>
      </c>
      <c r="P6" t="s">
        <v>2659</v>
      </c>
      <c r="Q6" t="s">
        <v>2660</v>
      </c>
      <c r="R6" s="78" t="s">
        <v>2661</v>
      </c>
      <c r="S6" t="s">
        <v>2662</v>
      </c>
      <c r="T6" t="s">
        <v>2654</v>
      </c>
      <c r="U6" s="44">
        <v>6281412127890</v>
      </c>
      <c r="V6" s="39" t="s">
        <v>445</v>
      </c>
      <c r="W6" t="s">
        <v>2663</v>
      </c>
      <c r="X6">
        <v>109332</v>
      </c>
      <c r="Y6" t="s">
        <v>2664</v>
      </c>
      <c r="Z6" t="s">
        <v>2665</v>
      </c>
      <c r="AA6" t="s">
        <v>2666</v>
      </c>
      <c r="AB6" t="s">
        <v>2667</v>
      </c>
      <c r="AC6" s="39" t="s">
        <v>468</v>
      </c>
    </row>
    <row r="7" spans="1:29" ht="16">
      <c r="A7" s="79" t="s">
        <v>471</v>
      </c>
      <c r="B7" t="s">
        <v>5</v>
      </c>
      <c r="C7" t="s">
        <v>2653</v>
      </c>
      <c r="D7" s="86" t="s">
        <v>2609</v>
      </c>
      <c r="E7" s="86" t="s">
        <v>2743</v>
      </c>
      <c r="F7" s="79" t="s">
        <v>476</v>
      </c>
      <c r="G7" s="80" t="s">
        <v>2712</v>
      </c>
      <c r="H7" t="s">
        <v>2654</v>
      </c>
      <c r="I7">
        <v>20001</v>
      </c>
      <c r="J7" t="s">
        <v>2609</v>
      </c>
      <c r="K7" s="78" t="s">
        <v>2655</v>
      </c>
      <c r="L7" t="s">
        <v>2656</v>
      </c>
      <c r="M7" s="78" t="s">
        <v>2657</v>
      </c>
      <c r="N7" s="79" t="s">
        <v>2675</v>
      </c>
      <c r="O7" t="s">
        <v>2676</v>
      </c>
      <c r="P7" t="s">
        <v>2659</v>
      </c>
      <c r="Q7" t="s">
        <v>2660</v>
      </c>
      <c r="R7" s="78" t="s">
        <v>2661</v>
      </c>
      <c r="S7" t="s">
        <v>2662</v>
      </c>
      <c r="T7" t="s">
        <v>2654</v>
      </c>
      <c r="U7" s="44">
        <v>6285819325199</v>
      </c>
      <c r="V7" s="39" t="s">
        <v>473</v>
      </c>
      <c r="W7" t="s">
        <v>2663</v>
      </c>
      <c r="X7">
        <v>109335</v>
      </c>
      <c r="Y7" t="s">
        <v>2664</v>
      </c>
      <c r="Z7" t="s">
        <v>2665</v>
      </c>
      <c r="AA7" t="s">
        <v>2666</v>
      </c>
      <c r="AB7" t="s">
        <v>2667</v>
      </c>
      <c r="AC7" s="39" t="s">
        <v>478</v>
      </c>
    </row>
    <row r="8" spans="1:29" ht="16">
      <c r="A8" s="79" t="s">
        <v>471</v>
      </c>
      <c r="B8" t="s">
        <v>5</v>
      </c>
      <c r="C8" t="s">
        <v>2653</v>
      </c>
      <c r="D8" s="86" t="s">
        <v>2610</v>
      </c>
      <c r="E8" s="86" t="s">
        <v>2743</v>
      </c>
      <c r="F8" s="79" t="s">
        <v>488</v>
      </c>
      <c r="G8" s="80" t="s">
        <v>2713</v>
      </c>
      <c r="H8" t="s">
        <v>2654</v>
      </c>
      <c r="I8">
        <v>20001</v>
      </c>
      <c r="J8" t="s">
        <v>2610</v>
      </c>
      <c r="K8" s="78" t="s">
        <v>2655</v>
      </c>
      <c r="L8" t="s">
        <v>2656</v>
      </c>
      <c r="M8" s="78" t="s">
        <v>2657</v>
      </c>
      <c r="N8" s="79" t="s">
        <v>2677</v>
      </c>
      <c r="O8" t="s">
        <v>2678</v>
      </c>
      <c r="P8" t="s">
        <v>2659</v>
      </c>
      <c r="Q8" t="s">
        <v>2660</v>
      </c>
      <c r="R8" s="78" t="s">
        <v>2661</v>
      </c>
      <c r="S8" t="s">
        <v>2662</v>
      </c>
      <c r="T8" t="s">
        <v>2654</v>
      </c>
      <c r="U8" s="44">
        <v>6281412128935</v>
      </c>
      <c r="V8" s="39" t="s">
        <v>473</v>
      </c>
      <c r="W8" t="s">
        <v>2663</v>
      </c>
      <c r="X8">
        <v>109335</v>
      </c>
      <c r="Y8" t="s">
        <v>2664</v>
      </c>
      <c r="Z8" t="s">
        <v>2665</v>
      </c>
      <c r="AA8" t="s">
        <v>2666</v>
      </c>
      <c r="AB8" t="s">
        <v>2667</v>
      </c>
      <c r="AC8" s="39" t="s">
        <v>490</v>
      </c>
    </row>
    <row r="9" spans="1:29" ht="16">
      <c r="A9" s="79" t="s">
        <v>703</v>
      </c>
      <c r="B9" t="s">
        <v>5</v>
      </c>
      <c r="C9" t="s">
        <v>2653</v>
      </c>
      <c r="D9" s="86" t="s">
        <v>2592</v>
      </c>
      <c r="E9" s="86" t="s">
        <v>2743</v>
      </c>
      <c r="F9" s="79" t="s">
        <v>732</v>
      </c>
      <c r="G9" s="80" t="s">
        <v>2714</v>
      </c>
      <c r="H9" t="s">
        <v>2654</v>
      </c>
      <c r="I9">
        <v>20001</v>
      </c>
      <c r="J9" t="s">
        <v>2592</v>
      </c>
      <c r="K9" s="78" t="s">
        <v>2655</v>
      </c>
      <c r="L9" t="s">
        <v>2656</v>
      </c>
      <c r="M9" s="78" t="s">
        <v>2657</v>
      </c>
      <c r="N9" s="79" t="s">
        <v>2679</v>
      </c>
      <c r="O9" t="s">
        <v>2680</v>
      </c>
      <c r="P9" t="s">
        <v>2659</v>
      </c>
      <c r="Q9" t="s">
        <v>2660</v>
      </c>
      <c r="R9" s="78" t="s">
        <v>2661</v>
      </c>
      <c r="S9" t="s">
        <v>2662</v>
      </c>
      <c r="T9" t="s">
        <v>2654</v>
      </c>
      <c r="U9" s="44">
        <v>6285779999546</v>
      </c>
      <c r="V9" s="39" t="s">
        <v>705</v>
      </c>
      <c r="W9" t="s">
        <v>2663</v>
      </c>
      <c r="X9">
        <v>120985</v>
      </c>
      <c r="Y9" t="s">
        <v>2664</v>
      </c>
      <c r="Z9" t="s">
        <v>2665</v>
      </c>
      <c r="AA9" t="s">
        <v>2666</v>
      </c>
      <c r="AB9" t="s">
        <v>2667</v>
      </c>
      <c r="AC9" s="39" t="s">
        <v>734</v>
      </c>
    </row>
    <row r="10" spans="1:29" ht="16">
      <c r="A10" s="79" t="s">
        <v>703</v>
      </c>
      <c r="B10" t="s">
        <v>5</v>
      </c>
      <c r="C10" t="s">
        <v>2653</v>
      </c>
      <c r="D10" s="86" t="s">
        <v>2591</v>
      </c>
      <c r="E10" s="86" t="s">
        <v>2743</v>
      </c>
      <c r="F10" s="79" t="s">
        <v>773</v>
      </c>
      <c r="G10" s="80" t="s">
        <v>2715</v>
      </c>
      <c r="H10" t="s">
        <v>2654</v>
      </c>
      <c r="I10">
        <v>20001</v>
      </c>
      <c r="J10" t="s">
        <v>2591</v>
      </c>
      <c r="K10" s="78" t="s">
        <v>2655</v>
      </c>
      <c r="L10" t="s">
        <v>2656</v>
      </c>
      <c r="M10" s="78" t="s">
        <v>2657</v>
      </c>
      <c r="N10" s="79" t="s">
        <v>773</v>
      </c>
      <c r="O10" s="79" t="s">
        <v>773</v>
      </c>
      <c r="P10" t="s">
        <v>2659</v>
      </c>
      <c r="Q10" t="s">
        <v>2660</v>
      </c>
      <c r="R10" s="78" t="s">
        <v>2661</v>
      </c>
      <c r="S10" t="s">
        <v>2662</v>
      </c>
      <c r="T10" t="s">
        <v>2654</v>
      </c>
      <c r="U10" s="44">
        <v>6289507348390</v>
      </c>
      <c r="V10" s="39" t="s">
        <v>705</v>
      </c>
      <c r="W10" t="s">
        <v>2663</v>
      </c>
      <c r="X10">
        <v>120985</v>
      </c>
      <c r="Y10" t="s">
        <v>2664</v>
      </c>
      <c r="Z10" t="s">
        <v>2665</v>
      </c>
      <c r="AA10" t="s">
        <v>2666</v>
      </c>
      <c r="AB10" t="s">
        <v>2667</v>
      </c>
      <c r="AC10" s="39" t="s">
        <v>775</v>
      </c>
    </row>
    <row r="11" spans="1:29" ht="16">
      <c r="A11" s="79" t="s">
        <v>807</v>
      </c>
      <c r="B11" t="s">
        <v>5</v>
      </c>
      <c r="C11" t="s">
        <v>2653</v>
      </c>
      <c r="D11" s="86" t="s">
        <v>2598</v>
      </c>
      <c r="E11" s="86" t="s">
        <v>2743</v>
      </c>
      <c r="F11" s="79" t="s">
        <v>812</v>
      </c>
      <c r="G11" s="80" t="s">
        <v>2716</v>
      </c>
      <c r="H11" t="s">
        <v>2654</v>
      </c>
      <c r="I11">
        <v>20001</v>
      </c>
      <c r="J11" t="s">
        <v>2598</v>
      </c>
      <c r="K11" s="78" t="s">
        <v>2655</v>
      </c>
      <c r="L11" t="s">
        <v>2656</v>
      </c>
      <c r="M11" s="78" t="s">
        <v>2657</v>
      </c>
      <c r="N11" s="79" t="s">
        <v>2681</v>
      </c>
      <c r="O11" t="s">
        <v>2682</v>
      </c>
      <c r="P11" t="s">
        <v>2659</v>
      </c>
      <c r="Q11" t="s">
        <v>2660</v>
      </c>
      <c r="R11" s="78" t="s">
        <v>2661</v>
      </c>
      <c r="S11" t="s">
        <v>2662</v>
      </c>
      <c r="T11" t="s">
        <v>2654</v>
      </c>
      <c r="U11" s="44">
        <v>6285857123456</v>
      </c>
      <c r="V11" s="39" t="s">
        <v>809</v>
      </c>
      <c r="W11" t="s">
        <v>2663</v>
      </c>
      <c r="X11">
        <v>120979</v>
      </c>
      <c r="Y11" t="s">
        <v>2664</v>
      </c>
      <c r="Z11" t="s">
        <v>2665</v>
      </c>
      <c r="AA11" t="s">
        <v>2666</v>
      </c>
      <c r="AB11" t="s">
        <v>2667</v>
      </c>
      <c r="AC11" s="39" t="s">
        <v>815</v>
      </c>
    </row>
    <row r="12" spans="1:29" ht="16">
      <c r="A12" s="79" t="s">
        <v>821</v>
      </c>
      <c r="B12" t="s">
        <v>5</v>
      </c>
      <c r="C12" t="s">
        <v>2653</v>
      </c>
      <c r="D12" s="86" t="s">
        <v>2601</v>
      </c>
      <c r="E12" s="86" t="s">
        <v>2743</v>
      </c>
      <c r="F12" s="79" t="s">
        <v>826</v>
      </c>
      <c r="G12" s="80" t="s">
        <v>2717</v>
      </c>
      <c r="H12" t="s">
        <v>2654</v>
      </c>
      <c r="I12">
        <v>20001</v>
      </c>
      <c r="J12" s="48" t="s">
        <v>2601</v>
      </c>
      <c r="K12" s="78" t="s">
        <v>2655</v>
      </c>
      <c r="L12" t="s">
        <v>2656</v>
      </c>
      <c r="M12" s="78" t="s">
        <v>2657</v>
      </c>
      <c r="N12" s="79" t="s">
        <v>2683</v>
      </c>
      <c r="O12" t="s">
        <v>2684</v>
      </c>
      <c r="P12" t="s">
        <v>2659</v>
      </c>
      <c r="Q12" t="s">
        <v>2660</v>
      </c>
      <c r="R12" s="78" t="s">
        <v>2661</v>
      </c>
      <c r="S12" t="s">
        <v>2662</v>
      </c>
      <c r="T12" t="s">
        <v>2654</v>
      </c>
      <c r="U12" s="44">
        <v>6285880078885</v>
      </c>
      <c r="V12" s="39" t="s">
        <v>823</v>
      </c>
      <c r="W12" t="s">
        <v>2663</v>
      </c>
      <c r="X12">
        <v>120978</v>
      </c>
      <c r="Y12" t="s">
        <v>2664</v>
      </c>
      <c r="Z12" t="s">
        <v>2665</v>
      </c>
      <c r="AA12" t="s">
        <v>2666</v>
      </c>
      <c r="AB12" t="s">
        <v>2667</v>
      </c>
      <c r="AC12" s="39" t="s">
        <v>828</v>
      </c>
    </row>
    <row r="13" spans="1:29" ht="16">
      <c r="A13" s="79" t="s">
        <v>807</v>
      </c>
      <c r="B13" t="s">
        <v>5</v>
      </c>
      <c r="C13" t="s">
        <v>2653</v>
      </c>
      <c r="D13" s="86" t="s">
        <v>2599</v>
      </c>
      <c r="E13" s="86" t="s">
        <v>2743</v>
      </c>
      <c r="F13" s="79" t="s">
        <v>834</v>
      </c>
      <c r="G13" t="s">
        <v>2718</v>
      </c>
      <c r="H13" t="s">
        <v>2654</v>
      </c>
      <c r="I13">
        <v>20001</v>
      </c>
      <c r="J13" t="s">
        <v>2599</v>
      </c>
      <c r="K13" s="78" t="s">
        <v>2655</v>
      </c>
      <c r="L13" t="s">
        <v>2656</v>
      </c>
      <c r="M13" s="78" t="s">
        <v>2657</v>
      </c>
      <c r="N13" s="79" t="s">
        <v>2685</v>
      </c>
      <c r="O13" t="s">
        <v>2554</v>
      </c>
      <c r="P13" t="s">
        <v>2659</v>
      </c>
      <c r="Q13" t="s">
        <v>2660</v>
      </c>
      <c r="R13" s="78" t="s">
        <v>2661</v>
      </c>
      <c r="S13" t="s">
        <v>2662</v>
      </c>
      <c r="T13" t="s">
        <v>2654</v>
      </c>
      <c r="U13" s="44">
        <v>6281400762344</v>
      </c>
      <c r="V13" s="39" t="s">
        <v>809</v>
      </c>
      <c r="W13" t="s">
        <v>2663</v>
      </c>
      <c r="X13">
        <v>120979</v>
      </c>
      <c r="Y13" t="s">
        <v>2664</v>
      </c>
      <c r="Z13" t="s">
        <v>2665</v>
      </c>
      <c r="AA13" t="s">
        <v>2666</v>
      </c>
      <c r="AB13" t="s">
        <v>2667</v>
      </c>
      <c r="AC13" s="39" t="s">
        <v>836</v>
      </c>
    </row>
    <row r="14" spans="1:29" ht="16">
      <c r="A14" s="79" t="s">
        <v>839</v>
      </c>
      <c r="B14" t="s">
        <v>5</v>
      </c>
      <c r="C14" t="s">
        <v>2653</v>
      </c>
      <c r="D14" s="86" t="s">
        <v>2594</v>
      </c>
      <c r="E14" s="86" t="s">
        <v>2743</v>
      </c>
      <c r="F14" s="79" t="s">
        <v>844</v>
      </c>
      <c r="G14" t="s">
        <v>2719</v>
      </c>
      <c r="H14" t="s">
        <v>2654</v>
      </c>
      <c r="I14">
        <v>20001</v>
      </c>
      <c r="J14" t="s">
        <v>2594</v>
      </c>
      <c r="K14" s="78" t="s">
        <v>2655</v>
      </c>
      <c r="L14" t="s">
        <v>2656</v>
      </c>
      <c r="M14" s="78" t="s">
        <v>2657</v>
      </c>
      <c r="N14" s="79" t="s">
        <v>2686</v>
      </c>
      <c r="O14" t="s">
        <v>2687</v>
      </c>
      <c r="P14" t="s">
        <v>2659</v>
      </c>
      <c r="Q14" t="s">
        <v>2660</v>
      </c>
      <c r="R14" s="78" t="s">
        <v>2661</v>
      </c>
      <c r="S14" t="s">
        <v>2662</v>
      </c>
      <c r="T14" t="s">
        <v>2654</v>
      </c>
      <c r="U14" s="44">
        <v>6285882632792</v>
      </c>
      <c r="V14" s="39" t="s">
        <v>841</v>
      </c>
      <c r="W14" t="s">
        <v>2663</v>
      </c>
      <c r="X14">
        <v>118399</v>
      </c>
      <c r="Y14" t="s">
        <v>2664</v>
      </c>
      <c r="Z14" t="s">
        <v>2665</v>
      </c>
      <c r="AA14" t="s">
        <v>2666</v>
      </c>
      <c r="AB14" t="s">
        <v>2667</v>
      </c>
      <c r="AC14" s="39" t="s">
        <v>847</v>
      </c>
    </row>
    <row r="15" spans="1:29" ht="16">
      <c r="A15" s="79" t="s">
        <v>807</v>
      </c>
      <c r="B15" t="s">
        <v>5</v>
      </c>
      <c r="C15" t="s">
        <v>2653</v>
      </c>
      <c r="D15" s="86" t="s">
        <v>2600</v>
      </c>
      <c r="E15" s="86" t="s">
        <v>2743</v>
      </c>
      <c r="F15" s="79" t="s">
        <v>853</v>
      </c>
      <c r="G15" t="s">
        <v>2720</v>
      </c>
      <c r="H15" t="s">
        <v>2654</v>
      </c>
      <c r="I15">
        <v>20001</v>
      </c>
      <c r="J15" t="s">
        <v>2600</v>
      </c>
      <c r="K15" s="78" t="s">
        <v>2655</v>
      </c>
      <c r="L15" t="s">
        <v>2656</v>
      </c>
      <c r="M15" s="78" t="s">
        <v>2657</v>
      </c>
      <c r="N15" s="79" t="s">
        <v>853</v>
      </c>
      <c r="O15" s="79" t="s">
        <v>853</v>
      </c>
      <c r="P15" t="s">
        <v>2659</v>
      </c>
      <c r="Q15" t="s">
        <v>2660</v>
      </c>
      <c r="R15" s="78" t="s">
        <v>2661</v>
      </c>
      <c r="S15" t="s">
        <v>2662</v>
      </c>
      <c r="T15" t="s">
        <v>2654</v>
      </c>
      <c r="U15" s="44">
        <v>6285813033710</v>
      </c>
      <c r="V15" s="39" t="s">
        <v>809</v>
      </c>
      <c r="W15" t="s">
        <v>2663</v>
      </c>
      <c r="X15">
        <v>120979</v>
      </c>
      <c r="Y15" t="s">
        <v>2664</v>
      </c>
      <c r="Z15" t="s">
        <v>2665</v>
      </c>
      <c r="AA15" t="s">
        <v>2666</v>
      </c>
      <c r="AB15" t="s">
        <v>2667</v>
      </c>
      <c r="AC15" s="39" t="s">
        <v>856</v>
      </c>
    </row>
    <row r="16" spans="1:29" ht="16">
      <c r="A16" s="79" t="s">
        <v>821</v>
      </c>
      <c r="B16" t="s">
        <v>5</v>
      </c>
      <c r="C16" t="s">
        <v>2653</v>
      </c>
      <c r="D16" s="86" t="s">
        <v>2602</v>
      </c>
      <c r="E16" s="86" t="s">
        <v>2743</v>
      </c>
      <c r="F16" s="79" t="s">
        <v>862</v>
      </c>
      <c r="G16" t="s">
        <v>2721</v>
      </c>
      <c r="H16" t="s">
        <v>2654</v>
      </c>
      <c r="I16">
        <v>20001</v>
      </c>
      <c r="J16" t="s">
        <v>2602</v>
      </c>
      <c r="K16" s="78" t="s">
        <v>2655</v>
      </c>
      <c r="L16" t="s">
        <v>2656</v>
      </c>
      <c r="M16" s="78" t="s">
        <v>2657</v>
      </c>
      <c r="N16" s="79" t="s">
        <v>2688</v>
      </c>
      <c r="O16" t="s">
        <v>2689</v>
      </c>
      <c r="P16" t="s">
        <v>2659</v>
      </c>
      <c r="Q16" t="s">
        <v>2660</v>
      </c>
      <c r="R16" s="78" t="s">
        <v>2661</v>
      </c>
      <c r="S16" t="s">
        <v>2662</v>
      </c>
      <c r="T16" t="s">
        <v>2654</v>
      </c>
      <c r="U16" s="44">
        <v>6285811023192</v>
      </c>
      <c r="V16" s="39" t="s">
        <v>823</v>
      </c>
      <c r="W16" t="s">
        <v>2663</v>
      </c>
      <c r="X16">
        <v>120978</v>
      </c>
      <c r="Y16" t="s">
        <v>2664</v>
      </c>
      <c r="Z16" t="s">
        <v>2665</v>
      </c>
      <c r="AA16" t="s">
        <v>2666</v>
      </c>
      <c r="AB16" t="s">
        <v>2667</v>
      </c>
      <c r="AC16" s="39" t="s">
        <v>864</v>
      </c>
    </row>
    <row r="17" spans="1:29" ht="16">
      <c r="A17" s="79" t="s">
        <v>879</v>
      </c>
      <c r="B17" t="s">
        <v>5</v>
      </c>
      <c r="C17" t="s">
        <v>2653</v>
      </c>
      <c r="D17" s="86" t="s">
        <v>2596</v>
      </c>
      <c r="E17" s="86" t="s">
        <v>2743</v>
      </c>
      <c r="F17" s="79" t="s">
        <v>902</v>
      </c>
      <c r="G17" t="s">
        <v>2722</v>
      </c>
      <c r="H17" t="s">
        <v>2654</v>
      </c>
      <c r="I17">
        <v>20001</v>
      </c>
      <c r="J17" t="s">
        <v>2596</v>
      </c>
      <c r="K17" s="78" t="s">
        <v>2655</v>
      </c>
      <c r="L17" t="s">
        <v>2656</v>
      </c>
      <c r="M17" s="78" t="s">
        <v>2657</v>
      </c>
      <c r="N17" s="79" t="s">
        <v>2690</v>
      </c>
      <c r="O17" t="s">
        <v>2691</v>
      </c>
      <c r="P17" t="s">
        <v>2659</v>
      </c>
      <c r="Q17" t="s">
        <v>2660</v>
      </c>
      <c r="R17" s="78" t="s">
        <v>2661</v>
      </c>
      <c r="S17" t="s">
        <v>2662</v>
      </c>
      <c r="T17" t="s">
        <v>2654</v>
      </c>
      <c r="U17" s="44">
        <v>6285664975358</v>
      </c>
      <c r="V17" s="39" t="s">
        <v>881</v>
      </c>
      <c r="W17" t="s">
        <v>2663</v>
      </c>
      <c r="X17">
        <v>109720</v>
      </c>
      <c r="Y17" t="s">
        <v>2664</v>
      </c>
      <c r="Z17" t="s">
        <v>2665</v>
      </c>
      <c r="AA17" t="s">
        <v>2666</v>
      </c>
      <c r="AB17" t="s">
        <v>2667</v>
      </c>
      <c r="AC17" s="39" t="s">
        <v>904</v>
      </c>
    </row>
    <row r="18" spans="1:29" ht="16">
      <c r="A18" s="79" t="s">
        <v>879</v>
      </c>
      <c r="B18" t="s">
        <v>5</v>
      </c>
      <c r="C18" t="s">
        <v>2653</v>
      </c>
      <c r="D18" s="86" t="s">
        <v>2597</v>
      </c>
      <c r="E18" s="86" t="s">
        <v>2743</v>
      </c>
      <c r="F18" s="79" t="s">
        <v>910</v>
      </c>
      <c r="G18" t="s">
        <v>2723</v>
      </c>
      <c r="H18" t="s">
        <v>2654</v>
      </c>
      <c r="I18">
        <v>20001</v>
      </c>
      <c r="J18" t="s">
        <v>2597</v>
      </c>
      <c r="K18" s="78" t="s">
        <v>2655</v>
      </c>
      <c r="L18" t="s">
        <v>2656</v>
      </c>
      <c r="M18" s="78" t="s">
        <v>2657</v>
      </c>
      <c r="N18" s="79" t="s">
        <v>2692</v>
      </c>
      <c r="O18" t="s">
        <v>2693</v>
      </c>
      <c r="P18" t="s">
        <v>2659</v>
      </c>
      <c r="Q18" t="s">
        <v>2660</v>
      </c>
      <c r="R18" s="78" t="s">
        <v>2661</v>
      </c>
      <c r="S18" t="s">
        <v>2662</v>
      </c>
      <c r="T18" t="s">
        <v>2654</v>
      </c>
      <c r="U18" s="44">
        <v>6285774654948</v>
      </c>
      <c r="V18" s="39" t="s">
        <v>881</v>
      </c>
      <c r="W18" t="s">
        <v>2663</v>
      </c>
      <c r="X18">
        <v>109720</v>
      </c>
      <c r="Y18" t="s">
        <v>2664</v>
      </c>
      <c r="Z18" t="s">
        <v>2665</v>
      </c>
      <c r="AA18" t="s">
        <v>2666</v>
      </c>
      <c r="AB18" t="s">
        <v>2667</v>
      </c>
      <c r="AC18" s="39" t="s">
        <v>912</v>
      </c>
    </row>
    <row r="19" spans="1:29" ht="16">
      <c r="A19" s="79" t="s">
        <v>103</v>
      </c>
      <c r="B19" t="s">
        <v>5</v>
      </c>
      <c r="C19" t="s">
        <v>2653</v>
      </c>
      <c r="D19" s="86" t="s">
        <v>2589</v>
      </c>
      <c r="E19" s="86" t="s">
        <v>2743</v>
      </c>
      <c r="F19" s="79" t="s">
        <v>979</v>
      </c>
      <c r="G19" t="s">
        <v>2724</v>
      </c>
      <c r="H19" t="s">
        <v>2654</v>
      </c>
      <c r="I19">
        <v>20001</v>
      </c>
      <c r="J19" t="s">
        <v>2589</v>
      </c>
      <c r="K19" s="78" t="s">
        <v>2655</v>
      </c>
      <c r="L19" t="s">
        <v>2656</v>
      </c>
      <c r="M19" s="78" t="s">
        <v>2657</v>
      </c>
      <c r="N19" s="79" t="s">
        <v>2694</v>
      </c>
      <c r="O19" t="s">
        <v>2695</v>
      </c>
      <c r="P19" t="s">
        <v>2659</v>
      </c>
      <c r="Q19" t="s">
        <v>2660</v>
      </c>
      <c r="R19" s="78" t="s">
        <v>2661</v>
      </c>
      <c r="S19" t="s">
        <v>2662</v>
      </c>
      <c r="T19" t="s">
        <v>2654</v>
      </c>
      <c r="U19" s="44">
        <v>6285692700647</v>
      </c>
      <c r="V19" s="39" t="s">
        <v>105</v>
      </c>
      <c r="W19" t="s">
        <v>2663</v>
      </c>
      <c r="X19">
        <v>109396</v>
      </c>
      <c r="Y19" t="s">
        <v>2664</v>
      </c>
      <c r="Z19" t="s">
        <v>2665</v>
      </c>
      <c r="AA19" t="s">
        <v>2666</v>
      </c>
      <c r="AB19" t="s">
        <v>2667</v>
      </c>
      <c r="AC19" s="39" t="s">
        <v>981</v>
      </c>
    </row>
    <row r="20" spans="1:29" ht="16">
      <c r="A20" s="79" t="s">
        <v>112</v>
      </c>
      <c r="B20" t="s">
        <v>5</v>
      </c>
      <c r="C20" t="s">
        <v>2653</v>
      </c>
      <c r="D20" s="86" t="s">
        <v>2588</v>
      </c>
      <c r="E20" s="86" t="s">
        <v>2743</v>
      </c>
      <c r="F20" s="79" t="s">
        <v>985</v>
      </c>
      <c r="G20" t="s">
        <v>2725</v>
      </c>
      <c r="H20" t="s">
        <v>2654</v>
      </c>
      <c r="I20">
        <v>20001</v>
      </c>
      <c r="J20" t="s">
        <v>2588</v>
      </c>
      <c r="K20" s="78" t="s">
        <v>2655</v>
      </c>
      <c r="L20" t="s">
        <v>2656</v>
      </c>
      <c r="M20" s="78" t="s">
        <v>2657</v>
      </c>
      <c r="N20" s="79" t="s">
        <v>2696</v>
      </c>
      <c r="O20" t="s">
        <v>2697</v>
      </c>
      <c r="P20" t="s">
        <v>2659</v>
      </c>
      <c r="Q20" t="s">
        <v>2660</v>
      </c>
      <c r="R20" s="78" t="s">
        <v>2661</v>
      </c>
      <c r="S20" t="s">
        <v>2662</v>
      </c>
      <c r="T20" t="s">
        <v>2654</v>
      </c>
      <c r="U20" s="44">
        <v>6285692700664</v>
      </c>
      <c r="V20" s="39" t="s">
        <v>114</v>
      </c>
      <c r="W20" t="s">
        <v>2663</v>
      </c>
      <c r="X20">
        <v>109400</v>
      </c>
      <c r="Y20" t="s">
        <v>2664</v>
      </c>
      <c r="Z20" t="s">
        <v>2665</v>
      </c>
      <c r="AA20" t="s">
        <v>2666</v>
      </c>
      <c r="AB20" t="s">
        <v>2667</v>
      </c>
      <c r="AC20" s="39" t="s">
        <v>987</v>
      </c>
    </row>
    <row r="21" spans="1:29" ht="16">
      <c r="A21" s="79" t="s">
        <v>103</v>
      </c>
      <c r="B21" t="s">
        <v>5</v>
      </c>
      <c r="C21" t="s">
        <v>2653</v>
      </c>
      <c r="D21" s="86" t="s">
        <v>2590</v>
      </c>
      <c r="E21" s="86" t="s">
        <v>2743</v>
      </c>
      <c r="F21" s="79" t="s">
        <v>991</v>
      </c>
      <c r="G21" t="s">
        <v>2726</v>
      </c>
      <c r="H21" t="s">
        <v>2654</v>
      </c>
      <c r="I21">
        <v>20001</v>
      </c>
      <c r="J21" t="s">
        <v>2590</v>
      </c>
      <c r="K21" s="78" t="s">
        <v>2655</v>
      </c>
      <c r="L21" t="s">
        <v>2656</v>
      </c>
      <c r="M21" s="78" t="s">
        <v>2657</v>
      </c>
      <c r="N21" s="79" t="s">
        <v>2698</v>
      </c>
      <c r="O21" t="s">
        <v>2699</v>
      </c>
      <c r="P21" t="s">
        <v>2659</v>
      </c>
      <c r="Q21" t="s">
        <v>2660</v>
      </c>
      <c r="R21" s="78" t="s">
        <v>2661</v>
      </c>
      <c r="S21" t="s">
        <v>2662</v>
      </c>
      <c r="T21" t="s">
        <v>2654</v>
      </c>
      <c r="U21" s="44">
        <v>6285692700667</v>
      </c>
      <c r="V21" s="39" t="s">
        <v>105</v>
      </c>
      <c r="W21" t="s">
        <v>2663</v>
      </c>
      <c r="X21">
        <v>109396</v>
      </c>
      <c r="Y21" t="s">
        <v>2664</v>
      </c>
      <c r="Z21" t="s">
        <v>2665</v>
      </c>
      <c r="AA21" t="s">
        <v>2666</v>
      </c>
      <c r="AB21" t="s">
        <v>2667</v>
      </c>
      <c r="AC21" s="39" t="s">
        <v>993</v>
      </c>
    </row>
    <row r="22" spans="1:29" ht="16">
      <c r="A22" s="79" t="s">
        <v>839</v>
      </c>
      <c r="B22" t="s">
        <v>5</v>
      </c>
      <c r="C22" t="s">
        <v>2653</v>
      </c>
      <c r="D22" s="86" t="s">
        <v>2595</v>
      </c>
      <c r="E22" s="86" t="s">
        <v>2743</v>
      </c>
      <c r="F22" s="79" t="s">
        <v>1094</v>
      </c>
      <c r="G22" t="s">
        <v>2727</v>
      </c>
      <c r="H22" t="s">
        <v>2654</v>
      </c>
      <c r="I22">
        <v>20001</v>
      </c>
      <c r="J22" t="s">
        <v>2595</v>
      </c>
      <c r="K22" s="78" t="s">
        <v>2655</v>
      </c>
      <c r="L22" t="s">
        <v>2656</v>
      </c>
      <c r="M22" s="78" t="s">
        <v>2657</v>
      </c>
      <c r="N22" s="79" t="s">
        <v>2700</v>
      </c>
      <c r="O22" t="s">
        <v>2555</v>
      </c>
      <c r="P22" t="s">
        <v>2659</v>
      </c>
      <c r="Q22" t="s">
        <v>2660</v>
      </c>
      <c r="R22" s="78" t="s">
        <v>2661</v>
      </c>
      <c r="S22" t="s">
        <v>2662</v>
      </c>
      <c r="T22" t="s">
        <v>2654</v>
      </c>
      <c r="U22" s="44">
        <v>6285695001961</v>
      </c>
      <c r="V22" s="39" t="s">
        <v>841</v>
      </c>
      <c r="W22" t="s">
        <v>2663</v>
      </c>
      <c r="X22">
        <v>118399</v>
      </c>
      <c r="Y22" t="s">
        <v>2664</v>
      </c>
      <c r="Z22" t="s">
        <v>2665</v>
      </c>
      <c r="AA22" t="s">
        <v>2666</v>
      </c>
      <c r="AB22" t="s">
        <v>2667</v>
      </c>
      <c r="AC22" s="39" t="s">
        <v>1095</v>
      </c>
    </row>
    <row r="23" spans="1:29" ht="16">
      <c r="A23" s="79" t="s">
        <v>1098</v>
      </c>
      <c r="B23" t="s">
        <v>5</v>
      </c>
      <c r="C23" t="s">
        <v>2653</v>
      </c>
      <c r="D23" s="86" t="s">
        <v>2593</v>
      </c>
      <c r="E23" s="86" t="s">
        <v>2743</v>
      </c>
      <c r="F23" s="79" t="s">
        <v>1212</v>
      </c>
      <c r="G23" t="s">
        <v>2728</v>
      </c>
      <c r="H23" t="s">
        <v>2654</v>
      </c>
      <c r="I23">
        <v>20001</v>
      </c>
      <c r="J23" t="s">
        <v>2593</v>
      </c>
      <c r="K23" s="78" t="s">
        <v>2655</v>
      </c>
      <c r="L23" t="s">
        <v>2656</v>
      </c>
      <c r="M23" s="78" t="s">
        <v>2657</v>
      </c>
      <c r="N23" s="79" t="s">
        <v>2701</v>
      </c>
      <c r="O23" t="s">
        <v>2702</v>
      </c>
      <c r="P23" t="s">
        <v>2659</v>
      </c>
      <c r="Q23" t="s">
        <v>2660</v>
      </c>
      <c r="R23" s="78" t="s">
        <v>2661</v>
      </c>
      <c r="S23" t="s">
        <v>2662</v>
      </c>
      <c r="T23" t="s">
        <v>2654</v>
      </c>
      <c r="U23" s="44">
        <v>6285692581643</v>
      </c>
      <c r="V23" s="39" t="s">
        <v>1100</v>
      </c>
      <c r="W23" t="s">
        <v>2663</v>
      </c>
      <c r="X23">
        <v>109375</v>
      </c>
      <c r="Y23" t="s">
        <v>2664</v>
      </c>
      <c r="Z23" t="s">
        <v>2665</v>
      </c>
      <c r="AA23" t="s">
        <v>2666</v>
      </c>
      <c r="AB23" t="s">
        <v>2667</v>
      </c>
      <c r="AC23" s="39" t="s">
        <v>1214</v>
      </c>
    </row>
    <row r="24" spans="1:29" ht="16">
      <c r="A24" s="79" t="s">
        <v>1387</v>
      </c>
      <c r="B24" t="s">
        <v>5</v>
      </c>
      <c r="C24" t="s">
        <v>2653</v>
      </c>
      <c r="D24" s="86" t="s">
        <v>2603</v>
      </c>
      <c r="E24" s="86" t="s">
        <v>2743</v>
      </c>
      <c r="F24" s="79" t="s">
        <v>1410</v>
      </c>
      <c r="G24" t="s">
        <v>2729</v>
      </c>
      <c r="H24" t="s">
        <v>2654</v>
      </c>
      <c r="I24">
        <v>20001</v>
      </c>
      <c r="J24" t="s">
        <v>2603</v>
      </c>
      <c r="K24" s="78" t="s">
        <v>2655</v>
      </c>
      <c r="L24" t="s">
        <v>2656</v>
      </c>
      <c r="M24" s="78" t="s">
        <v>2657</v>
      </c>
      <c r="N24" s="79" t="s">
        <v>1410</v>
      </c>
      <c r="O24" s="79" t="s">
        <v>1410</v>
      </c>
      <c r="P24" t="s">
        <v>2659</v>
      </c>
      <c r="Q24" t="s">
        <v>2660</v>
      </c>
      <c r="R24" s="78" t="s">
        <v>2661</v>
      </c>
      <c r="S24" t="s">
        <v>2662</v>
      </c>
      <c r="T24" t="s">
        <v>2654</v>
      </c>
      <c r="U24" s="44">
        <v>6285772096969</v>
      </c>
      <c r="V24" s="39" t="s">
        <v>1389</v>
      </c>
      <c r="W24" t="s">
        <v>2663</v>
      </c>
      <c r="X24">
        <v>118400</v>
      </c>
      <c r="Y24" t="s">
        <v>2664</v>
      </c>
      <c r="Z24" t="s">
        <v>2665</v>
      </c>
      <c r="AA24" t="s">
        <v>2666</v>
      </c>
      <c r="AB24" t="s">
        <v>2667</v>
      </c>
      <c r="AC24" s="39" t="s">
        <v>1412</v>
      </c>
    </row>
    <row r="25" spans="1:29" ht="16">
      <c r="A25" s="79" t="s">
        <v>642</v>
      </c>
      <c r="B25" t="s">
        <v>5</v>
      </c>
      <c r="C25" t="s">
        <v>2653</v>
      </c>
      <c r="D25" s="86" t="s">
        <v>2612</v>
      </c>
      <c r="E25" s="86" t="s">
        <v>2743</v>
      </c>
      <c r="F25" s="79" t="s">
        <v>915</v>
      </c>
      <c r="G25" t="s">
        <v>2730</v>
      </c>
      <c r="H25" t="s">
        <v>2654</v>
      </c>
      <c r="I25">
        <v>20001</v>
      </c>
      <c r="J25" t="s">
        <v>2612</v>
      </c>
      <c r="K25" s="78" t="s">
        <v>2655</v>
      </c>
      <c r="L25" t="s">
        <v>2656</v>
      </c>
      <c r="M25" s="78" t="s">
        <v>2657</v>
      </c>
      <c r="N25" s="79" t="s">
        <v>2703</v>
      </c>
      <c r="O25" t="s">
        <v>2704</v>
      </c>
      <c r="P25" t="s">
        <v>2659</v>
      </c>
      <c r="Q25" t="s">
        <v>2660</v>
      </c>
      <c r="R25" s="78" t="s">
        <v>2661</v>
      </c>
      <c r="S25" t="s">
        <v>2662</v>
      </c>
      <c r="T25" t="s">
        <v>2654</v>
      </c>
      <c r="U25" s="44">
        <v>62895322976661</v>
      </c>
      <c r="V25" s="39" t="s">
        <v>644</v>
      </c>
      <c r="W25" t="s">
        <v>2663</v>
      </c>
      <c r="X25">
        <v>110022</v>
      </c>
      <c r="Y25" t="s">
        <v>2664</v>
      </c>
      <c r="Z25" t="s">
        <v>2665</v>
      </c>
      <c r="AA25" t="s">
        <v>2666</v>
      </c>
      <c r="AB25" t="s">
        <v>2667</v>
      </c>
      <c r="AC25" s="39" t="s">
        <v>917</v>
      </c>
    </row>
    <row r="26" spans="1:29" ht="16">
      <c r="A26" s="79" t="s">
        <v>252</v>
      </c>
      <c r="B26" t="s">
        <v>5</v>
      </c>
      <c r="C26" t="s">
        <v>2653</v>
      </c>
      <c r="D26" s="86" t="s">
        <v>2616</v>
      </c>
      <c r="E26" s="86" t="s">
        <v>2743</v>
      </c>
      <c r="F26" s="79" t="s">
        <v>2613</v>
      </c>
      <c r="G26" t="s">
        <v>2731</v>
      </c>
      <c r="H26" t="s">
        <v>2654</v>
      </c>
      <c r="I26">
        <v>20001</v>
      </c>
      <c r="J26" t="s">
        <v>2616</v>
      </c>
      <c r="K26" s="78" t="s">
        <v>2655</v>
      </c>
      <c r="L26" t="s">
        <v>2656</v>
      </c>
      <c r="M26" s="78" t="s">
        <v>2657</v>
      </c>
      <c r="N26" s="79" t="s">
        <v>2705</v>
      </c>
      <c r="O26" t="s">
        <v>2706</v>
      </c>
      <c r="P26" t="s">
        <v>2659</v>
      </c>
      <c r="Q26" t="s">
        <v>2660</v>
      </c>
      <c r="R26" s="78" t="s">
        <v>2661</v>
      </c>
      <c r="S26" t="s">
        <v>2662</v>
      </c>
      <c r="T26" t="s">
        <v>2654</v>
      </c>
      <c r="U26" s="44">
        <v>6281511043226</v>
      </c>
      <c r="V26" s="39" t="s">
        <v>254</v>
      </c>
      <c r="W26" t="s">
        <v>2663</v>
      </c>
      <c r="X26">
        <v>109362</v>
      </c>
      <c r="Y26" t="s">
        <v>2664</v>
      </c>
      <c r="Z26" t="s">
        <v>2665</v>
      </c>
      <c r="AA26" t="s">
        <v>2666</v>
      </c>
      <c r="AB26" t="s">
        <v>2667</v>
      </c>
      <c r="AC26" t="s">
        <v>2668</v>
      </c>
    </row>
    <row r="27" spans="1:29">
      <c r="A27" t="s">
        <v>94</v>
      </c>
      <c r="B27" t="s">
        <v>5</v>
      </c>
      <c r="C27" t="s">
        <v>2653</v>
      </c>
      <c r="D27" t="s">
        <v>1056</v>
      </c>
      <c r="F27" t="s">
        <v>1057</v>
      </c>
      <c r="G27" s="81" t="s">
        <v>2732</v>
      </c>
      <c r="H27" t="s">
        <v>2654</v>
      </c>
      <c r="I27">
        <v>20001</v>
      </c>
      <c r="J27" t="s">
        <v>1056</v>
      </c>
    </row>
    <row r="28" spans="1:29">
      <c r="A28" t="s">
        <v>789</v>
      </c>
      <c r="B28" t="s">
        <v>5</v>
      </c>
      <c r="C28" t="s">
        <v>2653</v>
      </c>
      <c r="D28" t="s">
        <v>801</v>
      </c>
      <c r="F28" t="s">
        <v>802</v>
      </c>
      <c r="G28" s="88">
        <v>623180000653</v>
      </c>
      <c r="H28" t="s">
        <v>2654</v>
      </c>
      <c r="I28">
        <v>20001</v>
      </c>
      <c r="J28" t="s">
        <v>801</v>
      </c>
    </row>
    <row r="29" spans="1:29" ht="16">
      <c r="A29" s="39" t="s">
        <v>112</v>
      </c>
      <c r="B29" s="90" t="s">
        <v>5</v>
      </c>
      <c r="C29" s="90" t="s">
        <v>2653</v>
      </c>
      <c r="D29" s="89" t="s">
        <v>2738</v>
      </c>
      <c r="E29" s="90" t="s">
        <v>2744</v>
      </c>
      <c r="F29" s="39" t="s">
        <v>997</v>
      </c>
      <c r="G29" s="91">
        <v>623180000656</v>
      </c>
      <c r="H29" s="90" t="s">
        <v>2654</v>
      </c>
      <c r="I29" s="90">
        <v>20001</v>
      </c>
      <c r="J29" s="84" t="s">
        <v>996</v>
      </c>
    </row>
    <row r="30" spans="1:29" ht="16">
      <c r="A30" s="39" t="s">
        <v>112</v>
      </c>
      <c r="B30" s="90" t="s">
        <v>5</v>
      </c>
      <c r="C30" s="90" t="s">
        <v>2653</v>
      </c>
      <c r="D30" s="89" t="s">
        <v>2739</v>
      </c>
      <c r="E30" s="90" t="s">
        <v>2744</v>
      </c>
      <c r="F30" s="39" t="s">
        <v>1003</v>
      </c>
      <c r="G30" s="91">
        <v>623180000657</v>
      </c>
      <c r="H30" s="90" t="s">
        <v>2654</v>
      </c>
      <c r="I30" s="90">
        <v>20001</v>
      </c>
      <c r="J30" s="84" t="s">
        <v>1002</v>
      </c>
    </row>
    <row r="31" spans="1:29" ht="16">
      <c r="A31" s="39" t="s">
        <v>112</v>
      </c>
      <c r="B31" s="90" t="s">
        <v>5</v>
      </c>
      <c r="C31" s="90" t="s">
        <v>2653</v>
      </c>
      <c r="D31" s="89" t="s">
        <v>2740</v>
      </c>
      <c r="E31" s="90" t="s">
        <v>2744</v>
      </c>
      <c r="F31" s="39" t="s">
        <v>1009</v>
      </c>
      <c r="G31" s="91">
        <v>623180000658</v>
      </c>
      <c r="H31" s="90" t="s">
        <v>2654</v>
      </c>
      <c r="I31" s="90">
        <v>20001</v>
      </c>
      <c r="J31" s="84" t="s">
        <v>1008</v>
      </c>
    </row>
    <row r="32" spans="1:29" ht="16">
      <c r="A32" s="39" t="s">
        <v>112</v>
      </c>
      <c r="B32" s="90" t="s">
        <v>5</v>
      </c>
      <c r="C32" s="90" t="s">
        <v>2653</v>
      </c>
      <c r="D32" s="89" t="s">
        <v>2741</v>
      </c>
      <c r="E32" s="90" t="s">
        <v>2744</v>
      </c>
      <c r="F32" s="39" t="s">
        <v>1015</v>
      </c>
      <c r="G32" s="91">
        <v>623180000659</v>
      </c>
      <c r="H32" s="90" t="s">
        <v>2654</v>
      </c>
      <c r="I32" s="90">
        <v>20001</v>
      </c>
      <c r="J32" s="84" t="s">
        <v>1014</v>
      </c>
    </row>
    <row r="33" spans="1:10" ht="16">
      <c r="A33" s="39" t="s">
        <v>112</v>
      </c>
      <c r="B33" s="90" t="s">
        <v>5</v>
      </c>
      <c r="C33" s="90" t="s">
        <v>2653</v>
      </c>
      <c r="D33" s="89" t="s">
        <v>2742</v>
      </c>
      <c r="E33" s="90" t="s">
        <v>2744</v>
      </c>
      <c r="F33" s="39" t="s">
        <v>1027</v>
      </c>
      <c r="G33" s="91">
        <v>623180000660</v>
      </c>
      <c r="H33" s="90" t="s">
        <v>2654</v>
      </c>
      <c r="I33" s="90">
        <v>20001</v>
      </c>
      <c r="J33" s="84" t="s">
        <v>1026</v>
      </c>
    </row>
    <row r="34" spans="1:10" ht="16">
      <c r="A34" s="39" t="s">
        <v>103</v>
      </c>
      <c r="B34" s="90" t="s">
        <v>5</v>
      </c>
      <c r="C34" s="90" t="s">
        <v>2653</v>
      </c>
      <c r="D34" s="89" t="s">
        <v>2750</v>
      </c>
      <c r="E34" s="90" t="s">
        <v>2744</v>
      </c>
      <c r="F34" s="39" t="s">
        <v>1021</v>
      </c>
      <c r="G34" s="91">
        <v>623180000661</v>
      </c>
      <c r="H34" s="90" t="s">
        <v>2654</v>
      </c>
      <c r="I34" s="90">
        <v>20001</v>
      </c>
      <c r="J34" s="84" t="s">
        <v>1020</v>
      </c>
    </row>
    <row r="35" spans="1:10" ht="16">
      <c r="A35" s="39" t="s">
        <v>94</v>
      </c>
      <c r="B35" s="90" t="s">
        <v>5</v>
      </c>
      <c r="C35" s="90" t="s">
        <v>2653</v>
      </c>
      <c r="D35" s="89" t="s">
        <v>2757</v>
      </c>
      <c r="E35" s="90" t="s">
        <v>2744</v>
      </c>
      <c r="F35" s="39" t="s">
        <v>1057</v>
      </c>
      <c r="G35" s="91">
        <v>623180000662</v>
      </c>
      <c r="H35" s="90" t="s">
        <v>2654</v>
      </c>
      <c r="I35" s="90">
        <v>20001</v>
      </c>
      <c r="J35" s="84" t="s">
        <v>1056</v>
      </c>
    </row>
    <row r="36" spans="1:10" ht="16">
      <c r="A36" s="39" t="s">
        <v>789</v>
      </c>
      <c r="B36" s="90" t="s">
        <v>5</v>
      </c>
      <c r="C36" s="90" t="s">
        <v>2653</v>
      </c>
      <c r="D36" s="89" t="s">
        <v>2758</v>
      </c>
      <c r="E36" s="90" t="s">
        <v>2744</v>
      </c>
      <c r="F36" s="39" t="s">
        <v>802</v>
      </c>
      <c r="G36" s="91">
        <v>623180000663</v>
      </c>
      <c r="H36" s="90" t="s">
        <v>2654</v>
      </c>
      <c r="I36" s="90">
        <v>20001</v>
      </c>
      <c r="J36" s="84" t="s">
        <v>801</v>
      </c>
    </row>
    <row r="37" spans="1:10" ht="16">
      <c r="A37" s="39" t="s">
        <v>283</v>
      </c>
      <c r="B37" s="90" t="s">
        <v>5</v>
      </c>
      <c r="C37" s="90" t="s">
        <v>2653</v>
      </c>
      <c r="D37" s="89" t="s">
        <v>2759</v>
      </c>
      <c r="E37" s="90" t="s">
        <v>2744</v>
      </c>
      <c r="F37" s="39" t="s">
        <v>1763</v>
      </c>
      <c r="G37" s="91">
        <v>623180000664</v>
      </c>
      <c r="H37" s="90" t="s">
        <v>2654</v>
      </c>
      <c r="I37" s="90">
        <v>20001</v>
      </c>
      <c r="J37" s="83" t="s">
        <v>1762</v>
      </c>
    </row>
    <row r="38" spans="1:10" ht="16">
      <c r="A38" s="39" t="s">
        <v>1098</v>
      </c>
      <c r="B38" s="90" t="s">
        <v>5</v>
      </c>
      <c r="C38" s="90" t="s">
        <v>2653</v>
      </c>
      <c r="D38" s="89" t="s">
        <v>2760</v>
      </c>
      <c r="E38" s="90" t="s">
        <v>2744</v>
      </c>
      <c r="F38" s="39" t="s">
        <v>1212</v>
      </c>
      <c r="G38" s="91">
        <v>623180000665</v>
      </c>
      <c r="H38" s="90" t="s">
        <v>2654</v>
      </c>
      <c r="I38" s="90">
        <v>20001</v>
      </c>
      <c r="J38" s="83" t="s">
        <v>2570</v>
      </c>
    </row>
  </sheetData>
  <conditionalFormatting sqref="E1 D1:D1048576">
    <cfRule type="duplicateValues" dxfId="10" priority="1"/>
  </conditionalFormatting>
  <conditionalFormatting sqref="N2:N12">
    <cfRule type="duplicateValues" dxfId="9" priority="4"/>
  </conditionalFormatting>
  <conditionalFormatting sqref="O5">
    <cfRule type="duplicateValues" dxfId="8" priority="3"/>
  </conditionalFormatting>
  <conditionalFormatting sqref="O10">
    <cfRule type="duplicateValues" dxfId="7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9212-15E9-4A80-A08E-9A395FBD6959}">
  <dimension ref="B2:F16"/>
  <sheetViews>
    <sheetView workbookViewId="0">
      <selection activeCell="D7" sqref="D7"/>
    </sheetView>
  </sheetViews>
  <sheetFormatPr defaultRowHeight="14"/>
  <cols>
    <col min="2" max="2" width="7.1640625" bestFit="1" customWidth="1"/>
    <col min="3" max="3" width="13.83203125" bestFit="1" customWidth="1"/>
    <col min="4" max="4" width="15.75" bestFit="1" customWidth="1"/>
    <col min="5" max="5" width="24.83203125" bestFit="1" customWidth="1"/>
    <col min="6" max="6" width="23.58203125" bestFit="1" customWidth="1"/>
  </cols>
  <sheetData>
    <row r="2" spans="2:6">
      <c r="B2" t="s">
        <v>2517</v>
      </c>
      <c r="C2" t="s">
        <v>2515</v>
      </c>
      <c r="D2" t="s">
        <v>2516</v>
      </c>
      <c r="E2" t="s">
        <v>2518</v>
      </c>
      <c r="F2" t="s">
        <v>2519</v>
      </c>
    </row>
    <row r="3" spans="2:6">
      <c r="B3" t="s">
        <v>2522</v>
      </c>
      <c r="C3" t="s">
        <v>840</v>
      </c>
      <c r="D3" t="s">
        <v>860</v>
      </c>
      <c r="E3" t="s">
        <v>2520</v>
      </c>
      <c r="F3" t="s">
        <v>383</v>
      </c>
    </row>
    <row r="4" spans="2:6">
      <c r="B4" t="s">
        <v>2522</v>
      </c>
      <c r="C4" t="s">
        <v>358</v>
      </c>
      <c r="D4" t="s">
        <v>1611</v>
      </c>
      <c r="E4" t="s">
        <v>2521</v>
      </c>
      <c r="F4" t="s">
        <v>822</v>
      </c>
    </row>
    <row r="5" spans="2:6">
      <c r="B5" t="s">
        <v>2522</v>
      </c>
      <c r="C5" t="s">
        <v>163</v>
      </c>
      <c r="D5">
        <v>2613051197</v>
      </c>
      <c r="E5" t="s">
        <v>2523</v>
      </c>
    </row>
    <row r="6" spans="2:6">
      <c r="B6" t="s">
        <v>2522</v>
      </c>
      <c r="C6" t="s">
        <v>84</v>
      </c>
      <c r="D6" t="s">
        <v>1298</v>
      </c>
      <c r="E6" t="s">
        <v>1300</v>
      </c>
    </row>
    <row r="7" spans="2:6">
      <c r="B7" t="s">
        <v>2527</v>
      </c>
      <c r="C7" t="s">
        <v>400</v>
      </c>
      <c r="D7" t="s">
        <v>1452</v>
      </c>
      <c r="E7" t="s">
        <v>2528</v>
      </c>
      <c r="F7" t="s">
        <v>384</v>
      </c>
    </row>
    <row r="8" spans="2:6">
      <c r="B8" t="s">
        <v>2527</v>
      </c>
      <c r="C8" t="s">
        <v>400</v>
      </c>
      <c r="D8" t="s">
        <v>1469</v>
      </c>
      <c r="E8" t="s">
        <v>2531</v>
      </c>
    </row>
    <row r="9" spans="2:6">
      <c r="B9" t="s">
        <v>2527</v>
      </c>
      <c r="C9" t="s">
        <v>400</v>
      </c>
      <c r="D9" t="s">
        <v>1475</v>
      </c>
      <c r="E9" t="s">
        <v>1477</v>
      </c>
    </row>
    <row r="10" spans="2:6">
      <c r="B10" t="s">
        <v>2527</v>
      </c>
      <c r="C10" t="s">
        <v>400</v>
      </c>
      <c r="D10" t="s">
        <v>1555</v>
      </c>
      <c r="E10" t="s">
        <v>1557</v>
      </c>
    </row>
    <row r="11" spans="2:6">
      <c r="B11" t="s">
        <v>2527</v>
      </c>
      <c r="C11" t="s">
        <v>400</v>
      </c>
      <c r="D11" t="s">
        <v>1555</v>
      </c>
      <c r="E11" t="s">
        <v>2532</v>
      </c>
    </row>
    <row r="12" spans="2:6">
      <c r="B12" t="s">
        <v>2527</v>
      </c>
      <c r="C12" t="s">
        <v>2533</v>
      </c>
      <c r="D12" t="s">
        <v>1610</v>
      </c>
      <c r="E12" t="s">
        <v>1563</v>
      </c>
    </row>
    <row r="13" spans="2:6">
      <c r="B13" t="s">
        <v>2527</v>
      </c>
      <c r="C13" t="s">
        <v>2533</v>
      </c>
      <c r="D13" t="s">
        <v>1676</v>
      </c>
      <c r="E13" t="s">
        <v>1678</v>
      </c>
    </row>
    <row r="14" spans="2:6">
      <c r="B14" t="s">
        <v>2527</v>
      </c>
      <c r="C14" t="s">
        <v>2533</v>
      </c>
      <c r="D14" t="s">
        <v>1446</v>
      </c>
      <c r="E14" t="s">
        <v>2536</v>
      </c>
      <c r="F14" t="s">
        <v>359</v>
      </c>
    </row>
    <row r="15" spans="2:6">
      <c r="B15" t="s">
        <v>2527</v>
      </c>
      <c r="C15" t="s">
        <v>2533</v>
      </c>
      <c r="D15" t="s">
        <v>1547</v>
      </c>
      <c r="E15" t="s">
        <v>1549</v>
      </c>
      <c r="F15" t="s">
        <v>359</v>
      </c>
    </row>
    <row r="16" spans="2:6">
      <c r="C16" t="s">
        <v>318</v>
      </c>
      <c r="D16" t="s">
        <v>1617</v>
      </c>
      <c r="E16" t="s">
        <v>1619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0D25-1B2D-4BDD-83D6-1FE55E885A54}">
  <dimension ref="B2:N43"/>
  <sheetViews>
    <sheetView topLeftCell="A4" workbookViewId="0">
      <selection activeCell="D7" sqref="D7"/>
    </sheetView>
  </sheetViews>
  <sheetFormatPr defaultRowHeight="14"/>
  <cols>
    <col min="2" max="2" width="26.4140625" bestFit="1" customWidth="1"/>
    <col min="3" max="3" width="23.83203125" bestFit="1" customWidth="1"/>
    <col min="4" max="4" width="23.4140625" bestFit="1" customWidth="1"/>
    <col min="5" max="5" width="14.4140625" customWidth="1"/>
    <col min="6" max="6" width="13.83203125" customWidth="1"/>
    <col min="7" max="7" width="14.1640625" customWidth="1"/>
    <col min="8" max="8" width="23.4140625" bestFit="1" customWidth="1"/>
    <col min="9" max="9" width="16.75" bestFit="1" customWidth="1"/>
    <col min="10" max="10" width="8.75" bestFit="1" customWidth="1"/>
    <col min="11" max="11" width="11.83203125" bestFit="1" customWidth="1"/>
    <col min="12" max="12" width="11.75" bestFit="1" customWidth="1"/>
    <col min="13" max="14" width="22" bestFit="1" customWidth="1"/>
  </cols>
  <sheetData>
    <row r="2" spans="2:14" ht="16">
      <c r="H2" s="39"/>
      <c r="I2" s="39"/>
      <c r="J2" s="39"/>
      <c r="K2" s="39"/>
      <c r="L2" s="39"/>
      <c r="M2" s="39"/>
      <c r="N2" s="39"/>
    </row>
    <row r="4" spans="2:14" ht="16">
      <c r="B4" s="75" t="s">
        <v>3</v>
      </c>
      <c r="C4" s="75" t="s">
        <v>4</v>
      </c>
      <c r="D4" s="75" t="s">
        <v>5</v>
      </c>
      <c r="E4" s="75" t="s">
        <v>2548</v>
      </c>
      <c r="F4" s="76" t="s">
        <v>2549</v>
      </c>
      <c r="G4" s="76" t="s">
        <v>2550</v>
      </c>
      <c r="H4" s="39" t="s">
        <v>2543</v>
      </c>
      <c r="I4" s="39" t="s">
        <v>2509</v>
      </c>
      <c r="J4" s="39" t="s">
        <v>2512</v>
      </c>
      <c r="K4" s="39" t="s">
        <v>2510</v>
      </c>
      <c r="L4" s="39" t="s">
        <v>2511</v>
      </c>
      <c r="M4" s="39" t="s">
        <v>2529</v>
      </c>
    </row>
    <row r="5" spans="2:14" ht="16">
      <c r="B5" s="74" t="s">
        <v>314</v>
      </c>
      <c r="C5" s="74" t="s">
        <v>381</v>
      </c>
      <c r="D5" s="74" t="s">
        <v>382</v>
      </c>
      <c r="E5" s="74">
        <f>COUNTIFS('MASTER DSE OCT Inn'!E:E,Sheet2!D5)</f>
        <v>10</v>
      </c>
      <c r="F5" s="51">
        <f>COUNTIFS('MASTER DSE OCT Inn'!N:N,"ACTIVE",'MASTER DSE OCT Inn'!E:E,Sheet2!D5)</f>
        <v>9</v>
      </c>
      <c r="G5" s="51">
        <f>COUNTIFS('MASTER DSE OCT Inn'!P:P,"ACTIVE",'MASTER DSE OCT Inn'!E:E,Sheet2!D5)</f>
        <v>7</v>
      </c>
    </row>
    <row r="6" spans="2:14" ht="16">
      <c r="B6" s="74" t="s">
        <v>314</v>
      </c>
      <c r="C6" s="74" t="s">
        <v>397</v>
      </c>
      <c r="D6" s="74" t="s">
        <v>398</v>
      </c>
      <c r="E6" s="74">
        <f>COUNTIFS('MASTER DSE OCT Inn'!E:E,Sheet2!D6)</f>
        <v>6</v>
      </c>
      <c r="F6" s="51">
        <f>COUNTIFS('MASTER DSE OCT Inn'!N:N,"ACTIVE",'MASTER DSE OCT Inn'!E:E,Sheet2!D6)</f>
        <v>5</v>
      </c>
      <c r="G6" s="51">
        <f>COUNTIFS('MASTER DSE OCT Inn'!P:P,"ACTIVE",'MASTER DSE OCT Inn'!E:E,Sheet2!D6)</f>
        <v>6</v>
      </c>
    </row>
    <row r="7" spans="2:14" ht="16">
      <c r="B7" s="74" t="s">
        <v>314</v>
      </c>
      <c r="C7" s="74" t="s">
        <v>356</v>
      </c>
      <c r="D7" s="74" t="s">
        <v>357</v>
      </c>
      <c r="E7" s="74">
        <f>COUNTIFS('MASTER DSE OCT Inn'!E:E,Sheet2!D7)</f>
        <v>8</v>
      </c>
      <c r="F7" s="51">
        <f>COUNTIFS('MASTER DSE OCT Inn'!N:N,"ACTIVE",'MASTER DSE OCT Inn'!E:E,Sheet2!D7)</f>
        <v>7</v>
      </c>
      <c r="G7" s="51">
        <f>COUNTIFS('MASTER DSE OCT Inn'!P:P,"ACTIVE",'MASTER DSE OCT Inn'!E:E,Sheet2!D7)</f>
        <v>4</v>
      </c>
    </row>
    <row r="8" spans="2:14" ht="16">
      <c r="B8" s="74" t="s">
        <v>314</v>
      </c>
      <c r="C8" s="74" t="s">
        <v>315</v>
      </c>
      <c r="D8" s="74" t="s">
        <v>316</v>
      </c>
      <c r="E8" s="74">
        <f>COUNTIFS('MASTER DSE OCT Inn'!E:E,Sheet2!D8)</f>
        <v>10</v>
      </c>
      <c r="F8" s="51">
        <f>COUNTIFS('MASTER DSE OCT Inn'!N:N,"ACTIVE",'MASTER DSE OCT Inn'!E:E,Sheet2!D8)</f>
        <v>9</v>
      </c>
      <c r="G8" s="51">
        <f>COUNTIFS('MASTER DSE OCT Inn'!P:P,"ACTIVE",'MASTER DSE OCT Inn'!E:E,Sheet2!D8)</f>
        <v>10</v>
      </c>
    </row>
    <row r="9" spans="2:14" ht="16">
      <c r="B9" s="74" t="s">
        <v>70</v>
      </c>
      <c r="C9" s="74" t="s">
        <v>121</v>
      </c>
      <c r="D9" s="74" t="s">
        <v>122</v>
      </c>
      <c r="E9" s="74">
        <f>COUNTIFS('MASTER DSE OCT Inn'!E:E,Sheet2!D9)</f>
        <v>9</v>
      </c>
      <c r="F9" s="51">
        <f>COUNTIFS('MASTER DSE OCT Inn'!N:N,"ACTIVE",'MASTER DSE OCT Inn'!E:E,Sheet2!D9)</f>
        <v>9</v>
      </c>
      <c r="G9" s="51">
        <f>COUNTIFS('MASTER DSE OCT Inn'!P:P,"ACTIVE",'MASTER DSE OCT Inn'!E:E,Sheet2!D9)</f>
        <v>8</v>
      </c>
    </row>
    <row r="10" spans="2:14" ht="16">
      <c r="B10" s="74" t="s">
        <v>70</v>
      </c>
      <c r="C10" s="74" t="s">
        <v>71</v>
      </c>
      <c r="D10" s="74" t="s">
        <v>72</v>
      </c>
      <c r="E10" s="74">
        <f>COUNTIFS('MASTER DSE OCT Inn'!E:E,Sheet2!D10)</f>
        <v>7</v>
      </c>
      <c r="F10" s="51">
        <f>COUNTIFS('MASTER DSE OCT Inn'!N:N,"ACTIVE",'MASTER DSE OCT Inn'!E:E,Sheet2!D10)</f>
        <v>7</v>
      </c>
      <c r="G10" s="51">
        <f>COUNTIFS('MASTER DSE OCT Inn'!P:P,"ACTIVE",'MASTER DSE OCT Inn'!E:E,Sheet2!D10)</f>
        <v>1</v>
      </c>
    </row>
    <row r="11" spans="2:14" ht="16">
      <c r="B11" s="74" t="s">
        <v>70</v>
      </c>
      <c r="C11" s="74" t="s">
        <v>111</v>
      </c>
      <c r="D11" s="74" t="s">
        <v>112</v>
      </c>
      <c r="E11" s="74">
        <f>COUNTIFS('MASTER DSE OCT Inn'!E:E,Sheet2!D11)</f>
        <v>8</v>
      </c>
      <c r="F11" s="51">
        <f>COUNTIFS('MASTER DSE OCT Inn'!N:N,"ACTIVE",'MASTER DSE OCT Inn'!E:E,Sheet2!D11)</f>
        <v>8</v>
      </c>
      <c r="G11" s="51">
        <f>COUNTIFS('MASTER DSE OCT Inn'!P:P,"ACTIVE",'MASTER DSE OCT Inn'!E:E,Sheet2!D11)</f>
        <v>0</v>
      </c>
    </row>
    <row r="12" spans="2:14" ht="16">
      <c r="B12" s="74" t="s">
        <v>70</v>
      </c>
      <c r="C12" s="74" t="s">
        <v>526</v>
      </c>
      <c r="D12" s="74" t="s">
        <v>527</v>
      </c>
      <c r="E12" s="74">
        <f>COUNTIFS('MASTER DSE OCT Inn'!E:E,Sheet2!D12)</f>
        <v>5</v>
      </c>
      <c r="F12" s="51">
        <f>COUNTIFS('MASTER DSE OCT Inn'!N:N,"ACTIVE",'MASTER DSE OCT Inn'!E:E,Sheet2!D12)</f>
        <v>5</v>
      </c>
      <c r="G12" s="51">
        <f>COUNTIFS('MASTER DSE OCT Inn'!P:P,"ACTIVE",'MASTER DSE OCT Inn'!E:E,Sheet2!D12)</f>
        <v>5</v>
      </c>
    </row>
    <row r="13" spans="2:14" ht="16">
      <c r="B13" s="74" t="s">
        <v>70</v>
      </c>
      <c r="C13" s="74" t="s">
        <v>102</v>
      </c>
      <c r="D13" s="74" t="s">
        <v>103</v>
      </c>
      <c r="E13" s="74">
        <f>COUNTIFS('MASTER DSE OCT Inn'!E:E,Sheet2!D13)</f>
        <v>8</v>
      </c>
      <c r="F13" s="51">
        <f>COUNTIFS('MASTER DSE OCT Inn'!N:N,"ACTIVE",'MASTER DSE OCT Inn'!E:E,Sheet2!D13)</f>
        <v>7</v>
      </c>
      <c r="G13" s="51">
        <f>COUNTIFS('MASTER DSE OCT Inn'!P:P,"ACTIVE",'MASTER DSE OCT Inn'!E:E,Sheet2!D13)</f>
        <v>1</v>
      </c>
    </row>
    <row r="14" spans="2:14" ht="16">
      <c r="B14" s="74" t="s">
        <v>281</v>
      </c>
      <c r="C14" s="74" t="s">
        <v>282</v>
      </c>
      <c r="D14" s="74" t="s">
        <v>283</v>
      </c>
      <c r="E14" s="74">
        <f>COUNTIFS('MASTER DSE OCT Inn'!E:E,Sheet2!D14)</f>
        <v>6</v>
      </c>
      <c r="F14" s="51">
        <f>COUNTIFS('MASTER DSE OCT Inn'!N:N,"ACTIVE",'MASTER DSE OCT Inn'!E:E,Sheet2!D14)</f>
        <v>4</v>
      </c>
      <c r="G14" s="51">
        <f>COUNTIFS('MASTER DSE OCT Inn'!P:P,"ACTIVE",'MASTER DSE OCT Inn'!E:E,Sheet2!D14)</f>
        <v>2</v>
      </c>
    </row>
    <row r="15" spans="2:14" ht="16">
      <c r="B15" s="74" t="s">
        <v>281</v>
      </c>
      <c r="C15" s="74" t="s">
        <v>691</v>
      </c>
      <c r="D15" s="74" t="s">
        <v>692</v>
      </c>
      <c r="E15" s="74">
        <f>COUNTIFS('MASTER DSE OCT Inn'!E:E,Sheet2!D15)</f>
        <v>6</v>
      </c>
      <c r="F15" s="51">
        <f>COUNTIFS('MASTER DSE OCT Inn'!N:N,"ACTIVE",'MASTER DSE OCT Inn'!E:E,Sheet2!D15)</f>
        <v>5</v>
      </c>
      <c r="G15" s="51">
        <f>COUNTIFS('MASTER DSE OCT Inn'!P:P,"ACTIVE",'MASTER DSE OCT Inn'!E:E,Sheet2!D15)</f>
        <v>6</v>
      </c>
    </row>
    <row r="16" spans="2:14" ht="16">
      <c r="B16" s="74" t="s">
        <v>281</v>
      </c>
      <c r="C16" s="74" t="s">
        <v>702</v>
      </c>
      <c r="D16" s="74" t="s">
        <v>703</v>
      </c>
      <c r="E16" s="74">
        <f>COUNTIFS('MASTER DSE OCT Inn'!E:E,Sheet2!D16)</f>
        <v>8</v>
      </c>
      <c r="F16" s="51">
        <f>COUNTIFS('MASTER DSE OCT Inn'!N:N,"ACTIVE",'MASTER DSE OCT Inn'!E:E,Sheet2!D16)</f>
        <v>6</v>
      </c>
      <c r="G16" s="51">
        <f>COUNTIFS('MASTER DSE OCT Inn'!P:P,"ACTIVE",'MASTER DSE OCT Inn'!E:E,Sheet2!D16)</f>
        <v>5</v>
      </c>
    </row>
    <row r="17" spans="2:7" ht="16">
      <c r="B17" s="74" t="s">
        <v>281</v>
      </c>
      <c r="C17" s="74" t="s">
        <v>675</v>
      </c>
      <c r="D17" s="74" t="s">
        <v>676</v>
      </c>
      <c r="E17" s="74">
        <f>COUNTIFS('MASTER DSE OCT Inn'!E:E,Sheet2!D17)</f>
        <v>5</v>
      </c>
      <c r="F17" s="51">
        <f>COUNTIFS('MASTER DSE OCT Inn'!N:N,"ACTIVE",'MASTER DSE OCT Inn'!E:E,Sheet2!D17)</f>
        <v>4</v>
      </c>
      <c r="G17" s="51">
        <f>COUNTIFS('MASTER DSE OCT Inn'!P:P,"ACTIVE",'MASTER DSE OCT Inn'!E:E,Sheet2!D17)</f>
        <v>2</v>
      </c>
    </row>
    <row r="18" spans="2:7" ht="16">
      <c r="B18" s="74" t="s">
        <v>58</v>
      </c>
      <c r="C18" s="74" t="s">
        <v>1097</v>
      </c>
      <c r="D18" s="74" t="s">
        <v>1098</v>
      </c>
      <c r="E18" s="74">
        <f>COUNTIFS('MASTER DSE OCT Inn'!E:E,Sheet2!D18)</f>
        <v>12</v>
      </c>
      <c r="F18" s="51">
        <f>COUNTIFS('MASTER DSE OCT Inn'!N:N,"ACTIVE",'MASTER DSE OCT Inn'!E:E,Sheet2!D18)</f>
        <v>10</v>
      </c>
      <c r="G18" s="51">
        <f>COUNTIFS('MASTER DSE OCT Inn'!P:P,"ACTIVE",'MASTER DSE OCT Inn'!E:E,Sheet2!D18)</f>
        <v>10</v>
      </c>
    </row>
    <row r="19" spans="2:7" ht="16">
      <c r="B19" s="74" t="s">
        <v>58</v>
      </c>
      <c r="C19" s="74" t="s">
        <v>93</v>
      </c>
      <c r="D19" s="74" t="s">
        <v>94</v>
      </c>
      <c r="E19" s="74">
        <f>COUNTIFS('MASTER DSE OCT Inn'!E:E,Sheet2!D19)</f>
        <v>9</v>
      </c>
      <c r="F19" s="51">
        <f>COUNTIFS('MASTER DSE OCT Inn'!N:N,"ACTIVE",'MASTER DSE OCT Inn'!E:E,Sheet2!D19)</f>
        <v>8</v>
      </c>
      <c r="G19" s="51">
        <f>COUNTIFS('MASTER DSE OCT Inn'!P:P,"ACTIVE",'MASTER DSE OCT Inn'!E:E,Sheet2!D19)</f>
        <v>8</v>
      </c>
    </row>
    <row r="20" spans="2:7" ht="16">
      <c r="B20" s="74" t="s">
        <v>58</v>
      </c>
      <c r="C20" s="74" t="s">
        <v>59</v>
      </c>
      <c r="D20" s="74" t="s">
        <v>60</v>
      </c>
      <c r="E20" s="74">
        <f>COUNTIFS('MASTER DSE OCT Inn'!E:E,Sheet2!D20)</f>
        <v>7</v>
      </c>
      <c r="F20" s="51">
        <f>COUNTIFS('MASTER DSE OCT Inn'!N:N,"ACTIVE",'MASTER DSE OCT Inn'!E:E,Sheet2!D20)</f>
        <v>7</v>
      </c>
      <c r="G20" s="51">
        <f>COUNTIFS('MASTER DSE OCT Inn'!P:P,"ACTIVE",'MASTER DSE OCT Inn'!E:E,Sheet2!D20)</f>
        <v>3</v>
      </c>
    </row>
    <row r="21" spans="2:7" ht="16">
      <c r="B21" s="74" t="s">
        <v>58</v>
      </c>
      <c r="C21" s="74" t="s">
        <v>1216</v>
      </c>
      <c r="D21" s="74" t="s">
        <v>1217</v>
      </c>
      <c r="E21" s="74">
        <f>COUNTIFS('MASTER DSE OCT Inn'!E:E,Sheet2!D21)</f>
        <v>8</v>
      </c>
      <c r="F21" s="51">
        <f>COUNTIFS('MASTER DSE OCT Inn'!N:N,"ACTIVE",'MASTER DSE OCT Inn'!E:E,Sheet2!D21)</f>
        <v>6</v>
      </c>
      <c r="G21" s="51">
        <f>COUNTIFS('MASTER DSE OCT Inn'!P:P,"ACTIVE",'MASTER DSE OCT Inn'!E:E,Sheet2!D21)</f>
        <v>8</v>
      </c>
    </row>
    <row r="22" spans="2:7" ht="16">
      <c r="B22" s="74" t="s">
        <v>805</v>
      </c>
      <c r="C22" s="74" t="s">
        <v>1414</v>
      </c>
      <c r="D22" s="74" t="s">
        <v>1415</v>
      </c>
      <c r="E22" s="74">
        <f>COUNTIFS('MASTER DSE OCT Inn'!E:E,Sheet2!D22)</f>
        <v>6</v>
      </c>
      <c r="F22" s="51">
        <f>COUNTIFS('MASTER DSE OCT Inn'!N:N,"ACTIVE",'MASTER DSE OCT Inn'!E:E,Sheet2!D22)</f>
        <v>6</v>
      </c>
      <c r="G22" s="51">
        <f>COUNTIFS('MASTER DSE OCT Inn'!P:P,"ACTIVE",'MASTER DSE OCT Inn'!E:E,Sheet2!D22)</f>
        <v>3</v>
      </c>
    </row>
    <row r="23" spans="2:7" ht="16">
      <c r="B23" s="74" t="s">
        <v>805</v>
      </c>
      <c r="C23" s="74" t="s">
        <v>838</v>
      </c>
      <c r="D23" s="74" t="s">
        <v>839</v>
      </c>
      <c r="E23" s="74">
        <f>COUNTIFS('MASTER DSE OCT Inn'!E:E,Sheet2!D23)</f>
        <v>5</v>
      </c>
      <c r="F23" s="51">
        <f>COUNTIFS('MASTER DSE OCT Inn'!N:N,"ACTIVE",'MASTER DSE OCT Inn'!E:E,Sheet2!D23)</f>
        <v>5</v>
      </c>
      <c r="G23" s="51">
        <f>COUNTIFS('MASTER DSE OCT Inn'!P:P,"ACTIVE",'MASTER DSE OCT Inn'!E:E,Sheet2!D23)</f>
        <v>2</v>
      </c>
    </row>
    <row r="24" spans="2:7" ht="16">
      <c r="B24" s="74" t="s">
        <v>805</v>
      </c>
      <c r="C24" s="74" t="s">
        <v>878</v>
      </c>
      <c r="D24" s="74" t="s">
        <v>879</v>
      </c>
      <c r="E24" s="74">
        <f>COUNTIFS('MASTER DSE OCT Inn'!E:E,Sheet2!D24)</f>
        <v>6</v>
      </c>
      <c r="F24" s="51">
        <f>COUNTIFS('MASTER DSE OCT Inn'!N:N,"ACTIVE",'MASTER DSE OCT Inn'!E:E,Sheet2!D24)</f>
        <v>6</v>
      </c>
      <c r="G24" s="51">
        <f>COUNTIFS('MASTER DSE OCT Inn'!P:P,"ACTIVE",'MASTER DSE OCT Inn'!E:E,Sheet2!D24)</f>
        <v>6</v>
      </c>
    </row>
    <row r="25" spans="2:7" ht="16">
      <c r="B25" s="74" t="s">
        <v>805</v>
      </c>
      <c r="C25" s="74" t="s">
        <v>806</v>
      </c>
      <c r="D25" s="74" t="s">
        <v>807</v>
      </c>
      <c r="E25" s="74">
        <f>COUNTIFS('MASTER DSE OCT Inn'!E:E,Sheet2!D25)</f>
        <v>6</v>
      </c>
      <c r="F25" s="51">
        <f>COUNTIFS('MASTER DSE OCT Inn'!N:N,"ACTIVE",'MASTER DSE OCT Inn'!E:E,Sheet2!D25)</f>
        <v>6</v>
      </c>
      <c r="G25" s="51">
        <f>COUNTIFS('MASTER DSE OCT Inn'!P:P,"ACTIVE",'MASTER DSE OCT Inn'!E:E,Sheet2!D25)</f>
        <v>0</v>
      </c>
    </row>
    <row r="26" spans="2:7" ht="16">
      <c r="B26" s="74" t="s">
        <v>805</v>
      </c>
      <c r="C26" s="74" t="s">
        <v>820</v>
      </c>
      <c r="D26" s="74" t="s">
        <v>821</v>
      </c>
      <c r="E26" s="74">
        <f>COUNTIFS('MASTER DSE OCT Inn'!E:E,Sheet2!D26)</f>
        <v>5</v>
      </c>
      <c r="F26" s="51">
        <f>COUNTIFS('MASTER DSE OCT Inn'!N:N,"ACTIVE",'MASTER DSE OCT Inn'!E:E,Sheet2!D26)</f>
        <v>4</v>
      </c>
      <c r="G26" s="51">
        <f>COUNTIFS('MASTER DSE OCT Inn'!P:P,"ACTIVE",'MASTER DSE OCT Inn'!E:E,Sheet2!D26)</f>
        <v>0</v>
      </c>
    </row>
    <row r="27" spans="2:7" ht="16">
      <c r="B27" s="74" t="s">
        <v>805</v>
      </c>
      <c r="C27" s="74" t="s">
        <v>866</v>
      </c>
      <c r="D27" s="74" t="s">
        <v>920</v>
      </c>
      <c r="E27" s="74">
        <f>COUNTIFS('MASTER DSE OCT Inn'!E:E,Sheet2!D27)</f>
        <v>1</v>
      </c>
      <c r="F27" s="51">
        <f>COUNTIFS('MASTER DSE OCT Inn'!N:N,"ACTIVE",'MASTER DSE OCT Inn'!E:E,Sheet2!D27)</f>
        <v>0</v>
      </c>
      <c r="G27" s="51">
        <f>COUNTIFS('MASTER DSE OCT Inn'!P:P,"ACTIVE",'MASTER DSE OCT Inn'!E:E,Sheet2!D27)</f>
        <v>1</v>
      </c>
    </row>
    <row r="28" spans="2:7" ht="16">
      <c r="B28" s="74" t="s">
        <v>805</v>
      </c>
      <c r="C28" s="74" t="s">
        <v>866</v>
      </c>
      <c r="D28" s="74" t="s">
        <v>867</v>
      </c>
      <c r="E28" s="74">
        <f>COUNTIFS('MASTER DSE OCT Inn'!E:E,Sheet2!D28)</f>
        <v>5</v>
      </c>
      <c r="F28" s="51">
        <f>COUNTIFS('MASTER DSE OCT Inn'!N:N,"ACTIVE",'MASTER DSE OCT Inn'!E:E,Sheet2!D28)</f>
        <v>5</v>
      </c>
      <c r="G28" s="51">
        <f>COUNTIFS('MASTER DSE OCT Inn'!P:P,"ACTIVE",'MASTER DSE OCT Inn'!E:E,Sheet2!D28)</f>
        <v>3</v>
      </c>
    </row>
    <row r="29" spans="2:7" ht="16">
      <c r="B29" s="74" t="s">
        <v>805</v>
      </c>
      <c r="C29" s="74" t="s">
        <v>1386</v>
      </c>
      <c r="D29" s="74" t="s">
        <v>1387</v>
      </c>
      <c r="E29" s="74">
        <f>COUNTIFS('MASTER DSE OCT Inn'!E:E,Sheet2!D29)</f>
        <v>7</v>
      </c>
      <c r="F29" s="51">
        <f>COUNTIFS('MASTER DSE OCT Inn'!N:N,"ACTIVE",'MASTER DSE OCT Inn'!E:E,Sheet2!D29)</f>
        <v>7</v>
      </c>
      <c r="G29" s="51">
        <f>COUNTIFS('MASTER DSE OCT Inn'!P:P,"ACTIVE",'MASTER DSE OCT Inn'!E:E,Sheet2!D29)</f>
        <v>7</v>
      </c>
    </row>
    <row r="30" spans="2:7" ht="16">
      <c r="B30" s="74" t="s">
        <v>130</v>
      </c>
      <c r="C30" s="74" t="s">
        <v>641</v>
      </c>
      <c r="D30" s="74" t="s">
        <v>642</v>
      </c>
      <c r="E30" s="74">
        <f>COUNTIFS('MASTER DSE OCT Inn'!E:E,Sheet2!D30)</f>
        <v>9</v>
      </c>
      <c r="F30" s="51">
        <f>COUNTIFS('MASTER DSE OCT Inn'!N:N,"ACTIVE",'MASTER DSE OCT Inn'!E:E,Sheet2!D30)</f>
        <v>8</v>
      </c>
      <c r="G30" s="51">
        <f>COUNTIFS('MASTER DSE OCT Inn'!P:P,"ACTIVE",'MASTER DSE OCT Inn'!E:E,Sheet2!D30)</f>
        <v>4</v>
      </c>
    </row>
    <row r="31" spans="2:7" ht="16">
      <c r="B31" s="74" t="s">
        <v>130</v>
      </c>
      <c r="C31" s="74" t="s">
        <v>151</v>
      </c>
      <c r="D31" s="74" t="s">
        <v>932</v>
      </c>
      <c r="E31" s="74">
        <f>COUNTIFS('MASTER DSE OCT Inn'!E:E,Sheet2!D31)</f>
        <v>1</v>
      </c>
      <c r="F31" s="51">
        <f>COUNTIFS('MASTER DSE OCT Inn'!N:N,"ACTIVE",'MASTER DSE OCT Inn'!E:E,Sheet2!D31)</f>
        <v>1</v>
      </c>
      <c r="G31" s="51">
        <f>COUNTIFS('MASTER DSE OCT Inn'!P:P,"ACTIVE",'MASTER DSE OCT Inn'!E:E,Sheet2!D31)</f>
        <v>0</v>
      </c>
    </row>
    <row r="32" spans="2:7" ht="16">
      <c r="B32" s="74" t="s">
        <v>130</v>
      </c>
      <c r="C32" s="74" t="s">
        <v>151</v>
      </c>
      <c r="D32" s="74" t="s">
        <v>152</v>
      </c>
      <c r="E32" s="74">
        <f>COUNTIFS('MASTER DSE OCT Inn'!E:E,Sheet2!D32)</f>
        <v>5</v>
      </c>
      <c r="F32" s="51">
        <f>COUNTIFS('MASTER DSE OCT Inn'!N:N,"ACTIVE",'MASTER DSE OCT Inn'!E:E,Sheet2!D32)</f>
        <v>5</v>
      </c>
      <c r="G32" s="51">
        <f>COUNTIFS('MASTER DSE OCT Inn'!P:P,"ACTIVE",'MASTER DSE OCT Inn'!E:E,Sheet2!D32)</f>
        <v>0</v>
      </c>
    </row>
    <row r="33" spans="2:7" ht="16">
      <c r="B33" s="74" t="s">
        <v>130</v>
      </c>
      <c r="C33" s="74" t="s">
        <v>631</v>
      </c>
      <c r="D33" s="74" t="s">
        <v>632</v>
      </c>
      <c r="E33" s="74">
        <f>COUNTIFS('MASTER DSE OCT Inn'!E:E,Sheet2!D33)</f>
        <v>7</v>
      </c>
      <c r="F33" s="51">
        <f>COUNTIFS('MASTER DSE OCT Inn'!N:N,"ACTIVE",'MASTER DSE OCT Inn'!E:E,Sheet2!D33)</f>
        <v>7</v>
      </c>
      <c r="G33" s="51">
        <f>COUNTIFS('MASTER DSE OCT Inn'!P:P,"ACTIVE",'MASTER DSE OCT Inn'!E:E,Sheet2!D33)</f>
        <v>3</v>
      </c>
    </row>
    <row r="34" spans="2:7" ht="16">
      <c r="B34" s="74" t="s">
        <v>130</v>
      </c>
      <c r="C34" s="74" t="s">
        <v>131</v>
      </c>
      <c r="D34" s="74" t="s">
        <v>132</v>
      </c>
      <c r="E34" s="74">
        <f>COUNTIFS('MASTER DSE OCT Inn'!E:E,Sheet2!D34)</f>
        <v>7</v>
      </c>
      <c r="F34" s="51">
        <f>COUNTIFS('MASTER DSE OCT Inn'!N:N,"ACTIVE",'MASTER DSE OCT Inn'!E:E,Sheet2!D34)</f>
        <v>7</v>
      </c>
      <c r="G34" s="51">
        <f>COUNTIFS('MASTER DSE OCT Inn'!P:P,"ACTIVE",'MASTER DSE OCT Inn'!E:E,Sheet2!D34)</f>
        <v>0</v>
      </c>
    </row>
    <row r="35" spans="2:7" ht="16">
      <c r="B35" s="74" t="s">
        <v>160</v>
      </c>
      <c r="C35" s="74" t="s">
        <v>251</v>
      </c>
      <c r="D35" s="74" t="s">
        <v>252</v>
      </c>
      <c r="E35" s="74">
        <f>COUNTIFS('MASTER DSE OCT Inn'!E:E,Sheet2!D35)</f>
        <v>9</v>
      </c>
      <c r="F35" s="51">
        <f>COUNTIFS('MASTER DSE OCT Inn'!N:N,"ACTIVE",'MASTER DSE OCT Inn'!E:E,Sheet2!D35)</f>
        <v>7</v>
      </c>
      <c r="G35" s="51">
        <f>COUNTIFS('MASTER DSE OCT Inn'!P:P,"ACTIVE",'MASTER DSE OCT Inn'!E:E,Sheet2!D35)</f>
        <v>0</v>
      </c>
    </row>
    <row r="36" spans="2:7" ht="16">
      <c r="B36" s="74" t="s">
        <v>160</v>
      </c>
      <c r="C36" s="74" t="s">
        <v>181</v>
      </c>
      <c r="D36" s="74" t="s">
        <v>182</v>
      </c>
      <c r="E36" s="74">
        <f>COUNTIFS('MASTER DSE OCT Inn'!E:E,Sheet2!D36)</f>
        <v>9</v>
      </c>
      <c r="F36" s="51">
        <f>COUNTIFS('MASTER DSE OCT Inn'!N:N,"ACTIVE",'MASTER DSE OCT Inn'!E:E,Sheet2!D36)</f>
        <v>8</v>
      </c>
      <c r="G36" s="51">
        <f>COUNTIFS('MASTER DSE OCT Inn'!P:P,"ACTIVE",'MASTER DSE OCT Inn'!E:E,Sheet2!D36)</f>
        <v>0</v>
      </c>
    </row>
    <row r="37" spans="2:7" ht="16">
      <c r="B37" s="74" t="s">
        <v>160</v>
      </c>
      <c r="C37" s="74" t="s">
        <v>161</v>
      </c>
      <c r="D37" s="74" t="s">
        <v>162</v>
      </c>
      <c r="E37" s="74">
        <f>COUNTIFS('MASTER DSE OCT Inn'!E:E,Sheet2!D37)</f>
        <v>12</v>
      </c>
      <c r="F37" s="51">
        <f>COUNTIFS('MASTER DSE OCT Inn'!N:N,"ACTIVE",'MASTER DSE OCT Inn'!E:E,Sheet2!D37)</f>
        <v>12</v>
      </c>
      <c r="G37" s="51">
        <f>COUNTIFS('MASTER DSE OCT Inn'!P:P,"ACTIVE",'MASTER DSE OCT Inn'!E:E,Sheet2!D37)</f>
        <v>2</v>
      </c>
    </row>
    <row r="38" spans="2:7" ht="16">
      <c r="B38" s="74" t="s">
        <v>81</v>
      </c>
      <c r="C38" s="74" t="s">
        <v>82</v>
      </c>
      <c r="D38" s="74" t="s">
        <v>83</v>
      </c>
      <c r="E38" s="74">
        <f>COUNTIFS('MASTER DSE OCT Inn'!E:E,Sheet2!D38)</f>
        <v>8</v>
      </c>
      <c r="F38" s="51">
        <f>COUNTIFS('MASTER DSE OCT Inn'!N:N,"ACTIVE",'MASTER DSE OCT Inn'!E:E,Sheet2!D38)</f>
        <v>8</v>
      </c>
      <c r="G38" s="51">
        <f>COUNTIFS('MASTER DSE OCT Inn'!P:P,"ACTIVE",'MASTER DSE OCT Inn'!E:E,Sheet2!D38)</f>
        <v>2</v>
      </c>
    </row>
    <row r="39" spans="2:7" ht="16">
      <c r="B39" s="74" t="s">
        <v>81</v>
      </c>
      <c r="C39" s="74" t="s">
        <v>292</v>
      </c>
      <c r="D39" s="74" t="s">
        <v>293</v>
      </c>
      <c r="E39" s="74">
        <f>COUNTIFS('MASTER DSE OCT Inn'!E:E,Sheet2!D39)</f>
        <v>5</v>
      </c>
      <c r="F39" s="51">
        <f>COUNTIFS('MASTER DSE OCT Inn'!N:N,"ACTIVE",'MASTER DSE OCT Inn'!E:E,Sheet2!D39)</f>
        <v>4</v>
      </c>
      <c r="G39" s="51">
        <f>COUNTIFS('MASTER DSE OCT Inn'!P:P,"ACTIVE",'MASTER DSE OCT Inn'!E:E,Sheet2!D39)</f>
        <v>1</v>
      </c>
    </row>
    <row r="40" spans="2:7" ht="16">
      <c r="B40" s="74" t="s">
        <v>81</v>
      </c>
      <c r="C40" s="74" t="s">
        <v>292</v>
      </c>
      <c r="D40" s="74" t="s">
        <v>789</v>
      </c>
      <c r="E40" s="74">
        <f>COUNTIFS('MASTER DSE OCT Inn'!E:E,Sheet2!D40)</f>
        <v>2</v>
      </c>
      <c r="F40" s="51">
        <f>COUNTIFS('MASTER DSE OCT Inn'!N:N,"ACTIVE",'MASTER DSE OCT Inn'!E:E,Sheet2!D40)</f>
        <v>2</v>
      </c>
      <c r="G40" s="51">
        <f>COUNTIFS('MASTER DSE OCT Inn'!P:P,"ACTIVE",'MASTER DSE OCT Inn'!E:E,Sheet2!D40)</f>
        <v>0</v>
      </c>
    </row>
    <row r="41" spans="2:7" ht="16">
      <c r="B41" s="74" t="s">
        <v>22</v>
      </c>
      <c r="C41" s="74" t="s">
        <v>443</v>
      </c>
      <c r="D41" s="74" t="s">
        <v>24</v>
      </c>
      <c r="E41" s="74">
        <f>COUNTIFS('MASTER DSE OCT Inn'!E:E,Sheet2!D41)</f>
        <v>10</v>
      </c>
      <c r="F41" s="51">
        <f>COUNTIFS('MASTER DSE OCT Inn'!N:N,"ACTIVE",'MASTER DSE OCT Inn'!E:E,Sheet2!D41)</f>
        <v>10</v>
      </c>
      <c r="G41" s="51">
        <f>COUNTIFS('MASTER DSE OCT Inn'!P:P,"ACTIVE",'MASTER DSE OCT Inn'!E:E,Sheet2!D41)</f>
        <v>0</v>
      </c>
    </row>
    <row r="42" spans="2:7" ht="16">
      <c r="B42" s="74" t="s">
        <v>22</v>
      </c>
      <c r="C42" s="74" t="s">
        <v>470</v>
      </c>
      <c r="D42" s="74" t="s">
        <v>471</v>
      </c>
      <c r="E42" s="74">
        <f>COUNTIFS('MASTER DSE OCT Inn'!E:E,Sheet2!D42)</f>
        <v>8</v>
      </c>
      <c r="F42" s="51">
        <f>COUNTIFS('MASTER DSE OCT Inn'!N:N,"ACTIVE",'MASTER DSE OCT Inn'!E:E,Sheet2!D42)</f>
        <v>8</v>
      </c>
      <c r="G42" s="51">
        <f>COUNTIFS('MASTER DSE OCT Inn'!P:P,"ACTIVE",'MASTER DSE OCT Inn'!E:E,Sheet2!D42)</f>
        <v>0</v>
      </c>
    </row>
    <row r="43" spans="2:7" ht="16">
      <c r="B43" s="74" t="s">
        <v>22</v>
      </c>
      <c r="C43" s="74" t="s">
        <v>498</v>
      </c>
      <c r="D43" s="74" t="s">
        <v>499</v>
      </c>
      <c r="E43" s="74">
        <f>COUNTIFS('MASTER DSE OCT Inn'!E:E,Sheet2!D43)</f>
        <v>7</v>
      </c>
      <c r="F43" s="51">
        <f>COUNTIFS('MASTER DSE OCT Inn'!N:N,"ACTIVE",'MASTER DSE OCT Inn'!E:E,Sheet2!D43)</f>
        <v>6</v>
      </c>
      <c r="G43" s="51">
        <f>COUNTIFS('MASTER DSE OCT Inn'!P:P,"ACTIVE",'MASTER DSE OCT Inn'!E:E,Sheet2!D43)</f>
        <v>0</v>
      </c>
    </row>
  </sheetData>
  <conditionalFormatting sqref="F4:M4">
    <cfRule type="duplicateValues" dxfId="6" priority="1"/>
  </conditionalFormatting>
  <conditionalFormatting sqref="H2:N2">
    <cfRule type="duplicateValues" dxfId="5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8954-5E04-4EA3-9C9D-89B218BF7918}">
  <dimension ref="A1:AS295"/>
  <sheetViews>
    <sheetView topLeftCell="AK1" workbookViewId="0">
      <selection activeCell="AS2" sqref="AS2"/>
    </sheetView>
  </sheetViews>
  <sheetFormatPr defaultRowHeight="14"/>
  <cols>
    <col min="1" max="1" width="15.83203125" bestFit="1" customWidth="1"/>
    <col min="2" max="2" width="14.1640625" bestFit="1" customWidth="1"/>
    <col min="3" max="3" width="23.25" bestFit="1" customWidth="1"/>
    <col min="4" max="4" width="20.75" bestFit="1" customWidth="1"/>
    <col min="5" max="5" width="19.83203125" bestFit="1" customWidth="1"/>
    <col min="6" max="6" width="12" bestFit="1" customWidth="1"/>
    <col min="7" max="7" width="13.83203125" bestFit="1" customWidth="1"/>
    <col min="8" max="8" width="30" bestFit="1" customWidth="1"/>
    <col min="9" max="9" width="8.1640625" bestFit="1" customWidth="1"/>
    <col min="10" max="10" width="30" bestFit="1" customWidth="1"/>
    <col min="11" max="11" width="7.83203125" bestFit="1" customWidth="1"/>
    <col min="12" max="12" width="17.83203125" bestFit="1" customWidth="1"/>
    <col min="13" max="13" width="14.1640625" bestFit="1" customWidth="1"/>
    <col min="14" max="14" width="18.75" bestFit="1" customWidth="1"/>
    <col min="15" max="15" width="21.75" bestFit="1" customWidth="1"/>
    <col min="16" max="16" width="9.75" bestFit="1" customWidth="1"/>
    <col min="17" max="17" width="14.4140625" bestFit="1" customWidth="1"/>
    <col min="18" max="18" width="12" bestFit="1" customWidth="1"/>
    <col min="19" max="19" width="32.4140625" bestFit="1" customWidth="1"/>
    <col min="20" max="20" width="39.4140625" bestFit="1" customWidth="1"/>
    <col min="21" max="21" width="32.4140625" bestFit="1" customWidth="1"/>
    <col min="22" max="22" width="12" bestFit="1" customWidth="1"/>
    <col min="23" max="23" width="103.75" bestFit="1" customWidth="1"/>
    <col min="24" max="24" width="17.4140625" bestFit="1" customWidth="1"/>
    <col min="25" max="25" width="14.4140625" bestFit="1" customWidth="1"/>
    <col min="26" max="26" width="15.83203125" bestFit="1" customWidth="1"/>
    <col min="27" max="27" width="14" bestFit="1" customWidth="1"/>
    <col min="28" max="28" width="15" bestFit="1" customWidth="1"/>
    <col min="29" max="29" width="31.1640625" bestFit="1" customWidth="1"/>
    <col min="30" max="30" width="9.4140625" bestFit="1" customWidth="1"/>
    <col min="31" max="31" width="13.25" bestFit="1" customWidth="1"/>
    <col min="32" max="32" width="28.25" bestFit="1" customWidth="1"/>
    <col min="33" max="33" width="12" bestFit="1" customWidth="1"/>
    <col min="34" max="34" width="32.4140625" bestFit="1" customWidth="1"/>
    <col min="35" max="35" width="13.83203125" bestFit="1" customWidth="1"/>
    <col min="36" max="36" width="48.83203125" bestFit="1" customWidth="1"/>
    <col min="39" max="39" width="18.58203125" bestFit="1" customWidth="1"/>
    <col min="40" max="40" width="15.83203125" bestFit="1" customWidth="1"/>
    <col min="41" max="41" width="15.83203125" customWidth="1"/>
    <col min="42" max="42" width="22.58203125" bestFit="1" customWidth="1"/>
    <col min="44" max="44" width="16.75" bestFit="1" customWidth="1"/>
  </cols>
  <sheetData>
    <row r="1" spans="1:45" ht="80">
      <c r="A1" s="32" t="s">
        <v>1</v>
      </c>
      <c r="B1" s="32" t="s">
        <v>2</v>
      </c>
      <c r="C1" s="32" t="s">
        <v>3</v>
      </c>
      <c r="D1" s="32" t="s">
        <v>4</v>
      </c>
      <c r="E1" s="32" t="s">
        <v>5</v>
      </c>
      <c r="F1" s="40" t="s">
        <v>46</v>
      </c>
      <c r="G1" s="40" t="s">
        <v>47</v>
      </c>
      <c r="H1" s="32" t="s">
        <v>6</v>
      </c>
      <c r="I1" s="32" t="s">
        <v>48</v>
      </c>
      <c r="J1" s="32" t="s">
        <v>7</v>
      </c>
      <c r="K1" s="32" t="s">
        <v>49</v>
      </c>
      <c r="L1" s="33" t="s">
        <v>8</v>
      </c>
      <c r="M1" s="33" t="s">
        <v>9</v>
      </c>
      <c r="N1" s="41" t="s">
        <v>50</v>
      </c>
      <c r="O1" s="41" t="s">
        <v>51</v>
      </c>
      <c r="P1" s="41" t="s">
        <v>52</v>
      </c>
      <c r="Q1" s="32" t="s">
        <v>10</v>
      </c>
      <c r="R1" s="32" t="s">
        <v>53</v>
      </c>
      <c r="S1" s="32" t="s">
        <v>11</v>
      </c>
      <c r="T1" s="34" t="s">
        <v>54</v>
      </c>
      <c r="U1" s="34" t="s">
        <v>55</v>
      </c>
      <c r="V1" s="34" t="s">
        <v>56</v>
      </c>
      <c r="W1" s="35" t="s">
        <v>12</v>
      </c>
      <c r="X1" s="36" t="s">
        <v>13</v>
      </c>
      <c r="Y1" s="35" t="s">
        <v>14</v>
      </c>
      <c r="Z1" s="35" t="s">
        <v>15</v>
      </c>
      <c r="AA1" s="42" t="s">
        <v>16</v>
      </c>
      <c r="AB1" s="43" t="s">
        <v>16</v>
      </c>
      <c r="AC1" s="35" t="s">
        <v>17</v>
      </c>
      <c r="AD1" s="37" t="s">
        <v>18</v>
      </c>
      <c r="AE1" s="37" t="s">
        <v>19</v>
      </c>
      <c r="AF1" s="38" t="s">
        <v>57</v>
      </c>
      <c r="AG1" s="46" t="s">
        <v>1898</v>
      </c>
      <c r="AH1" s="47" t="s">
        <v>1900</v>
      </c>
      <c r="AI1" s="46" t="s">
        <v>1899</v>
      </c>
      <c r="AJ1" s="47" t="s">
        <v>1901</v>
      </c>
      <c r="AK1" t="s">
        <v>1938</v>
      </c>
      <c r="AL1" t="s">
        <v>1939</v>
      </c>
      <c r="AM1" t="s">
        <v>1941</v>
      </c>
      <c r="AN1" t="s">
        <v>1949</v>
      </c>
      <c r="AO1" t="s">
        <v>1950</v>
      </c>
      <c r="AP1" t="s">
        <v>1947</v>
      </c>
      <c r="AQ1" t="s">
        <v>1952</v>
      </c>
      <c r="AR1" t="s">
        <v>1956</v>
      </c>
      <c r="AS1" t="s">
        <v>1957</v>
      </c>
    </row>
    <row r="2" spans="1:45" ht="16">
      <c r="A2" s="39" t="s">
        <v>20</v>
      </c>
      <c r="B2" s="39" t="s">
        <v>21</v>
      </c>
      <c r="C2" s="39" t="s">
        <v>130</v>
      </c>
      <c r="D2" s="39" t="s">
        <v>641</v>
      </c>
      <c r="E2" s="39" t="s">
        <v>642</v>
      </c>
      <c r="F2" s="39" t="s">
        <v>643</v>
      </c>
      <c r="G2" s="39" t="s">
        <v>644</v>
      </c>
      <c r="H2" s="39" t="s">
        <v>635</v>
      </c>
      <c r="I2" s="39" t="b">
        <v>0</v>
      </c>
      <c r="J2" s="39" t="s">
        <v>635</v>
      </c>
      <c r="K2" s="39" t="b">
        <v>0</v>
      </c>
      <c r="L2" s="39" t="s">
        <v>645</v>
      </c>
      <c r="M2" s="39"/>
      <c r="N2" t="s">
        <v>645</v>
      </c>
      <c r="O2" t="s">
        <v>646</v>
      </c>
      <c r="P2" t="s">
        <v>43</v>
      </c>
      <c r="Q2" s="39" t="s">
        <v>88</v>
      </c>
      <c r="R2" s="39" t="s">
        <v>45</v>
      </c>
      <c r="S2" s="39" t="s">
        <v>647</v>
      </c>
      <c r="T2" s="39" t="s">
        <v>647</v>
      </c>
      <c r="U2" s="39" t="s">
        <v>648</v>
      </c>
      <c r="V2" s="39" t="b">
        <v>0</v>
      </c>
      <c r="W2" s="39" t="s">
        <v>649</v>
      </c>
      <c r="X2" s="39" t="s">
        <v>650</v>
      </c>
      <c r="Y2" s="39" t="s">
        <v>310</v>
      </c>
      <c r="Z2" s="39" t="s">
        <v>32</v>
      </c>
      <c r="AA2" s="39"/>
      <c r="AB2" s="44">
        <v>62857744182397</v>
      </c>
      <c r="AC2" s="39" t="s">
        <v>651</v>
      </c>
      <c r="AD2" s="39" t="s">
        <v>312</v>
      </c>
      <c r="AE2" s="39" t="s">
        <v>652</v>
      </c>
      <c r="AF2" s="39" t="s">
        <v>373</v>
      </c>
      <c r="AG2" s="39" t="s">
        <v>643</v>
      </c>
      <c r="AH2" s="39" t="s">
        <v>1908</v>
      </c>
      <c r="AI2" s="39" t="s">
        <v>644</v>
      </c>
      <c r="AJ2" s="39" t="s">
        <v>1928</v>
      </c>
      <c r="AK2" t="b">
        <f t="shared" ref="AK2:AK65" si="0">AG2=F2</f>
        <v>1</v>
      </c>
      <c r="AL2" t="b">
        <f t="shared" ref="AL2:AL65" si="1">AI2=G2</f>
        <v>1</v>
      </c>
      <c r="AN2">
        <v>1</v>
      </c>
      <c r="AP2" t="str">
        <f>_xlfn.XLOOKUP(F2,'Kolom info id dse &amp; part cd'!D:D,'Kolom info id dse &amp; part cd'!I:I)</f>
        <v>MC-BATUJAYA</v>
      </c>
      <c r="AQ2" t="b">
        <f>AP2=D2</f>
        <v>1</v>
      </c>
      <c r="AR2" t="str">
        <f>_xlfn.XLOOKUP($E2,'[1]Referensi New'!$D:$D,'[1]Referensi New'!V:V)</f>
        <v>CSOEASTRDK05</v>
      </c>
      <c r="AS2" t="str">
        <f>_xlfn.XLOOKUP($E2,'[1]Referensi New'!$D:$D,'[1]Referensi New'!W:W)</f>
        <v>CSOEASTRDK053ID</v>
      </c>
    </row>
    <row r="3" spans="1:45" ht="16">
      <c r="A3" s="39" t="s">
        <v>20</v>
      </c>
      <c r="B3" s="39" t="s">
        <v>21</v>
      </c>
      <c r="C3" s="39" t="s">
        <v>130</v>
      </c>
      <c r="D3" s="39" t="s">
        <v>641</v>
      </c>
      <c r="E3" s="39" t="s">
        <v>642</v>
      </c>
      <c r="F3" s="39" t="s">
        <v>643</v>
      </c>
      <c r="G3" s="39" t="s">
        <v>644</v>
      </c>
      <c r="H3" s="39" t="s">
        <v>635</v>
      </c>
      <c r="I3" s="39" t="b">
        <v>0</v>
      </c>
      <c r="J3" s="39" t="s">
        <v>635</v>
      </c>
      <c r="K3" s="39" t="b">
        <v>0</v>
      </c>
      <c r="L3" s="39" t="s">
        <v>653</v>
      </c>
      <c r="M3" s="39"/>
      <c r="N3" t="s">
        <v>653</v>
      </c>
      <c r="O3" t="s">
        <v>654</v>
      </c>
      <c r="P3" t="s">
        <v>43</v>
      </c>
      <c r="Q3" s="39" t="s">
        <v>88</v>
      </c>
      <c r="R3" s="39" t="s">
        <v>45</v>
      </c>
      <c r="S3" s="39" t="s">
        <v>655</v>
      </c>
      <c r="T3" s="39" t="s">
        <v>655</v>
      </c>
      <c r="U3" s="39" t="s">
        <v>656</v>
      </c>
      <c r="V3" s="39" t="b">
        <v>0</v>
      </c>
      <c r="W3" s="39" t="s">
        <v>657</v>
      </c>
      <c r="X3" s="39" t="s">
        <v>658</v>
      </c>
      <c r="Y3" s="39" t="s">
        <v>310</v>
      </c>
      <c r="Z3" s="39" t="s">
        <v>32</v>
      </c>
      <c r="AA3" s="39"/>
      <c r="AB3" s="44">
        <v>6285694188616</v>
      </c>
      <c r="AC3" s="39" t="s">
        <v>659</v>
      </c>
      <c r="AD3" s="39" t="s">
        <v>312</v>
      </c>
      <c r="AE3" s="39" t="s">
        <v>660</v>
      </c>
      <c r="AF3" s="39" t="s">
        <v>373</v>
      </c>
      <c r="AG3" s="39" t="s">
        <v>643</v>
      </c>
      <c r="AH3" s="39" t="s">
        <v>1908</v>
      </c>
      <c r="AI3" s="39" t="s">
        <v>644</v>
      </c>
      <c r="AJ3" s="39" t="s">
        <v>1928</v>
      </c>
      <c r="AK3" t="b">
        <f t="shared" si="0"/>
        <v>1</v>
      </c>
      <c r="AL3" t="b">
        <f t="shared" si="1"/>
        <v>1</v>
      </c>
      <c r="AN3">
        <v>1</v>
      </c>
      <c r="AP3" t="str">
        <f>_xlfn.XLOOKUP(F3,'Kolom info id dse &amp; part cd'!D:D,'Kolom info id dse &amp; part cd'!I:I)</f>
        <v>MC-BATUJAYA</v>
      </c>
      <c r="AQ3" t="b">
        <f t="shared" ref="AQ3:AQ66" si="2">AP3=D3</f>
        <v>1</v>
      </c>
      <c r="AR3" t="str">
        <f>_xlfn.XLOOKUP($E3,'[1]Referensi New'!$D:$D,'[1]Referensi New'!$V:$V)</f>
        <v>CSOEASTRDK05</v>
      </c>
    </row>
    <row r="4" spans="1:45" ht="16">
      <c r="A4" s="39" t="s">
        <v>20</v>
      </c>
      <c r="B4" s="39" t="s">
        <v>21</v>
      </c>
      <c r="C4" s="39" t="s">
        <v>130</v>
      </c>
      <c r="D4" s="39" t="s">
        <v>641</v>
      </c>
      <c r="E4" s="39" t="s">
        <v>642</v>
      </c>
      <c r="F4" s="39" t="s">
        <v>643</v>
      </c>
      <c r="G4" s="39" t="s">
        <v>644</v>
      </c>
      <c r="H4" s="39" t="s">
        <v>635</v>
      </c>
      <c r="I4" s="39" t="b">
        <v>0</v>
      </c>
      <c r="J4" s="39" t="s">
        <v>635</v>
      </c>
      <c r="K4" s="39" t="b">
        <v>0</v>
      </c>
      <c r="L4" s="39" t="s">
        <v>661</v>
      </c>
      <c r="M4" s="39"/>
      <c r="N4" t="s">
        <v>661</v>
      </c>
      <c r="O4" t="s">
        <v>662</v>
      </c>
      <c r="P4" t="s">
        <v>43</v>
      </c>
      <c r="Q4" s="39" t="s">
        <v>88</v>
      </c>
      <c r="R4" s="39" t="s">
        <v>45</v>
      </c>
      <c r="S4" s="39" t="s">
        <v>663</v>
      </c>
      <c r="T4" s="39" t="s">
        <v>663</v>
      </c>
      <c r="U4" s="39" t="s">
        <v>664</v>
      </c>
      <c r="V4" s="39" t="b">
        <v>0</v>
      </c>
      <c r="W4" s="39" t="s">
        <v>665</v>
      </c>
      <c r="X4" s="39" t="s">
        <v>666</v>
      </c>
      <c r="Y4" s="39" t="s">
        <v>310</v>
      </c>
      <c r="Z4" s="39" t="s">
        <v>32</v>
      </c>
      <c r="AA4" s="39"/>
      <c r="AB4" s="44">
        <v>62856926204967</v>
      </c>
      <c r="AC4" s="39" t="s">
        <v>667</v>
      </c>
      <c r="AD4" s="39" t="s">
        <v>312</v>
      </c>
      <c r="AE4" s="39" t="s">
        <v>668</v>
      </c>
      <c r="AF4" s="39" t="s">
        <v>373</v>
      </c>
      <c r="AG4" s="39" t="s">
        <v>643</v>
      </c>
      <c r="AH4" s="39" t="s">
        <v>1908</v>
      </c>
      <c r="AI4" s="39" t="s">
        <v>644</v>
      </c>
      <c r="AJ4" s="39" t="s">
        <v>1928</v>
      </c>
      <c r="AK4" t="b">
        <f t="shared" si="0"/>
        <v>1</v>
      </c>
      <c r="AL4" t="b">
        <f t="shared" si="1"/>
        <v>1</v>
      </c>
      <c r="AN4">
        <v>1</v>
      </c>
      <c r="AP4" t="str">
        <f>_xlfn.XLOOKUP(F4,'Kolom info id dse &amp; part cd'!D:D,'Kolom info id dse &amp; part cd'!I:I)</f>
        <v>MC-BATUJAYA</v>
      </c>
      <c r="AQ4" t="b">
        <f t="shared" si="2"/>
        <v>1</v>
      </c>
      <c r="AR4" t="str">
        <f>_xlfn.XLOOKUP($E4,'[1]Referensi New'!$D:$D,'[1]Referensi New'!$V:$V)</f>
        <v>CSOEASTRDK05</v>
      </c>
    </row>
    <row r="5" spans="1:45" ht="16">
      <c r="A5" s="39" t="s">
        <v>20</v>
      </c>
      <c r="B5" s="39" t="s">
        <v>21</v>
      </c>
      <c r="C5" s="39" t="s">
        <v>130</v>
      </c>
      <c r="D5" s="39" t="s">
        <v>641</v>
      </c>
      <c r="E5" s="39" t="s">
        <v>642</v>
      </c>
      <c r="F5" s="39" t="s">
        <v>643</v>
      </c>
      <c r="G5" s="39" t="s">
        <v>644</v>
      </c>
      <c r="H5" s="39" t="s">
        <v>635</v>
      </c>
      <c r="I5" s="39" t="b">
        <v>0</v>
      </c>
      <c r="J5" s="39" t="s">
        <v>635</v>
      </c>
      <c r="K5" s="39" t="b">
        <v>0</v>
      </c>
      <c r="L5" s="39" t="s">
        <v>634</v>
      </c>
      <c r="M5" s="39"/>
      <c r="N5" t="s">
        <v>634</v>
      </c>
      <c r="O5" t="s">
        <v>914</v>
      </c>
      <c r="P5" t="s">
        <v>43</v>
      </c>
      <c r="Q5" s="39" t="s">
        <v>88</v>
      </c>
      <c r="R5" s="39" t="s">
        <v>45</v>
      </c>
      <c r="S5" s="39" t="s">
        <v>915</v>
      </c>
      <c r="T5" s="39" t="s">
        <v>915</v>
      </c>
      <c r="U5" s="39" t="s">
        <v>915</v>
      </c>
      <c r="V5" s="39" t="b">
        <v>0</v>
      </c>
      <c r="W5" s="39" t="s">
        <v>916</v>
      </c>
      <c r="X5" s="39" t="s">
        <v>917</v>
      </c>
      <c r="Y5" s="39" t="s">
        <v>310</v>
      </c>
      <c r="Z5" s="39" t="s">
        <v>32</v>
      </c>
      <c r="AA5" s="39"/>
      <c r="AB5" s="44">
        <v>0</v>
      </c>
      <c r="AC5" s="39" t="s">
        <v>918</v>
      </c>
      <c r="AD5" s="39" t="s">
        <v>312</v>
      </c>
      <c r="AE5" s="39" t="s">
        <v>919</v>
      </c>
      <c r="AF5" s="39" t="s">
        <v>609</v>
      </c>
      <c r="AG5" s="39" t="s">
        <v>643</v>
      </c>
      <c r="AH5" s="39" t="s">
        <v>1908</v>
      </c>
      <c r="AI5" s="39" t="s">
        <v>644</v>
      </c>
      <c r="AJ5" s="39" t="s">
        <v>1928</v>
      </c>
      <c r="AK5" t="b">
        <f t="shared" si="0"/>
        <v>1</v>
      </c>
      <c r="AL5" t="b">
        <f t="shared" si="1"/>
        <v>1</v>
      </c>
      <c r="AN5" t="e">
        <v>#N/A</v>
      </c>
      <c r="AP5" t="str">
        <f>_xlfn.XLOOKUP(F5,'Kolom info id dse &amp; part cd'!D:D,'Kolom info id dse &amp; part cd'!I:I)</f>
        <v>MC-BATUJAYA</v>
      </c>
      <c r="AQ5" t="b">
        <f t="shared" si="2"/>
        <v>1</v>
      </c>
      <c r="AR5" t="str">
        <f>_xlfn.XLOOKUP($E5,'[1]Referensi New'!$D:$D,'[1]Referensi New'!$V:$V)</f>
        <v>CSOEASTRDK05</v>
      </c>
    </row>
    <row r="6" spans="1:45" ht="16">
      <c r="A6" s="39" t="s">
        <v>20</v>
      </c>
      <c r="B6" s="39" t="s">
        <v>21</v>
      </c>
      <c r="C6" s="39" t="s">
        <v>130</v>
      </c>
      <c r="D6" s="39" t="s">
        <v>641</v>
      </c>
      <c r="E6" s="39" t="s">
        <v>642</v>
      </c>
      <c r="F6" s="39" t="s">
        <v>643</v>
      </c>
      <c r="G6" s="39" t="s">
        <v>644</v>
      </c>
      <c r="H6" s="39" t="s">
        <v>635</v>
      </c>
      <c r="I6" s="39" t="b">
        <v>0</v>
      </c>
      <c r="J6" s="39" t="s">
        <v>635</v>
      </c>
      <c r="K6" s="39" t="b">
        <v>0</v>
      </c>
      <c r="L6" s="39" t="s">
        <v>1332</v>
      </c>
      <c r="M6" s="39"/>
      <c r="N6" t="s">
        <v>1332</v>
      </c>
      <c r="O6" t="s">
        <v>1333</v>
      </c>
      <c r="P6" t="s">
        <v>43</v>
      </c>
      <c r="Q6" s="39" t="s">
        <v>88</v>
      </c>
      <c r="R6" s="39" t="s">
        <v>45</v>
      </c>
      <c r="S6" s="39" t="s">
        <v>1334</v>
      </c>
      <c r="T6" s="39" t="s">
        <v>1334</v>
      </c>
      <c r="U6" s="39" t="s">
        <v>1335</v>
      </c>
      <c r="V6" s="39" t="b">
        <v>0</v>
      </c>
      <c r="W6" s="39" t="s">
        <v>1336</v>
      </c>
      <c r="X6" s="39" t="s">
        <v>1337</v>
      </c>
      <c r="Y6" s="39" t="s">
        <v>310</v>
      </c>
      <c r="Z6" s="39" t="s">
        <v>32</v>
      </c>
      <c r="AA6" s="39"/>
      <c r="AB6" s="44">
        <v>6285810446668</v>
      </c>
      <c r="AC6" s="39" t="s">
        <v>1338</v>
      </c>
      <c r="AD6" s="39"/>
      <c r="AE6" s="39" t="s">
        <v>1339</v>
      </c>
      <c r="AF6" s="39" t="s">
        <v>373</v>
      </c>
      <c r="AG6" s="39" t="s">
        <v>643</v>
      </c>
      <c r="AH6" s="39" t="s">
        <v>1908</v>
      </c>
      <c r="AI6" s="39" t="s">
        <v>644</v>
      </c>
      <c r="AJ6" s="39" t="s">
        <v>1928</v>
      </c>
      <c r="AK6" t="b">
        <f t="shared" si="0"/>
        <v>1</v>
      </c>
      <c r="AL6" t="b">
        <f t="shared" si="1"/>
        <v>1</v>
      </c>
      <c r="AN6">
        <v>1</v>
      </c>
      <c r="AP6" t="str">
        <f>_xlfn.XLOOKUP(F6,'Kolom info id dse &amp; part cd'!D:D,'Kolom info id dse &amp; part cd'!I:I)</f>
        <v>MC-BATUJAYA</v>
      </c>
      <c r="AQ6" t="b">
        <f t="shared" si="2"/>
        <v>1</v>
      </c>
      <c r="AR6" t="str">
        <f>_xlfn.XLOOKUP($E6,'[1]Referensi New'!$D:$D,'[1]Referensi New'!$V:$V)</f>
        <v>CSOEASTRDK05</v>
      </c>
    </row>
    <row r="7" spans="1:45" ht="16">
      <c r="A7" s="39" t="s">
        <v>20</v>
      </c>
      <c r="B7" s="39" t="s">
        <v>21</v>
      </c>
      <c r="C7" s="39" t="s">
        <v>130</v>
      </c>
      <c r="D7" s="39" t="s">
        <v>641</v>
      </c>
      <c r="E7" s="39" t="s">
        <v>642</v>
      </c>
      <c r="F7" s="39" t="s">
        <v>643</v>
      </c>
      <c r="G7" s="39" t="s">
        <v>644</v>
      </c>
      <c r="H7" s="39" t="s">
        <v>635</v>
      </c>
      <c r="I7" s="39" t="b">
        <v>0</v>
      </c>
      <c r="J7" s="39" t="s">
        <v>635</v>
      </c>
      <c r="K7" s="39" t="b">
        <v>0</v>
      </c>
      <c r="L7" s="39" t="s">
        <v>1340</v>
      </c>
      <c r="M7" s="39"/>
      <c r="N7" t="s">
        <v>1340</v>
      </c>
      <c r="O7" t="s">
        <v>1341</v>
      </c>
      <c r="P7" t="s">
        <v>43</v>
      </c>
      <c r="Q7" s="39" t="s">
        <v>88</v>
      </c>
      <c r="R7" s="39" t="s">
        <v>45</v>
      </c>
      <c r="S7" s="39" t="s">
        <v>1342</v>
      </c>
      <c r="T7" s="39" t="s">
        <v>1342</v>
      </c>
      <c r="U7" s="39" t="s">
        <v>1343</v>
      </c>
      <c r="V7" s="39" t="b">
        <v>0</v>
      </c>
      <c r="W7" s="39" t="s">
        <v>1344</v>
      </c>
      <c r="X7" s="39" t="s">
        <v>1345</v>
      </c>
      <c r="Y7" s="39" t="s">
        <v>310</v>
      </c>
      <c r="Z7" s="39" t="s">
        <v>32</v>
      </c>
      <c r="AA7" s="39"/>
      <c r="AB7" s="44">
        <v>6285894090411</v>
      </c>
      <c r="AC7" s="39" t="s">
        <v>1346</v>
      </c>
      <c r="AD7" s="39"/>
      <c r="AE7" s="39" t="s">
        <v>1347</v>
      </c>
      <c r="AF7" s="39" t="s">
        <v>373</v>
      </c>
      <c r="AG7" s="39" t="s">
        <v>643</v>
      </c>
      <c r="AH7" s="39" t="s">
        <v>1908</v>
      </c>
      <c r="AI7" s="39" t="s">
        <v>644</v>
      </c>
      <c r="AJ7" s="39" t="s">
        <v>1928</v>
      </c>
      <c r="AK7" t="b">
        <f t="shared" si="0"/>
        <v>1</v>
      </c>
      <c r="AL7" t="b">
        <f t="shared" si="1"/>
        <v>1</v>
      </c>
      <c r="AN7">
        <v>1</v>
      </c>
      <c r="AP7" t="str">
        <f>_xlfn.XLOOKUP(F7,'Kolom info id dse &amp; part cd'!D:D,'Kolom info id dse &amp; part cd'!I:I)</f>
        <v>MC-BATUJAYA</v>
      </c>
      <c r="AQ7" t="b">
        <f t="shared" si="2"/>
        <v>1</v>
      </c>
      <c r="AR7" t="str">
        <f>_xlfn.XLOOKUP($E7,'[1]Referensi New'!$D:$D,'[1]Referensi New'!$V:$V)</f>
        <v>CSOEASTRDK05</v>
      </c>
    </row>
    <row r="8" spans="1:45" ht="16">
      <c r="A8" s="39" t="s">
        <v>20</v>
      </c>
      <c r="B8" s="39" t="s">
        <v>21</v>
      </c>
      <c r="C8" s="39" t="s">
        <v>130</v>
      </c>
      <c r="D8" s="39" t="s">
        <v>641</v>
      </c>
      <c r="E8" s="39" t="s">
        <v>642</v>
      </c>
      <c r="F8" s="39" t="s">
        <v>643</v>
      </c>
      <c r="G8" s="39" t="s">
        <v>644</v>
      </c>
      <c r="H8" s="39" t="s">
        <v>635</v>
      </c>
      <c r="I8" s="39" t="b">
        <v>0</v>
      </c>
      <c r="J8" s="39" t="s">
        <v>635</v>
      </c>
      <c r="K8" s="39" t="b">
        <v>0</v>
      </c>
      <c r="L8" s="39" t="s">
        <v>1348</v>
      </c>
      <c r="M8" s="39"/>
      <c r="N8" t="s">
        <v>1348</v>
      </c>
      <c r="O8" t="s">
        <v>1349</v>
      </c>
      <c r="P8" t="s">
        <v>43</v>
      </c>
      <c r="Q8" s="39" t="s">
        <v>88</v>
      </c>
      <c r="R8" s="39" t="s">
        <v>45</v>
      </c>
      <c r="S8" s="39" t="s">
        <v>1350</v>
      </c>
      <c r="T8" s="39" t="s">
        <v>1350</v>
      </c>
      <c r="U8" s="39" t="s">
        <v>1350</v>
      </c>
      <c r="V8" s="39"/>
      <c r="W8" s="39" t="s">
        <v>1351</v>
      </c>
      <c r="X8" s="39" t="s">
        <v>1352</v>
      </c>
      <c r="Y8" s="39" t="s">
        <v>68</v>
      </c>
      <c r="Z8" s="39"/>
      <c r="AA8" s="39"/>
      <c r="AB8" s="44">
        <v>6285813307836</v>
      </c>
      <c r="AC8" s="39"/>
      <c r="AD8" s="39"/>
      <c r="AE8" s="39" t="s">
        <v>1353</v>
      </c>
      <c r="AF8" s="39"/>
      <c r="AG8" s="39" t="s">
        <v>643</v>
      </c>
      <c r="AH8" s="39" t="s">
        <v>1908</v>
      </c>
      <c r="AI8" s="39" t="s">
        <v>644</v>
      </c>
      <c r="AJ8" s="39" t="s">
        <v>1928</v>
      </c>
      <c r="AK8" t="b">
        <f t="shared" si="0"/>
        <v>1</v>
      </c>
      <c r="AL8" t="b">
        <f t="shared" si="1"/>
        <v>1</v>
      </c>
      <c r="AN8">
        <v>1</v>
      </c>
      <c r="AP8" t="str">
        <f>_xlfn.XLOOKUP(F8,'Kolom info id dse &amp; part cd'!D:D,'Kolom info id dse &amp; part cd'!I:I)</f>
        <v>MC-BATUJAYA</v>
      </c>
      <c r="AQ8" t="b">
        <f t="shared" si="2"/>
        <v>1</v>
      </c>
      <c r="AR8" t="str">
        <f>_xlfn.XLOOKUP($E8,'[1]Referensi New'!$D:$D,'[1]Referensi New'!$V:$V)</f>
        <v>CSOEASTRDK05</v>
      </c>
    </row>
    <row r="9" spans="1:45" ht="16">
      <c r="A9" s="39" t="s">
        <v>20</v>
      </c>
      <c r="B9" s="39" t="s">
        <v>21</v>
      </c>
      <c r="C9" s="39" t="s">
        <v>130</v>
      </c>
      <c r="D9" s="39" t="s">
        <v>641</v>
      </c>
      <c r="E9" s="39" t="s">
        <v>642</v>
      </c>
      <c r="F9" s="39" t="s">
        <v>643</v>
      </c>
      <c r="G9" s="39" t="s">
        <v>644</v>
      </c>
      <c r="H9" s="39" t="s">
        <v>635</v>
      </c>
      <c r="I9" s="39" t="b">
        <v>0</v>
      </c>
      <c r="J9" s="39" t="s">
        <v>635</v>
      </c>
      <c r="K9" s="39" t="b">
        <v>0</v>
      </c>
      <c r="L9" s="39" t="s">
        <v>1354</v>
      </c>
      <c r="M9" s="39"/>
      <c r="N9" t="s">
        <v>1354</v>
      </c>
      <c r="O9" t="s">
        <v>1355</v>
      </c>
      <c r="P9" t="s">
        <v>43</v>
      </c>
      <c r="Q9" s="39" t="s">
        <v>88</v>
      </c>
      <c r="R9" s="39" t="s">
        <v>45</v>
      </c>
      <c r="S9" s="39" t="s">
        <v>1356</v>
      </c>
      <c r="T9" s="39" t="s">
        <v>1356</v>
      </c>
      <c r="U9" s="39" t="s">
        <v>1357</v>
      </c>
      <c r="V9" s="39" t="b">
        <v>0</v>
      </c>
      <c r="W9" s="39" t="s">
        <v>1358</v>
      </c>
      <c r="X9" s="39" t="s">
        <v>1359</v>
      </c>
      <c r="Y9" s="39" t="s">
        <v>310</v>
      </c>
      <c r="Z9" s="39" t="s">
        <v>32</v>
      </c>
      <c r="AA9" s="39"/>
      <c r="AB9" s="44">
        <v>6285813310570</v>
      </c>
      <c r="AC9" s="39" t="s">
        <v>1360</v>
      </c>
      <c r="AD9" s="39" t="s">
        <v>312</v>
      </c>
      <c r="AE9" s="39" t="s">
        <v>1361</v>
      </c>
      <c r="AF9" s="39" t="s">
        <v>373</v>
      </c>
      <c r="AG9" s="39" t="s">
        <v>643</v>
      </c>
      <c r="AH9" s="39" t="s">
        <v>1908</v>
      </c>
      <c r="AI9" s="39" t="s">
        <v>644</v>
      </c>
      <c r="AJ9" s="39" t="s">
        <v>1928</v>
      </c>
      <c r="AK9" t="b">
        <f t="shared" si="0"/>
        <v>1</v>
      </c>
      <c r="AL9" t="b">
        <f t="shared" si="1"/>
        <v>1</v>
      </c>
      <c r="AN9">
        <v>1</v>
      </c>
      <c r="AP9" t="str">
        <f>_xlfn.XLOOKUP(F9,'Kolom info id dse &amp; part cd'!D:D,'Kolom info id dse &amp; part cd'!I:I)</f>
        <v>MC-BATUJAYA</v>
      </c>
      <c r="AQ9" t="b">
        <f t="shared" si="2"/>
        <v>1</v>
      </c>
      <c r="AR9" t="str">
        <f>_xlfn.XLOOKUP($E9,'[1]Referensi New'!$D:$D,'[1]Referensi New'!$V:$V)</f>
        <v>CSOEASTRDK05</v>
      </c>
    </row>
    <row r="10" spans="1:45" ht="16">
      <c r="A10" s="39" t="s">
        <v>20</v>
      </c>
      <c r="B10" s="39" t="s">
        <v>21</v>
      </c>
      <c r="C10" s="39" t="s">
        <v>130</v>
      </c>
      <c r="D10" s="39" t="s">
        <v>641</v>
      </c>
      <c r="E10" s="39" t="s">
        <v>642</v>
      </c>
      <c r="F10" s="39" t="s">
        <v>643</v>
      </c>
      <c r="G10" s="39" t="s">
        <v>644</v>
      </c>
      <c r="H10" s="39" t="s">
        <v>635</v>
      </c>
      <c r="I10" s="39" t="b">
        <v>0</v>
      </c>
      <c r="J10" s="39" t="s">
        <v>635</v>
      </c>
      <c r="K10" s="39" t="b">
        <v>0</v>
      </c>
      <c r="L10" s="39"/>
      <c r="M10" s="39" t="s">
        <v>1604</v>
      </c>
      <c r="N10" t="s">
        <v>1605</v>
      </c>
      <c r="O10" t="s">
        <v>1604</v>
      </c>
      <c r="P10" t="s">
        <v>1439</v>
      </c>
      <c r="Q10" s="39" t="s">
        <v>88</v>
      </c>
      <c r="R10" s="39" t="s">
        <v>45</v>
      </c>
      <c r="S10" s="39" t="s">
        <v>1606</v>
      </c>
      <c r="T10" s="39" t="s">
        <v>1606</v>
      </c>
      <c r="U10" s="39" t="s">
        <v>1606</v>
      </c>
      <c r="V10" s="39"/>
      <c r="W10" s="39" t="s">
        <v>1607</v>
      </c>
      <c r="X10" s="39" t="s">
        <v>1608</v>
      </c>
      <c r="Y10" s="39" t="s">
        <v>68</v>
      </c>
      <c r="Z10" s="39"/>
      <c r="AA10" s="39"/>
      <c r="AB10" s="44">
        <v>62895425330105</v>
      </c>
      <c r="AC10" s="39"/>
      <c r="AD10" s="39"/>
      <c r="AE10" s="39" t="s">
        <v>1609</v>
      </c>
      <c r="AF10" s="39"/>
      <c r="AG10" s="39" t="s">
        <v>643</v>
      </c>
      <c r="AH10" s="39" t="s">
        <v>1908</v>
      </c>
      <c r="AI10" s="39" t="s">
        <v>644</v>
      </c>
      <c r="AJ10" s="39" t="s">
        <v>1928</v>
      </c>
      <c r="AK10" t="b">
        <f t="shared" si="0"/>
        <v>1</v>
      </c>
      <c r="AL10" t="b">
        <f t="shared" si="1"/>
        <v>1</v>
      </c>
      <c r="AN10">
        <v>1</v>
      </c>
      <c r="AP10" t="str">
        <f>_xlfn.XLOOKUP(F10,'Kolom info id dse &amp; part cd'!D:D,'Kolom info id dse &amp; part cd'!I:I)</f>
        <v>MC-BATUJAYA</v>
      </c>
      <c r="AQ10" t="b">
        <f t="shared" si="2"/>
        <v>1</v>
      </c>
      <c r="AR10" t="str">
        <f>_xlfn.XLOOKUP($E10,'[1]Referensi New'!$D:$D,'[1]Referensi New'!$V:$V)</f>
        <v>CSOEASTRDK05</v>
      </c>
    </row>
    <row r="11" spans="1:45" ht="16">
      <c r="A11" s="39" t="s">
        <v>20</v>
      </c>
      <c r="B11" s="39" t="s">
        <v>21</v>
      </c>
      <c r="C11" s="39" t="s">
        <v>130</v>
      </c>
      <c r="D11" s="39" t="s">
        <v>631</v>
      </c>
      <c r="E11" s="39" t="s">
        <v>632</v>
      </c>
      <c r="F11" s="39" t="s">
        <v>633</v>
      </c>
      <c r="G11" s="39" t="s">
        <v>634</v>
      </c>
      <c r="H11" s="39" t="s">
        <v>635</v>
      </c>
      <c r="I11" s="39" t="b">
        <v>0</v>
      </c>
      <c r="J11" s="39" t="s">
        <v>635</v>
      </c>
      <c r="K11" s="39" t="b">
        <v>0</v>
      </c>
      <c r="L11" s="39" t="s">
        <v>636</v>
      </c>
      <c r="M11" s="39"/>
      <c r="N11" t="s">
        <v>636</v>
      </c>
      <c r="O11" t="s">
        <v>637</v>
      </c>
      <c r="P11" t="s">
        <v>43</v>
      </c>
      <c r="Q11" s="39" t="s">
        <v>88</v>
      </c>
      <c r="R11" s="39" t="s">
        <v>45</v>
      </c>
      <c r="S11" s="39" t="s">
        <v>638</v>
      </c>
      <c r="T11" s="39" t="s">
        <v>638</v>
      </c>
      <c r="U11" s="39" t="s">
        <v>638</v>
      </c>
      <c r="V11" s="39"/>
      <c r="W11" s="39">
        <v>0</v>
      </c>
      <c r="X11" s="39" t="s">
        <v>639</v>
      </c>
      <c r="Y11" s="39" t="s">
        <v>68</v>
      </c>
      <c r="Z11" s="39"/>
      <c r="AA11" s="39"/>
      <c r="AB11" s="44">
        <v>62815146917247</v>
      </c>
      <c r="AC11" s="39"/>
      <c r="AD11" s="39"/>
      <c r="AE11" s="39" t="s">
        <v>640</v>
      </c>
      <c r="AF11" s="39"/>
      <c r="AG11" s="39" t="s">
        <v>633</v>
      </c>
      <c r="AH11" s="39" t="s">
        <v>1908</v>
      </c>
      <c r="AI11" s="39" t="s">
        <v>634</v>
      </c>
      <c r="AJ11" s="39" t="s">
        <v>1928</v>
      </c>
      <c r="AK11" t="b">
        <f t="shared" si="0"/>
        <v>1</v>
      </c>
      <c r="AL11" t="b">
        <f t="shared" si="1"/>
        <v>1</v>
      </c>
      <c r="AN11">
        <v>1</v>
      </c>
      <c r="AP11" t="str">
        <f>_xlfn.XLOOKUP(F11,'Kolom info id dse &amp; part cd'!D:D,'Kolom info id dse &amp; part cd'!I:I)</f>
        <v>MC-RENGASDENGKLOK</v>
      </c>
      <c r="AQ11" t="b">
        <f t="shared" si="2"/>
        <v>1</v>
      </c>
      <c r="AR11" t="str">
        <f>_xlfn.XLOOKUP($E11,'[1]Referensi New'!$D:$D,'[1]Referensi New'!$V:$V)</f>
        <v>DSEIN016</v>
      </c>
    </row>
    <row r="12" spans="1:45" ht="16">
      <c r="A12" s="39" t="s">
        <v>20</v>
      </c>
      <c r="B12" s="39" t="s">
        <v>21</v>
      </c>
      <c r="C12" s="39" t="s">
        <v>130</v>
      </c>
      <c r="D12" s="39" t="s">
        <v>631</v>
      </c>
      <c r="E12" s="39" t="s">
        <v>632</v>
      </c>
      <c r="F12" s="39" t="s">
        <v>633</v>
      </c>
      <c r="G12" s="39" t="s">
        <v>634</v>
      </c>
      <c r="H12" s="39" t="s">
        <v>635</v>
      </c>
      <c r="I12" s="39" t="b">
        <v>0</v>
      </c>
      <c r="J12" s="39" t="s">
        <v>635</v>
      </c>
      <c r="K12" s="39" t="b">
        <v>0</v>
      </c>
      <c r="L12" s="39" t="s">
        <v>1316</v>
      </c>
      <c r="M12" s="39"/>
      <c r="N12" t="s">
        <v>1316</v>
      </c>
      <c r="O12" t="s">
        <v>1317</v>
      </c>
      <c r="P12" t="s">
        <v>43</v>
      </c>
      <c r="Q12" s="39" t="s">
        <v>88</v>
      </c>
      <c r="R12" s="39" t="s">
        <v>45</v>
      </c>
      <c r="S12" s="39" t="s">
        <v>1318</v>
      </c>
      <c r="T12" s="39" t="s">
        <v>1318</v>
      </c>
      <c r="U12" s="39" t="s">
        <v>1319</v>
      </c>
      <c r="V12" s="39" t="b">
        <v>0</v>
      </c>
      <c r="W12" s="39" t="s">
        <v>1320</v>
      </c>
      <c r="X12" s="39" t="s">
        <v>1321</v>
      </c>
      <c r="Y12" s="39" t="s">
        <v>310</v>
      </c>
      <c r="Z12" s="39" t="s">
        <v>32</v>
      </c>
      <c r="AA12" s="39"/>
      <c r="AB12" s="44">
        <v>6281700000077</v>
      </c>
      <c r="AC12" s="39" t="s">
        <v>1322</v>
      </c>
      <c r="AD12" s="39" t="s">
        <v>312</v>
      </c>
      <c r="AE12" s="39" t="s">
        <v>1323</v>
      </c>
      <c r="AF12" s="39" t="s">
        <v>373</v>
      </c>
      <c r="AG12" s="39" t="s">
        <v>633</v>
      </c>
      <c r="AH12" s="39" t="s">
        <v>1908</v>
      </c>
      <c r="AI12" s="39" t="s">
        <v>634</v>
      </c>
      <c r="AJ12" s="39" t="s">
        <v>1928</v>
      </c>
      <c r="AK12" t="b">
        <f t="shared" si="0"/>
        <v>1</v>
      </c>
      <c r="AL12" t="b">
        <f t="shared" si="1"/>
        <v>1</v>
      </c>
      <c r="AN12">
        <v>1</v>
      </c>
      <c r="AP12" t="str">
        <f>_xlfn.XLOOKUP(F12,'Kolom info id dse &amp; part cd'!D:D,'Kolom info id dse &amp; part cd'!I:I)</f>
        <v>MC-RENGASDENGKLOK</v>
      </c>
      <c r="AQ12" t="b">
        <f t="shared" si="2"/>
        <v>1</v>
      </c>
      <c r="AR12" t="str">
        <f>_xlfn.XLOOKUP($E12,'[1]Referensi New'!$D:$D,'[1]Referensi New'!$V:$V)</f>
        <v>DSEIN016</v>
      </c>
    </row>
    <row r="13" spans="1:45" ht="16">
      <c r="A13" s="39" t="s">
        <v>20</v>
      </c>
      <c r="B13" s="39" t="s">
        <v>21</v>
      </c>
      <c r="C13" s="39" t="s">
        <v>130</v>
      </c>
      <c r="D13" s="39" t="s">
        <v>631</v>
      </c>
      <c r="E13" s="39" t="s">
        <v>632</v>
      </c>
      <c r="F13" s="39" t="s">
        <v>633</v>
      </c>
      <c r="G13" s="39" t="s">
        <v>634</v>
      </c>
      <c r="H13" s="39" t="s">
        <v>635</v>
      </c>
      <c r="I13" s="39" t="b">
        <v>0</v>
      </c>
      <c r="J13" s="39" t="s">
        <v>635</v>
      </c>
      <c r="K13" s="39" t="b">
        <v>0</v>
      </c>
      <c r="L13" s="39" t="s">
        <v>1324</v>
      </c>
      <c r="M13" s="39"/>
      <c r="N13" t="s">
        <v>1324</v>
      </c>
      <c r="O13" t="s">
        <v>1325</v>
      </c>
      <c r="P13" t="s">
        <v>43</v>
      </c>
      <c r="Q13" s="39" t="s">
        <v>88</v>
      </c>
      <c r="R13" s="39" t="s">
        <v>45</v>
      </c>
      <c r="S13" s="39" t="s">
        <v>1326</v>
      </c>
      <c r="T13" s="39" t="s">
        <v>1326</v>
      </c>
      <c r="U13" s="39" t="s">
        <v>1327</v>
      </c>
      <c r="V13" s="39" t="b">
        <v>0</v>
      </c>
      <c r="W13" s="39" t="s">
        <v>1328</v>
      </c>
      <c r="X13" s="39" t="s">
        <v>1329</v>
      </c>
      <c r="Y13" s="39" t="s">
        <v>310</v>
      </c>
      <c r="Z13" s="39" t="s">
        <v>32</v>
      </c>
      <c r="AA13" s="39"/>
      <c r="AB13" s="44">
        <v>6285692620496</v>
      </c>
      <c r="AC13" s="39" t="s">
        <v>1330</v>
      </c>
      <c r="AD13" s="39"/>
      <c r="AE13" s="39" t="s">
        <v>1331</v>
      </c>
      <c r="AF13" s="39" t="s">
        <v>373</v>
      </c>
      <c r="AG13" s="39" t="s">
        <v>633</v>
      </c>
      <c r="AH13" s="39" t="s">
        <v>1908</v>
      </c>
      <c r="AI13" s="39" t="s">
        <v>634</v>
      </c>
      <c r="AJ13" s="39" t="s">
        <v>1928</v>
      </c>
      <c r="AK13" t="b">
        <f t="shared" si="0"/>
        <v>1</v>
      </c>
      <c r="AL13" t="b">
        <f t="shared" si="1"/>
        <v>1</v>
      </c>
      <c r="AN13">
        <v>1</v>
      </c>
      <c r="AP13" t="str">
        <f>_xlfn.XLOOKUP(F13,'Kolom info id dse &amp; part cd'!D:D,'Kolom info id dse &amp; part cd'!I:I)</f>
        <v>MC-RENGASDENGKLOK</v>
      </c>
      <c r="AQ13" t="b">
        <f t="shared" si="2"/>
        <v>1</v>
      </c>
      <c r="AR13" t="str">
        <f>_xlfn.XLOOKUP($E13,'[1]Referensi New'!$D:$D,'[1]Referensi New'!$V:$V)</f>
        <v>DSEIN016</v>
      </c>
    </row>
    <row r="14" spans="1:45" ht="16">
      <c r="A14" s="39" t="s">
        <v>20</v>
      </c>
      <c r="B14" s="39" t="s">
        <v>21</v>
      </c>
      <c r="C14" s="39" t="s">
        <v>130</v>
      </c>
      <c r="D14" s="39" t="s">
        <v>631</v>
      </c>
      <c r="E14" s="39" t="s">
        <v>632</v>
      </c>
      <c r="F14" s="39" t="s">
        <v>633</v>
      </c>
      <c r="G14" s="39" t="s">
        <v>634</v>
      </c>
      <c r="H14" s="39" t="s">
        <v>635</v>
      </c>
      <c r="I14" s="39" t="b">
        <v>0</v>
      </c>
      <c r="J14" s="39" t="s">
        <v>635</v>
      </c>
      <c r="K14" s="39" t="b">
        <v>0</v>
      </c>
      <c r="L14" s="39"/>
      <c r="M14" s="39" t="s">
        <v>1521</v>
      </c>
      <c r="N14" t="s">
        <v>1522</v>
      </c>
      <c r="O14" t="s">
        <v>1521</v>
      </c>
      <c r="P14" t="s">
        <v>1439</v>
      </c>
      <c r="Q14" s="39" t="s">
        <v>88</v>
      </c>
      <c r="R14" s="39" t="s">
        <v>45</v>
      </c>
      <c r="S14" s="39" t="s">
        <v>1523</v>
      </c>
      <c r="T14" s="39" t="s">
        <v>1523</v>
      </c>
      <c r="U14" s="39" t="s">
        <v>1524</v>
      </c>
      <c r="V14" s="39" t="b">
        <v>0</v>
      </c>
      <c r="W14" s="39" t="s">
        <v>1525</v>
      </c>
      <c r="X14" s="39" t="s">
        <v>1526</v>
      </c>
      <c r="Y14" s="39" t="s">
        <v>310</v>
      </c>
      <c r="Z14" s="39" t="s">
        <v>32</v>
      </c>
      <c r="AA14" s="39"/>
      <c r="AB14" s="44">
        <v>628996266997</v>
      </c>
      <c r="AC14" s="39" t="s">
        <v>1527</v>
      </c>
      <c r="AD14" s="39" t="s">
        <v>312</v>
      </c>
      <c r="AE14" s="39" t="s">
        <v>1528</v>
      </c>
      <c r="AF14" s="39" t="s">
        <v>373</v>
      </c>
      <c r="AG14" s="39" t="s">
        <v>633</v>
      </c>
      <c r="AH14" s="39" t="s">
        <v>1908</v>
      </c>
      <c r="AI14" s="39" t="s">
        <v>634</v>
      </c>
      <c r="AJ14" s="39" t="s">
        <v>1928</v>
      </c>
      <c r="AK14" t="b">
        <f t="shared" si="0"/>
        <v>1</v>
      </c>
      <c r="AL14" t="b">
        <f t="shared" si="1"/>
        <v>1</v>
      </c>
      <c r="AN14">
        <v>1</v>
      </c>
      <c r="AP14" t="str">
        <f>_xlfn.XLOOKUP(F14,'Kolom info id dse &amp; part cd'!D:D,'Kolom info id dse &amp; part cd'!I:I)</f>
        <v>MC-RENGASDENGKLOK</v>
      </c>
      <c r="AQ14" t="b">
        <f t="shared" si="2"/>
        <v>1</v>
      </c>
      <c r="AR14" t="str">
        <f>_xlfn.XLOOKUP($E14,'[1]Referensi New'!$D:$D,'[1]Referensi New'!$V:$V)</f>
        <v>DSEIN016</v>
      </c>
    </row>
    <row r="15" spans="1:45" ht="16">
      <c r="A15" s="39" t="s">
        <v>20</v>
      </c>
      <c r="B15" s="39" t="s">
        <v>21</v>
      </c>
      <c r="C15" s="39" t="s">
        <v>130</v>
      </c>
      <c r="D15" s="39" t="s">
        <v>631</v>
      </c>
      <c r="E15" s="39" t="s">
        <v>632</v>
      </c>
      <c r="F15" s="39" t="s">
        <v>633</v>
      </c>
      <c r="G15" s="39" t="s">
        <v>634</v>
      </c>
      <c r="H15" s="39" t="s">
        <v>635</v>
      </c>
      <c r="I15" s="39" t="b">
        <v>0</v>
      </c>
      <c r="J15" s="39" t="s">
        <v>635</v>
      </c>
      <c r="K15" s="39" t="b">
        <v>0</v>
      </c>
      <c r="L15" s="39"/>
      <c r="M15" s="39" t="s">
        <v>1535</v>
      </c>
      <c r="N15" t="s">
        <v>1536</v>
      </c>
      <c r="O15" t="s">
        <v>1535</v>
      </c>
      <c r="P15" t="s">
        <v>1439</v>
      </c>
      <c r="Q15" s="39" t="s">
        <v>88</v>
      </c>
      <c r="R15" s="39" t="s">
        <v>45</v>
      </c>
      <c r="S15" s="39" t="s">
        <v>1537</v>
      </c>
      <c r="T15" s="39" t="s">
        <v>1537</v>
      </c>
      <c r="U15" s="39" t="s">
        <v>1537</v>
      </c>
      <c r="V15" s="39"/>
      <c r="W15" s="39" t="s">
        <v>1538</v>
      </c>
      <c r="X15" s="39" t="s">
        <v>1539</v>
      </c>
      <c r="Y15" s="39" t="s">
        <v>68</v>
      </c>
      <c r="Z15" s="39"/>
      <c r="AA15" s="39"/>
      <c r="AB15" s="44">
        <v>6289673364930</v>
      </c>
      <c r="AC15" s="39"/>
      <c r="AD15" s="39"/>
      <c r="AE15" s="39" t="s">
        <v>1540</v>
      </c>
      <c r="AF15" s="39"/>
      <c r="AG15" s="39" t="s">
        <v>633</v>
      </c>
      <c r="AH15" s="39" t="s">
        <v>1908</v>
      </c>
      <c r="AI15" s="39" t="s">
        <v>634</v>
      </c>
      <c r="AJ15" s="39" t="s">
        <v>1928</v>
      </c>
      <c r="AK15" t="b">
        <f t="shared" si="0"/>
        <v>1</v>
      </c>
      <c r="AL15" t="b">
        <f t="shared" si="1"/>
        <v>1</v>
      </c>
      <c r="AN15">
        <v>1</v>
      </c>
      <c r="AP15" t="str">
        <f>_xlfn.XLOOKUP(F15,'Kolom info id dse &amp; part cd'!D:D,'Kolom info id dse &amp; part cd'!I:I)</f>
        <v>MC-RENGASDENGKLOK</v>
      </c>
      <c r="AQ15" t="b">
        <f t="shared" si="2"/>
        <v>1</v>
      </c>
      <c r="AR15" t="str">
        <f>_xlfn.XLOOKUP($E15,'[1]Referensi New'!$D:$D,'[1]Referensi New'!$V:$V)</f>
        <v>DSEIN016</v>
      </c>
    </row>
    <row r="16" spans="1:45" ht="16">
      <c r="A16" s="39" t="s">
        <v>20</v>
      </c>
      <c r="B16" s="39" t="s">
        <v>21</v>
      </c>
      <c r="C16" s="39" t="s">
        <v>130</v>
      </c>
      <c r="D16" s="39" t="s">
        <v>631</v>
      </c>
      <c r="E16" s="39" t="s">
        <v>632</v>
      </c>
      <c r="F16" s="39" t="s">
        <v>633</v>
      </c>
      <c r="G16" s="39" t="s">
        <v>634</v>
      </c>
      <c r="H16" s="39" t="s">
        <v>635</v>
      </c>
      <c r="I16" s="39" t="b">
        <v>0</v>
      </c>
      <c r="J16" s="39" t="s">
        <v>635</v>
      </c>
      <c r="K16" s="39" t="b">
        <v>0</v>
      </c>
      <c r="L16" s="39"/>
      <c r="M16" s="39" t="s">
        <v>1585</v>
      </c>
      <c r="N16" t="s">
        <v>1586</v>
      </c>
      <c r="O16" t="s">
        <v>1585</v>
      </c>
      <c r="P16" t="s">
        <v>1439</v>
      </c>
      <c r="Q16" s="39" t="s">
        <v>88</v>
      </c>
      <c r="R16" s="39" t="s">
        <v>45</v>
      </c>
      <c r="S16" s="39" t="s">
        <v>1587</v>
      </c>
      <c r="T16" s="39" t="s">
        <v>1587</v>
      </c>
      <c r="U16" s="39" t="s">
        <v>1587</v>
      </c>
      <c r="V16" s="39" t="b">
        <v>0</v>
      </c>
      <c r="W16" s="39" t="s">
        <v>1588</v>
      </c>
      <c r="X16" s="39" t="s">
        <v>1589</v>
      </c>
      <c r="Y16" s="39" t="s">
        <v>310</v>
      </c>
      <c r="Z16" s="39" t="s">
        <v>32</v>
      </c>
      <c r="AA16" s="39"/>
      <c r="AB16" s="44">
        <v>6289687862223</v>
      </c>
      <c r="AC16" s="39" t="s">
        <v>1590</v>
      </c>
      <c r="AD16" s="39" t="s">
        <v>312</v>
      </c>
      <c r="AE16" s="39" t="s">
        <v>1591</v>
      </c>
      <c r="AF16" s="39" t="s">
        <v>373</v>
      </c>
      <c r="AG16" s="39" t="s">
        <v>633</v>
      </c>
      <c r="AH16" s="39" t="s">
        <v>1908</v>
      </c>
      <c r="AI16" s="39" t="s">
        <v>634</v>
      </c>
      <c r="AJ16" s="39" t="s">
        <v>1928</v>
      </c>
      <c r="AK16" t="b">
        <f t="shared" si="0"/>
        <v>1</v>
      </c>
      <c r="AL16" t="b">
        <f t="shared" si="1"/>
        <v>1</v>
      </c>
      <c r="AN16">
        <v>1</v>
      </c>
      <c r="AP16" t="str">
        <f>_xlfn.XLOOKUP(F16,'Kolom info id dse &amp; part cd'!D:D,'Kolom info id dse &amp; part cd'!I:I)</f>
        <v>MC-RENGASDENGKLOK</v>
      </c>
      <c r="AQ16" t="b">
        <f t="shared" si="2"/>
        <v>1</v>
      </c>
      <c r="AR16" t="str">
        <f>_xlfn.XLOOKUP($E16,'[1]Referensi New'!$D:$D,'[1]Referensi New'!$V:$V)</f>
        <v>DSEIN016</v>
      </c>
    </row>
    <row r="17" spans="1:44" ht="16">
      <c r="A17" s="39" t="s">
        <v>20</v>
      </c>
      <c r="B17" s="39" t="s">
        <v>21</v>
      </c>
      <c r="C17" s="39" t="s">
        <v>130</v>
      </c>
      <c r="D17" s="39" t="s">
        <v>631</v>
      </c>
      <c r="E17" s="39" t="s">
        <v>632</v>
      </c>
      <c r="F17" s="39" t="s">
        <v>633</v>
      </c>
      <c r="G17" s="39" t="s">
        <v>634</v>
      </c>
      <c r="H17" s="39" t="s">
        <v>635</v>
      </c>
      <c r="I17" s="39" t="b">
        <v>0</v>
      </c>
      <c r="J17" s="39" t="s">
        <v>635</v>
      </c>
      <c r="K17" s="39" t="b">
        <v>0</v>
      </c>
      <c r="L17" s="39"/>
      <c r="M17" s="39" t="s">
        <v>1635</v>
      </c>
      <c r="N17" t="s">
        <v>1636</v>
      </c>
      <c r="O17" t="s">
        <v>1635</v>
      </c>
      <c r="P17" t="s">
        <v>1439</v>
      </c>
      <c r="Q17" s="39" t="s">
        <v>88</v>
      </c>
      <c r="R17" s="39" t="s">
        <v>45</v>
      </c>
      <c r="S17" s="39" t="s">
        <v>1637</v>
      </c>
      <c r="T17" s="39" t="s">
        <v>1637</v>
      </c>
      <c r="U17" s="39" t="s">
        <v>1637</v>
      </c>
      <c r="V17" s="39"/>
      <c r="W17" s="39" t="s">
        <v>1638</v>
      </c>
      <c r="X17" s="39" t="s">
        <v>1639</v>
      </c>
      <c r="Y17" s="39" t="s">
        <v>68</v>
      </c>
      <c r="Z17" s="39"/>
      <c r="AA17" s="39"/>
      <c r="AB17" s="44">
        <v>6208996267013</v>
      </c>
      <c r="AC17" s="39"/>
      <c r="AD17" s="39"/>
      <c r="AE17" s="39" t="s">
        <v>1640</v>
      </c>
      <c r="AF17" s="39"/>
      <c r="AG17" s="39" t="s">
        <v>633</v>
      </c>
      <c r="AH17" s="39" t="s">
        <v>1908</v>
      </c>
      <c r="AI17" s="39" t="s">
        <v>634</v>
      </c>
      <c r="AJ17" s="39" t="s">
        <v>1928</v>
      </c>
      <c r="AK17" t="b">
        <f t="shared" si="0"/>
        <v>1</v>
      </c>
      <c r="AL17" t="b">
        <f t="shared" si="1"/>
        <v>1</v>
      </c>
      <c r="AN17">
        <v>1</v>
      </c>
      <c r="AP17" t="str">
        <f>_xlfn.XLOOKUP(F17,'Kolom info id dse &amp; part cd'!D:D,'Kolom info id dse &amp; part cd'!I:I)</f>
        <v>MC-RENGASDENGKLOK</v>
      </c>
      <c r="AQ17" t="b">
        <f t="shared" si="2"/>
        <v>1</v>
      </c>
      <c r="AR17" t="str">
        <f>_xlfn.XLOOKUP($E17,'[1]Referensi New'!$D:$D,'[1]Referensi New'!$V:$V)</f>
        <v>DSEIN016</v>
      </c>
    </row>
    <row r="18" spans="1:44" ht="16">
      <c r="A18" s="39" t="s">
        <v>20</v>
      </c>
      <c r="B18" s="39" t="s">
        <v>21</v>
      </c>
      <c r="C18" s="39" t="s">
        <v>281</v>
      </c>
      <c r="D18" s="39" t="s">
        <v>675</v>
      </c>
      <c r="E18" s="39" t="s">
        <v>676</v>
      </c>
      <c r="F18" s="39" t="s">
        <v>677</v>
      </c>
      <c r="G18" s="39" t="s">
        <v>678</v>
      </c>
      <c r="H18" s="39" t="s">
        <v>63</v>
      </c>
      <c r="I18" s="39" t="b">
        <v>0</v>
      </c>
      <c r="J18" s="39" t="s">
        <v>63</v>
      </c>
      <c r="K18" s="39" t="b">
        <v>0</v>
      </c>
      <c r="L18" s="39" t="s">
        <v>679</v>
      </c>
      <c r="M18" s="39"/>
      <c r="N18" t="s">
        <v>679</v>
      </c>
      <c r="O18" t="s">
        <v>680</v>
      </c>
      <c r="P18" t="s">
        <v>43</v>
      </c>
      <c r="Q18" s="39" t="s">
        <v>28</v>
      </c>
      <c r="R18" s="39" t="s">
        <v>45</v>
      </c>
      <c r="S18" s="39" t="s">
        <v>681</v>
      </c>
      <c r="T18" s="39"/>
      <c r="U18" s="39"/>
      <c r="V18" s="39"/>
      <c r="W18" s="39" t="s">
        <v>682</v>
      </c>
      <c r="X18" s="39" t="s">
        <v>683</v>
      </c>
      <c r="Y18" s="39" t="s">
        <v>68</v>
      </c>
      <c r="Z18" s="39" t="s">
        <v>32</v>
      </c>
      <c r="AA18" s="39"/>
      <c r="AB18" s="44">
        <v>6285880815199</v>
      </c>
      <c r="AC18" s="39"/>
      <c r="AD18" s="39"/>
      <c r="AE18" s="39" t="s">
        <v>684</v>
      </c>
      <c r="AF18" s="39"/>
      <c r="AG18" s="39" t="s">
        <v>677</v>
      </c>
      <c r="AH18" s="39" t="s">
        <v>1902</v>
      </c>
      <c r="AI18" s="39" t="s">
        <v>678</v>
      </c>
      <c r="AJ18" s="39" t="s">
        <v>1921</v>
      </c>
      <c r="AK18" t="b">
        <f t="shared" si="0"/>
        <v>1</v>
      </c>
      <c r="AL18" t="b">
        <f t="shared" si="1"/>
        <v>1</v>
      </c>
      <c r="AM18" t="b">
        <f>F18='Kolom info id dse &amp; part cd'!D2</f>
        <v>1</v>
      </c>
      <c r="AN18">
        <f>_xlfn.XLOOKUP(N18,'Kolom info id dse &amp; part cd'!B:B,'Kolom info id dse &amp; part cd'!F:F)</f>
        <v>1</v>
      </c>
      <c r="AO18">
        <f>_xlfn.XLOOKUP(O18,'Kolom info id dse &amp; part cd'!C:C,'Kolom info id dse &amp; part cd'!F:F)</f>
        <v>1</v>
      </c>
      <c r="AP18" t="str">
        <f>_xlfn.XLOOKUP(F18,'Kolom info id dse &amp; part cd'!D:D,'Kolom info id dse &amp; part cd'!I:I)</f>
        <v>MC-SAWANGAN</v>
      </c>
      <c r="AQ18" t="b">
        <f t="shared" si="2"/>
        <v>1</v>
      </c>
      <c r="AR18" t="str">
        <f>_xlfn.XLOOKUP($E18,'[1]Referensi New'!$D:$D,'[1]Referensi New'!$V:$V)</f>
        <v>CSO-LOKADPK03</v>
      </c>
    </row>
    <row r="19" spans="1:44" ht="16">
      <c r="A19" s="39" t="s">
        <v>20</v>
      </c>
      <c r="B19" s="39" t="s">
        <v>21</v>
      </c>
      <c r="C19" s="39" t="s">
        <v>281</v>
      </c>
      <c r="D19" s="39" t="s">
        <v>675</v>
      </c>
      <c r="E19" s="39" t="s">
        <v>676</v>
      </c>
      <c r="F19" s="39" t="s">
        <v>677</v>
      </c>
      <c r="G19" s="39" t="s">
        <v>678</v>
      </c>
      <c r="H19" s="39" t="s">
        <v>63</v>
      </c>
      <c r="I19" s="39" t="b">
        <v>0</v>
      </c>
      <c r="J19" s="39" t="s">
        <v>63</v>
      </c>
      <c r="K19" s="39" t="b">
        <v>0</v>
      </c>
      <c r="L19" s="39" t="s">
        <v>685</v>
      </c>
      <c r="M19" s="39"/>
      <c r="N19" t="s">
        <v>685</v>
      </c>
      <c r="O19" t="s">
        <v>686</v>
      </c>
      <c r="P19" t="s">
        <v>43</v>
      </c>
      <c r="Q19" s="39" t="s">
        <v>28</v>
      </c>
      <c r="R19" s="39" t="s">
        <v>45</v>
      </c>
      <c r="S19" s="39" t="s">
        <v>687</v>
      </c>
      <c r="T19" s="39"/>
      <c r="U19" s="39"/>
      <c r="V19" s="39"/>
      <c r="W19" s="39" t="s">
        <v>688</v>
      </c>
      <c r="X19" s="39" t="s">
        <v>689</v>
      </c>
      <c r="Y19" s="39" t="s">
        <v>68</v>
      </c>
      <c r="Z19" s="39" t="s">
        <v>32</v>
      </c>
      <c r="AA19" s="39"/>
      <c r="AB19" s="44">
        <v>6280086422502</v>
      </c>
      <c r="AC19" s="39"/>
      <c r="AD19" s="39"/>
      <c r="AE19" s="39" t="s">
        <v>690</v>
      </c>
      <c r="AF19" s="39"/>
      <c r="AG19" s="39" t="s">
        <v>677</v>
      </c>
      <c r="AH19" s="39" t="s">
        <v>1902</v>
      </c>
      <c r="AI19" s="39" t="s">
        <v>678</v>
      </c>
      <c r="AJ19" s="39" t="s">
        <v>1921</v>
      </c>
      <c r="AK19" t="b">
        <f t="shared" si="0"/>
        <v>1</v>
      </c>
      <c r="AL19" t="b">
        <f t="shared" si="1"/>
        <v>1</v>
      </c>
      <c r="AM19" t="b">
        <f>F19='Kolom info id dse &amp; part cd'!D3</f>
        <v>1</v>
      </c>
      <c r="AN19">
        <f>_xlfn.XLOOKUP(N19,'Kolom info id dse &amp; part cd'!B:B,'Kolom info id dse &amp; part cd'!F:F)</f>
        <v>1</v>
      </c>
      <c r="AO19">
        <f>_xlfn.XLOOKUP(O19,'Kolom info id dse &amp; part cd'!C:C,'Kolom info id dse &amp; part cd'!F:F)</f>
        <v>1</v>
      </c>
      <c r="AP19" t="str">
        <f>_xlfn.XLOOKUP(F19,'Kolom info id dse &amp; part cd'!D:D,'Kolom info id dse &amp; part cd'!I:I)</f>
        <v>MC-SAWANGAN</v>
      </c>
      <c r="AQ19" t="b">
        <f t="shared" si="2"/>
        <v>1</v>
      </c>
      <c r="AR19" t="str">
        <f>_xlfn.XLOOKUP($E19,'[1]Referensi New'!$D:$D,'[1]Referensi New'!$V:$V)</f>
        <v>CSO-LOKADPK03</v>
      </c>
    </row>
    <row r="20" spans="1:44" ht="16">
      <c r="A20" s="39" t="s">
        <v>20</v>
      </c>
      <c r="B20" s="39" t="s">
        <v>21</v>
      </c>
      <c r="C20" s="39" t="s">
        <v>281</v>
      </c>
      <c r="D20" s="39" t="s">
        <v>675</v>
      </c>
      <c r="E20" s="39" t="s">
        <v>676</v>
      </c>
      <c r="F20" s="39" t="s">
        <v>677</v>
      </c>
      <c r="G20" s="39" t="s">
        <v>678</v>
      </c>
      <c r="H20" s="39" t="s">
        <v>63</v>
      </c>
      <c r="I20" s="39" t="b">
        <v>0</v>
      </c>
      <c r="J20" s="39" t="s">
        <v>63</v>
      </c>
      <c r="K20" s="39" t="b">
        <v>0</v>
      </c>
      <c r="L20" s="39"/>
      <c r="M20" s="39" t="s">
        <v>1755</v>
      </c>
      <c r="N20" t="s">
        <v>1756</v>
      </c>
      <c r="O20" t="s">
        <v>1755</v>
      </c>
      <c r="P20" t="s">
        <v>1439</v>
      </c>
      <c r="Q20" s="39" t="s">
        <v>28</v>
      </c>
      <c r="R20" s="39" t="s">
        <v>45</v>
      </c>
      <c r="S20" s="39" t="s">
        <v>1757</v>
      </c>
      <c r="T20" s="39"/>
      <c r="U20" s="39"/>
      <c r="V20" s="39"/>
      <c r="W20" s="39" t="s">
        <v>1758</v>
      </c>
      <c r="X20" s="39" t="s">
        <v>1759</v>
      </c>
      <c r="Y20" s="39" t="s">
        <v>68</v>
      </c>
      <c r="Z20" s="39" t="s">
        <v>32</v>
      </c>
      <c r="AA20" s="39"/>
      <c r="AB20" s="44">
        <v>6289507343824</v>
      </c>
      <c r="AC20" s="39"/>
      <c r="AD20" s="39"/>
      <c r="AE20" s="39" t="s">
        <v>1760</v>
      </c>
      <c r="AF20" s="39"/>
      <c r="AG20" s="39" t="s">
        <v>677</v>
      </c>
      <c r="AH20" s="39" t="s">
        <v>1902</v>
      </c>
      <c r="AI20" s="39" t="s">
        <v>678</v>
      </c>
      <c r="AJ20" s="39" t="s">
        <v>1921</v>
      </c>
      <c r="AK20" t="b">
        <f t="shared" si="0"/>
        <v>1</v>
      </c>
      <c r="AL20" t="b">
        <f t="shared" si="1"/>
        <v>1</v>
      </c>
      <c r="AM20" t="b">
        <f>F20='Kolom info id dse &amp; part cd'!D4</f>
        <v>1</v>
      </c>
      <c r="AN20">
        <f>_xlfn.XLOOKUP(N20,'Kolom info id dse &amp; part cd'!B:B,'Kolom info id dse &amp; part cd'!F:F)</f>
        <v>1</v>
      </c>
      <c r="AO20">
        <f>_xlfn.XLOOKUP(O20,'Kolom info id dse &amp; part cd'!C:C,'Kolom info id dse &amp; part cd'!F:F)</f>
        <v>1</v>
      </c>
      <c r="AP20" t="str">
        <f>_xlfn.XLOOKUP(F20,'Kolom info id dse &amp; part cd'!D:D,'Kolom info id dse &amp; part cd'!I:I)</f>
        <v>MC-SAWANGAN</v>
      </c>
      <c r="AQ20" t="b">
        <f t="shared" si="2"/>
        <v>1</v>
      </c>
      <c r="AR20" t="str">
        <f>_xlfn.XLOOKUP($E20,'[1]Referensi New'!$D:$D,'[1]Referensi New'!$V:$V)</f>
        <v>CSO-LOKADPK03</v>
      </c>
    </row>
    <row r="21" spans="1:44" ht="16">
      <c r="A21" s="39" t="s">
        <v>20</v>
      </c>
      <c r="B21" s="39" t="s">
        <v>21</v>
      </c>
      <c r="C21" s="39" t="s">
        <v>281</v>
      </c>
      <c r="D21" s="39" t="s">
        <v>675</v>
      </c>
      <c r="E21" s="39" t="s">
        <v>676</v>
      </c>
      <c r="F21" s="39" t="s">
        <v>677</v>
      </c>
      <c r="G21" s="39" t="s">
        <v>678</v>
      </c>
      <c r="H21" s="39" t="s">
        <v>63</v>
      </c>
      <c r="I21" s="39" t="b">
        <v>0</v>
      </c>
      <c r="J21" s="39" t="s">
        <v>63</v>
      </c>
      <c r="K21" s="39" t="b">
        <v>0</v>
      </c>
      <c r="L21" s="39"/>
      <c r="M21" s="39" t="s">
        <v>1767</v>
      </c>
      <c r="N21" t="s">
        <v>1768</v>
      </c>
      <c r="O21" t="s">
        <v>1767</v>
      </c>
      <c r="P21" t="s">
        <v>1439</v>
      </c>
      <c r="Q21" s="39" t="s">
        <v>28</v>
      </c>
      <c r="R21" s="39" t="s">
        <v>45</v>
      </c>
      <c r="S21" s="39" t="s">
        <v>1769</v>
      </c>
      <c r="T21" s="39"/>
      <c r="U21" s="39"/>
      <c r="V21" s="39"/>
      <c r="W21" s="39" t="s">
        <v>1770</v>
      </c>
      <c r="X21" s="39" t="s">
        <v>1771</v>
      </c>
      <c r="Y21" s="39" t="s">
        <v>68</v>
      </c>
      <c r="Z21" s="39" t="s">
        <v>32</v>
      </c>
      <c r="AA21" s="39"/>
      <c r="AB21" s="44">
        <v>6289507363485</v>
      </c>
      <c r="AC21" s="39"/>
      <c r="AD21" s="39"/>
      <c r="AE21" s="39" t="s">
        <v>1772</v>
      </c>
      <c r="AF21" s="39"/>
      <c r="AG21" s="39" t="s">
        <v>677</v>
      </c>
      <c r="AH21" s="39" t="s">
        <v>1902</v>
      </c>
      <c r="AI21" s="39" t="s">
        <v>678</v>
      </c>
      <c r="AJ21" s="39" t="s">
        <v>1921</v>
      </c>
      <c r="AK21" t="b">
        <f t="shared" si="0"/>
        <v>1</v>
      </c>
      <c r="AL21" t="b">
        <f t="shared" si="1"/>
        <v>1</v>
      </c>
      <c r="AM21" t="b">
        <f>F21='Kolom info id dse &amp; part cd'!D5</f>
        <v>1</v>
      </c>
      <c r="AN21">
        <f>_xlfn.XLOOKUP(N21,'Kolom info id dse &amp; part cd'!B:B,'Kolom info id dse &amp; part cd'!F:F)</f>
        <v>1</v>
      </c>
      <c r="AO21">
        <f>_xlfn.XLOOKUP(O21,'Kolom info id dse &amp; part cd'!C:C,'Kolom info id dse &amp; part cd'!F:F)</f>
        <v>1</v>
      </c>
      <c r="AP21" t="str">
        <f>_xlfn.XLOOKUP(F21,'Kolom info id dse &amp; part cd'!D:D,'Kolom info id dse &amp; part cd'!I:I)</f>
        <v>MC-SAWANGAN</v>
      </c>
      <c r="AQ21" t="b">
        <f t="shared" si="2"/>
        <v>1</v>
      </c>
      <c r="AR21" t="str">
        <f>_xlfn.XLOOKUP($E21,'[1]Referensi New'!$D:$D,'[1]Referensi New'!$V:$V)</f>
        <v>CSO-LOKADPK03</v>
      </c>
    </row>
    <row r="22" spans="1:44" ht="16">
      <c r="A22" s="39" t="s">
        <v>20</v>
      </c>
      <c r="B22" s="39" t="s">
        <v>21</v>
      </c>
      <c r="C22" s="39" t="s">
        <v>281</v>
      </c>
      <c r="D22" s="39" t="s">
        <v>675</v>
      </c>
      <c r="E22" s="39" t="s">
        <v>676</v>
      </c>
      <c r="F22" s="39" t="s">
        <v>677</v>
      </c>
      <c r="G22" s="39" t="s">
        <v>678</v>
      </c>
      <c r="H22" s="39" t="s">
        <v>63</v>
      </c>
      <c r="I22" s="39" t="b">
        <v>0</v>
      </c>
      <c r="J22" s="39" t="s">
        <v>63</v>
      </c>
      <c r="K22" s="39" t="b">
        <v>0</v>
      </c>
      <c r="L22" s="39"/>
      <c r="M22" s="39" t="s">
        <v>1892</v>
      </c>
      <c r="N22" t="s">
        <v>1893</v>
      </c>
      <c r="O22" t="s">
        <v>1892</v>
      </c>
      <c r="P22" t="s">
        <v>1439</v>
      </c>
      <c r="Q22" s="39" t="s">
        <v>28</v>
      </c>
      <c r="R22" s="39" t="s">
        <v>45</v>
      </c>
      <c r="S22" s="39" t="s">
        <v>1894</v>
      </c>
      <c r="T22" s="39"/>
      <c r="U22" s="39"/>
      <c r="V22" s="39"/>
      <c r="W22" s="39" t="s">
        <v>1895</v>
      </c>
      <c r="X22" s="39" t="s">
        <v>1896</v>
      </c>
      <c r="Y22" s="39" t="s">
        <v>68</v>
      </c>
      <c r="Z22" s="39" t="s">
        <v>32</v>
      </c>
      <c r="AA22" s="39"/>
      <c r="AB22" s="44">
        <v>6289602777880</v>
      </c>
      <c r="AC22" s="39"/>
      <c r="AD22" s="39"/>
      <c r="AE22" s="39" t="s">
        <v>1897</v>
      </c>
      <c r="AF22" s="39"/>
      <c r="AG22" s="39" t="s">
        <v>677</v>
      </c>
      <c r="AH22" s="39" t="s">
        <v>1902</v>
      </c>
      <c r="AI22" s="39" t="s">
        <v>678</v>
      </c>
      <c r="AJ22" s="39" t="s">
        <v>1921</v>
      </c>
      <c r="AK22" t="b">
        <f t="shared" si="0"/>
        <v>1</v>
      </c>
      <c r="AL22" t="b">
        <f t="shared" si="1"/>
        <v>1</v>
      </c>
      <c r="AM22" t="b">
        <f>F22='Kolom info id dse &amp; part cd'!D6</f>
        <v>1</v>
      </c>
      <c r="AN22">
        <f>_xlfn.XLOOKUP(N22,'Kolom info id dse &amp; part cd'!B:B,'Kolom info id dse &amp; part cd'!F:F)</f>
        <v>1</v>
      </c>
      <c r="AO22">
        <f>_xlfn.XLOOKUP(O22,'Kolom info id dse &amp; part cd'!C:C,'Kolom info id dse &amp; part cd'!F:F)</f>
        <v>1</v>
      </c>
      <c r="AP22" t="str">
        <f>_xlfn.XLOOKUP(F22,'Kolom info id dse &amp; part cd'!D:D,'Kolom info id dse &amp; part cd'!I:I)</f>
        <v>MC-SAWANGAN</v>
      </c>
      <c r="AQ22" t="b">
        <f t="shared" si="2"/>
        <v>1</v>
      </c>
      <c r="AR22" t="str">
        <f>_xlfn.XLOOKUP($E22,'[1]Referensi New'!$D:$D,'[1]Referensi New'!$V:$V)</f>
        <v>CSO-LOKADPK03</v>
      </c>
    </row>
    <row r="23" spans="1:44" ht="16">
      <c r="A23" s="39" t="s">
        <v>20</v>
      </c>
      <c r="B23" s="39" t="s">
        <v>21</v>
      </c>
      <c r="C23" s="39" t="s">
        <v>58</v>
      </c>
      <c r="D23" s="39" t="s">
        <v>59</v>
      </c>
      <c r="E23" s="39" t="s">
        <v>60</v>
      </c>
      <c r="F23" s="39" t="s">
        <v>61</v>
      </c>
      <c r="G23" s="39" t="s">
        <v>62</v>
      </c>
      <c r="H23" s="39" t="s">
        <v>63</v>
      </c>
      <c r="I23" s="39" t="b">
        <v>0</v>
      </c>
      <c r="J23" s="39" t="s">
        <v>63</v>
      </c>
      <c r="K23" s="39" t="b">
        <v>0</v>
      </c>
      <c r="L23" s="39">
        <v>2613050467</v>
      </c>
      <c r="M23" s="39"/>
      <c r="N23">
        <v>2613050467</v>
      </c>
      <c r="O23" t="s">
        <v>64</v>
      </c>
      <c r="P23" t="s">
        <v>43</v>
      </c>
      <c r="Q23" s="39" t="s">
        <v>28</v>
      </c>
      <c r="R23" s="39" t="s">
        <v>45</v>
      </c>
      <c r="S23" s="39" t="s">
        <v>65</v>
      </c>
      <c r="T23" s="39"/>
      <c r="U23" s="39"/>
      <c r="V23" s="39"/>
      <c r="W23" s="39" t="s">
        <v>66</v>
      </c>
      <c r="X23" s="39" t="s">
        <v>67</v>
      </c>
      <c r="Y23" s="39" t="s">
        <v>68</v>
      </c>
      <c r="Z23" s="39" t="s">
        <v>32</v>
      </c>
      <c r="AA23" s="39"/>
      <c r="AB23" s="44">
        <v>6280086422493</v>
      </c>
      <c r="AC23" s="39"/>
      <c r="AD23" s="39"/>
      <c r="AE23" s="39" t="s">
        <v>69</v>
      </c>
      <c r="AF23" s="39"/>
      <c r="AG23" s="39" t="s">
        <v>61</v>
      </c>
      <c r="AH23" s="39" t="s">
        <v>1902</v>
      </c>
      <c r="AI23" s="39" t="s">
        <v>62</v>
      </c>
      <c r="AJ23" s="39" t="s">
        <v>1911</v>
      </c>
      <c r="AK23" t="b">
        <f t="shared" si="0"/>
        <v>1</v>
      </c>
      <c r="AL23" t="b">
        <f t="shared" si="1"/>
        <v>1</v>
      </c>
      <c r="AN23" t="e">
        <v>#N/A</v>
      </c>
      <c r="AP23" t="e">
        <f>_xlfn.XLOOKUP(F23,'Kolom info id dse &amp; part cd'!D:D,'Kolom info id dse &amp; part cd'!I:I)</f>
        <v>#N/A</v>
      </c>
      <c r="AQ23" t="e">
        <f t="shared" si="2"/>
        <v>#N/A</v>
      </c>
      <c r="AR23" t="str">
        <f>_xlfn.XLOOKUP($E23,'[1]Referensi New'!$D:$D,'[1]Referensi New'!$V:$V)</f>
        <v>DSEIN050</v>
      </c>
    </row>
    <row r="24" spans="1:44" ht="16">
      <c r="A24" s="39" t="s">
        <v>20</v>
      </c>
      <c r="B24" s="39" t="s">
        <v>21</v>
      </c>
      <c r="C24" s="39" t="s">
        <v>70</v>
      </c>
      <c r="D24" s="39" t="s">
        <v>71</v>
      </c>
      <c r="E24" s="39" t="s">
        <v>72</v>
      </c>
      <c r="F24" s="39" t="s">
        <v>73</v>
      </c>
      <c r="G24" s="39" t="s">
        <v>74</v>
      </c>
      <c r="H24" s="39" t="s">
        <v>75</v>
      </c>
      <c r="I24" s="39" t="b">
        <v>0</v>
      </c>
      <c r="J24" s="39" t="s">
        <v>75</v>
      </c>
      <c r="K24" s="39" t="b">
        <v>0</v>
      </c>
      <c r="L24" s="39">
        <v>2613050474</v>
      </c>
      <c r="M24" s="39"/>
      <c r="N24">
        <v>2613050474</v>
      </c>
      <c r="O24" t="s">
        <v>76</v>
      </c>
      <c r="P24" t="s">
        <v>43</v>
      </c>
      <c r="Q24" s="39" t="s">
        <v>28</v>
      </c>
      <c r="R24" s="39" t="s">
        <v>45</v>
      </c>
      <c r="S24" s="39" t="s">
        <v>77</v>
      </c>
      <c r="T24" s="39"/>
      <c r="U24" s="39"/>
      <c r="V24" s="39"/>
      <c r="W24" s="39" t="s">
        <v>78</v>
      </c>
      <c r="X24" s="39" t="s">
        <v>79</v>
      </c>
      <c r="Y24" s="39" t="s">
        <v>68</v>
      </c>
      <c r="Z24" s="39" t="s">
        <v>32</v>
      </c>
      <c r="AA24" s="39"/>
      <c r="AB24" s="44">
        <v>6285691354474</v>
      </c>
      <c r="AC24" s="39"/>
      <c r="AD24" s="39"/>
      <c r="AE24" s="39" t="s">
        <v>80</v>
      </c>
      <c r="AF24" s="39"/>
      <c r="AG24" s="39" t="s">
        <v>73</v>
      </c>
      <c r="AH24" s="39" t="s">
        <v>1903</v>
      </c>
      <c r="AI24" s="39" t="s">
        <v>74</v>
      </c>
      <c r="AJ24" s="39" t="s">
        <v>1912</v>
      </c>
      <c r="AK24" t="b">
        <f t="shared" si="0"/>
        <v>1</v>
      </c>
      <c r="AL24" t="b">
        <f t="shared" si="1"/>
        <v>1</v>
      </c>
      <c r="AN24" t="e">
        <v>#N/A</v>
      </c>
      <c r="AP24" t="e">
        <f>_xlfn.XLOOKUP(F24,'Kolom info id dse &amp; part cd'!D:D,'Kolom info id dse &amp; part cd'!I:I)</f>
        <v>#N/A</v>
      </c>
      <c r="AQ24" t="e">
        <f t="shared" si="2"/>
        <v>#N/A</v>
      </c>
      <c r="AR24">
        <f>_xlfn.XLOOKUP($E24,'[1]Referensi New'!$D:$D,'[1]Referensi New'!$V:$V)</f>
        <v>2613050474</v>
      </c>
    </row>
    <row r="25" spans="1:44" ht="16">
      <c r="A25" s="39" t="s">
        <v>20</v>
      </c>
      <c r="B25" s="39" t="s">
        <v>21</v>
      </c>
      <c r="C25" s="39" t="s">
        <v>81</v>
      </c>
      <c r="D25" s="39" t="s">
        <v>82</v>
      </c>
      <c r="E25" s="39" t="s">
        <v>83</v>
      </c>
      <c r="F25" s="39" t="s">
        <v>84</v>
      </c>
      <c r="G25" s="39" t="s">
        <v>85</v>
      </c>
      <c r="H25" s="39" t="s">
        <v>86</v>
      </c>
      <c r="I25" s="39" t="b">
        <v>0</v>
      </c>
      <c r="J25" s="39" t="s">
        <v>86</v>
      </c>
      <c r="K25" s="39" t="b">
        <v>0</v>
      </c>
      <c r="L25" s="39">
        <v>2613050705</v>
      </c>
      <c r="M25" s="39"/>
      <c r="N25">
        <v>2613050705</v>
      </c>
      <c r="O25" t="s">
        <v>87</v>
      </c>
      <c r="P25" t="s">
        <v>43</v>
      </c>
      <c r="Q25" s="39" t="s">
        <v>88</v>
      </c>
      <c r="R25" s="39" t="s">
        <v>45</v>
      </c>
      <c r="S25" s="39" t="s">
        <v>89</v>
      </c>
      <c r="T25" s="39" t="s">
        <v>89</v>
      </c>
      <c r="U25" s="39" t="s">
        <v>89</v>
      </c>
      <c r="V25" s="39"/>
      <c r="W25" s="39" t="s">
        <v>90</v>
      </c>
      <c r="X25" s="39" t="s">
        <v>91</v>
      </c>
      <c r="Y25" s="39" t="s">
        <v>68</v>
      </c>
      <c r="Z25" s="39"/>
      <c r="AA25" s="39"/>
      <c r="AB25" s="44">
        <v>6285717747490</v>
      </c>
      <c r="AC25" s="39"/>
      <c r="AD25" s="39"/>
      <c r="AE25" s="39" t="s">
        <v>92</v>
      </c>
      <c r="AF25" s="39"/>
      <c r="AG25" s="39" t="s">
        <v>84</v>
      </c>
      <c r="AH25" s="39" t="s">
        <v>1904</v>
      </c>
      <c r="AI25" s="39" t="s">
        <v>85</v>
      </c>
      <c r="AJ25" s="39" t="s">
        <v>1913</v>
      </c>
      <c r="AK25" t="b">
        <f t="shared" si="0"/>
        <v>1</v>
      </c>
      <c r="AL25" t="b">
        <f t="shared" si="1"/>
        <v>1</v>
      </c>
      <c r="AN25" t="e">
        <v>#N/A</v>
      </c>
      <c r="AP25" t="e">
        <f>_xlfn.XLOOKUP(F25,'Kolom info id dse &amp; part cd'!D:D,'Kolom info id dse &amp; part cd'!I:I)</f>
        <v>#N/A</v>
      </c>
      <c r="AQ25" t="e">
        <f t="shared" si="2"/>
        <v>#N/A</v>
      </c>
      <c r="AR25">
        <f>_xlfn.XLOOKUP($E25,'[1]Referensi New'!$D:$D,'[1]Referensi New'!$V:$V)</f>
        <v>2613050705</v>
      </c>
    </row>
    <row r="26" spans="1:44" ht="16">
      <c r="A26" s="39" t="s">
        <v>20</v>
      </c>
      <c r="B26" s="39" t="s">
        <v>21</v>
      </c>
      <c r="C26" s="39" t="s">
        <v>58</v>
      </c>
      <c r="D26" s="39" t="s">
        <v>93</v>
      </c>
      <c r="E26" s="39" t="s">
        <v>94</v>
      </c>
      <c r="F26" s="39" t="s">
        <v>95</v>
      </c>
      <c r="G26" s="39" t="s">
        <v>96</v>
      </c>
      <c r="H26" s="39" t="s">
        <v>63</v>
      </c>
      <c r="I26" s="39" t="b">
        <v>0</v>
      </c>
      <c r="J26" s="39" t="s">
        <v>63</v>
      </c>
      <c r="K26" s="39" t="b">
        <v>0</v>
      </c>
      <c r="L26" s="39">
        <v>2613050742</v>
      </c>
      <c r="M26" s="39"/>
      <c r="N26">
        <v>2613050742</v>
      </c>
      <c r="O26" t="s">
        <v>97</v>
      </c>
      <c r="P26" t="s">
        <v>43</v>
      </c>
      <c r="Q26" s="39" t="s">
        <v>28</v>
      </c>
      <c r="R26" s="39" t="s">
        <v>45</v>
      </c>
      <c r="S26" s="39" t="s">
        <v>98</v>
      </c>
      <c r="T26" s="39"/>
      <c r="U26" s="39"/>
      <c r="V26" s="39"/>
      <c r="W26" s="39" t="s">
        <v>99</v>
      </c>
      <c r="X26" s="39" t="s">
        <v>100</v>
      </c>
      <c r="Y26" s="39" t="s">
        <v>68</v>
      </c>
      <c r="Z26" s="39" t="s">
        <v>32</v>
      </c>
      <c r="AA26" s="39"/>
      <c r="AB26" s="44">
        <v>6285781223500</v>
      </c>
      <c r="AC26" s="39"/>
      <c r="AD26" s="39"/>
      <c r="AE26" s="39" t="s">
        <v>101</v>
      </c>
      <c r="AF26" s="39"/>
      <c r="AG26" s="39" t="s">
        <v>95</v>
      </c>
      <c r="AH26" s="39" t="s">
        <v>1902</v>
      </c>
      <c r="AI26" s="39" t="s">
        <v>96</v>
      </c>
      <c r="AJ26" s="39" t="s">
        <v>1911</v>
      </c>
      <c r="AK26" t="b">
        <f t="shared" si="0"/>
        <v>1</v>
      </c>
      <c r="AL26" t="b">
        <f t="shared" si="1"/>
        <v>1</v>
      </c>
      <c r="AN26" t="e">
        <v>#N/A</v>
      </c>
      <c r="AP26" t="e">
        <f>_xlfn.XLOOKUP(F26,'Kolom info id dse &amp; part cd'!D:D,'Kolom info id dse &amp; part cd'!I:I)</f>
        <v>#N/A</v>
      </c>
      <c r="AQ26" t="e">
        <f t="shared" si="2"/>
        <v>#N/A</v>
      </c>
      <c r="AR26" t="str">
        <f>_xlfn.XLOOKUP($E26,'[1]Referensi New'!$D:$D,'[1]Referensi New'!$V:$V)</f>
        <v>DSEIN047</v>
      </c>
    </row>
    <row r="27" spans="1:44" ht="16">
      <c r="A27" s="39" t="s">
        <v>20</v>
      </c>
      <c r="B27" s="39" t="s">
        <v>21</v>
      </c>
      <c r="C27" s="39" t="s">
        <v>70</v>
      </c>
      <c r="D27" s="39" t="s">
        <v>102</v>
      </c>
      <c r="E27" s="39" t="s">
        <v>103</v>
      </c>
      <c r="F27" s="39" t="s">
        <v>104</v>
      </c>
      <c r="G27" s="39" t="s">
        <v>105</v>
      </c>
      <c r="H27" s="39" t="s">
        <v>75</v>
      </c>
      <c r="I27" s="39" t="b">
        <v>0</v>
      </c>
      <c r="J27" s="39" t="s">
        <v>75</v>
      </c>
      <c r="K27" s="39" t="b">
        <v>0</v>
      </c>
      <c r="L27" s="39">
        <v>2613052473</v>
      </c>
      <c r="M27" s="39"/>
      <c r="N27">
        <v>2613052473</v>
      </c>
      <c r="O27" t="s">
        <v>106</v>
      </c>
      <c r="P27" t="s">
        <v>43</v>
      </c>
      <c r="Q27" s="39" t="s">
        <v>28</v>
      </c>
      <c r="R27" s="39" t="s">
        <v>45</v>
      </c>
      <c r="S27" s="39" t="s">
        <v>107</v>
      </c>
      <c r="T27" s="39"/>
      <c r="U27" s="39"/>
      <c r="V27" s="39"/>
      <c r="W27" s="39" t="s">
        <v>108</v>
      </c>
      <c r="X27" s="39" t="s">
        <v>109</v>
      </c>
      <c r="Y27" s="39" t="s">
        <v>68</v>
      </c>
      <c r="Z27" s="39" t="s">
        <v>32</v>
      </c>
      <c r="AA27" s="39"/>
      <c r="AB27" s="44">
        <v>6285778144448</v>
      </c>
      <c r="AC27" s="39"/>
      <c r="AD27" s="39"/>
      <c r="AE27" s="39" t="s">
        <v>110</v>
      </c>
      <c r="AF27" s="39"/>
      <c r="AG27" s="39" t="s">
        <v>104</v>
      </c>
      <c r="AH27" s="39" t="s">
        <v>1903</v>
      </c>
      <c r="AI27" s="39" t="s">
        <v>105</v>
      </c>
      <c r="AJ27" s="39" t="s">
        <v>1912</v>
      </c>
      <c r="AK27" t="b">
        <f t="shared" si="0"/>
        <v>1</v>
      </c>
      <c r="AL27" t="b">
        <f t="shared" si="1"/>
        <v>1</v>
      </c>
      <c r="AN27" t="e">
        <v>#N/A</v>
      </c>
      <c r="AP27" t="e">
        <f>_xlfn.XLOOKUP(F27,'Kolom info id dse &amp; part cd'!D:D,'Kolom info id dse &amp; part cd'!I:I)</f>
        <v>#N/A</v>
      </c>
      <c r="AQ27" t="e">
        <f t="shared" si="2"/>
        <v>#N/A</v>
      </c>
      <c r="AR27">
        <f>_xlfn.XLOOKUP($E27,'[1]Referensi New'!$D:$D,'[1]Referensi New'!$V:$V)</f>
        <v>2613051093</v>
      </c>
    </row>
    <row r="28" spans="1:44" ht="16">
      <c r="A28" s="39" t="s">
        <v>20</v>
      </c>
      <c r="B28" s="39" t="s">
        <v>21</v>
      </c>
      <c r="C28" s="39" t="s">
        <v>70</v>
      </c>
      <c r="D28" s="39" t="s">
        <v>111</v>
      </c>
      <c r="E28" s="39" t="s">
        <v>112</v>
      </c>
      <c r="F28" s="39" t="s">
        <v>113</v>
      </c>
      <c r="G28" s="39" t="s">
        <v>114</v>
      </c>
      <c r="H28" s="39" t="s">
        <v>75</v>
      </c>
      <c r="I28" s="39" t="b">
        <v>0</v>
      </c>
      <c r="J28" s="39" t="s">
        <v>75</v>
      </c>
      <c r="K28" s="39" t="b">
        <v>0</v>
      </c>
      <c r="L28" s="39">
        <v>2613050954</v>
      </c>
      <c r="M28" s="39"/>
      <c r="N28">
        <v>2613050954</v>
      </c>
      <c r="O28" t="s">
        <v>115</v>
      </c>
      <c r="P28" t="s">
        <v>43</v>
      </c>
      <c r="Q28" s="39" t="s">
        <v>28</v>
      </c>
      <c r="R28" s="39" t="s">
        <v>45</v>
      </c>
      <c r="S28" s="39" t="s">
        <v>116</v>
      </c>
      <c r="T28" s="39"/>
      <c r="U28" s="39"/>
      <c r="V28" s="39"/>
      <c r="W28" s="39" t="s">
        <v>117</v>
      </c>
      <c r="X28" s="39" t="s">
        <v>118</v>
      </c>
      <c r="Y28" s="39" t="s">
        <v>119</v>
      </c>
      <c r="Z28" s="39" t="s">
        <v>32</v>
      </c>
      <c r="AA28" s="39"/>
      <c r="AB28" s="44">
        <v>6285839976830</v>
      </c>
      <c r="AC28" s="39"/>
      <c r="AD28" s="39"/>
      <c r="AE28" s="39" t="s">
        <v>120</v>
      </c>
      <c r="AF28" s="39"/>
      <c r="AG28" s="39" t="s">
        <v>113</v>
      </c>
      <c r="AH28" s="39" t="s">
        <v>1903</v>
      </c>
      <c r="AI28" s="39" t="s">
        <v>114</v>
      </c>
      <c r="AJ28" s="39" t="s">
        <v>1914</v>
      </c>
      <c r="AK28" t="b">
        <f t="shared" si="0"/>
        <v>1</v>
      </c>
      <c r="AL28" t="b">
        <f t="shared" si="1"/>
        <v>1</v>
      </c>
      <c r="AN28" t="e">
        <v>#N/A</v>
      </c>
      <c r="AP28" t="e">
        <f>_xlfn.XLOOKUP(F28,'Kolom info id dse &amp; part cd'!D:D,'Kolom info id dse &amp; part cd'!I:I)</f>
        <v>#N/A</v>
      </c>
      <c r="AQ28" t="e">
        <f t="shared" si="2"/>
        <v>#N/A</v>
      </c>
      <c r="AR28">
        <f>_xlfn.XLOOKUP($E28,'[1]Referensi New'!$D:$D,'[1]Referensi New'!$V:$V)</f>
        <v>2613050954</v>
      </c>
    </row>
    <row r="29" spans="1:44" ht="16">
      <c r="A29" s="39" t="s">
        <v>20</v>
      </c>
      <c r="B29" s="39" t="s">
        <v>21</v>
      </c>
      <c r="C29" s="39" t="s">
        <v>70</v>
      </c>
      <c r="D29" s="39" t="s">
        <v>121</v>
      </c>
      <c r="E29" s="39" t="s">
        <v>122</v>
      </c>
      <c r="F29" s="39" t="s">
        <v>123</v>
      </c>
      <c r="G29" s="39" t="s">
        <v>124</v>
      </c>
      <c r="H29" s="39" t="s">
        <v>75</v>
      </c>
      <c r="I29" s="39" t="b">
        <v>0</v>
      </c>
      <c r="J29" s="39" t="s">
        <v>75</v>
      </c>
      <c r="K29" s="39" t="b">
        <v>0</v>
      </c>
      <c r="L29" s="39">
        <v>2613050977</v>
      </c>
      <c r="M29" s="39"/>
      <c r="N29">
        <v>2613050977</v>
      </c>
      <c r="O29" t="s">
        <v>125</v>
      </c>
      <c r="P29" t="s">
        <v>43</v>
      </c>
      <c r="Q29" s="39" t="s">
        <v>28</v>
      </c>
      <c r="R29" s="39" t="s">
        <v>45</v>
      </c>
      <c r="S29" s="39" t="s">
        <v>126</v>
      </c>
      <c r="T29" s="39"/>
      <c r="U29" s="39"/>
      <c r="V29" s="39"/>
      <c r="W29" s="39" t="s">
        <v>127</v>
      </c>
      <c r="X29" s="39" t="s">
        <v>128</v>
      </c>
      <c r="Y29" s="39" t="s">
        <v>68</v>
      </c>
      <c r="Z29" s="39" t="s">
        <v>32</v>
      </c>
      <c r="AA29" s="39"/>
      <c r="AB29" s="44">
        <v>6285771315013</v>
      </c>
      <c r="AC29" s="39"/>
      <c r="AD29" s="39"/>
      <c r="AE29" s="39" t="s">
        <v>129</v>
      </c>
      <c r="AF29" s="39"/>
      <c r="AG29" s="39" t="s">
        <v>123</v>
      </c>
      <c r="AH29" s="39" t="s">
        <v>1903</v>
      </c>
      <c r="AI29" s="39" t="s">
        <v>124</v>
      </c>
      <c r="AJ29" s="39" t="s">
        <v>1915</v>
      </c>
      <c r="AK29" t="b">
        <f t="shared" si="0"/>
        <v>1</v>
      </c>
      <c r="AL29" t="b">
        <f t="shared" si="1"/>
        <v>1</v>
      </c>
      <c r="AN29" t="e">
        <v>#N/A</v>
      </c>
      <c r="AP29" t="e">
        <f>_xlfn.XLOOKUP(F29,'Kolom info id dse &amp; part cd'!D:D,'Kolom info id dse &amp; part cd'!I:I)</f>
        <v>#N/A</v>
      </c>
      <c r="AQ29" t="e">
        <f t="shared" si="2"/>
        <v>#N/A</v>
      </c>
      <c r="AR29">
        <f>_xlfn.XLOOKUP($E29,'[1]Referensi New'!$D:$D,'[1]Referensi New'!$V:$V)</f>
        <v>2613050977</v>
      </c>
    </row>
    <row r="30" spans="1:44" ht="16">
      <c r="A30" s="39" t="s">
        <v>20</v>
      </c>
      <c r="B30" s="39" t="s">
        <v>21</v>
      </c>
      <c r="C30" s="39" t="s">
        <v>130</v>
      </c>
      <c r="D30" s="39" t="s">
        <v>131</v>
      </c>
      <c r="E30" s="39" t="s">
        <v>132</v>
      </c>
      <c r="F30" s="39" t="s">
        <v>133</v>
      </c>
      <c r="G30" s="39" t="s">
        <v>134</v>
      </c>
      <c r="H30" s="39" t="s">
        <v>135</v>
      </c>
      <c r="I30" s="39" t="b">
        <v>0</v>
      </c>
      <c r="J30" s="39" t="s">
        <v>135</v>
      </c>
      <c r="K30" s="39" t="b">
        <v>0</v>
      </c>
      <c r="L30" s="39">
        <v>2613050980</v>
      </c>
      <c r="M30" s="39"/>
      <c r="N30">
        <v>2613050980</v>
      </c>
      <c r="O30" t="s">
        <v>136</v>
      </c>
      <c r="P30" t="s">
        <v>43</v>
      </c>
      <c r="Q30" s="39" t="s">
        <v>88</v>
      </c>
      <c r="R30" s="39" t="s">
        <v>45</v>
      </c>
      <c r="S30" s="39" t="s">
        <v>137</v>
      </c>
      <c r="T30" s="39" t="s">
        <v>137</v>
      </c>
      <c r="U30" s="39" t="s">
        <v>137</v>
      </c>
      <c r="V30" s="39"/>
      <c r="W30" s="39" t="s">
        <v>138</v>
      </c>
      <c r="X30" s="39" t="s">
        <v>139</v>
      </c>
      <c r="Y30" s="39" t="s">
        <v>119</v>
      </c>
      <c r="Z30" s="39"/>
      <c r="AA30" s="39"/>
      <c r="AB30" s="44">
        <v>6285722728319</v>
      </c>
      <c r="AC30" s="39"/>
      <c r="AD30" s="39"/>
      <c r="AE30" s="39" t="s">
        <v>140</v>
      </c>
      <c r="AF30" s="39"/>
      <c r="AG30" s="39" t="s">
        <v>133</v>
      </c>
      <c r="AH30" s="39" t="s">
        <v>1905</v>
      </c>
      <c r="AI30" s="39" t="s">
        <v>134</v>
      </c>
      <c r="AJ30" s="39" t="s">
        <v>1916</v>
      </c>
      <c r="AK30" t="b">
        <f t="shared" si="0"/>
        <v>1</v>
      </c>
      <c r="AL30" t="b">
        <f t="shared" si="1"/>
        <v>1</v>
      </c>
      <c r="AN30" t="e">
        <v>#N/A</v>
      </c>
      <c r="AP30" t="e">
        <f>_xlfn.XLOOKUP(F30,'Kolom info id dse &amp; part cd'!D:D,'Kolom info id dse &amp; part cd'!I:I)</f>
        <v>#N/A</v>
      </c>
      <c r="AQ30" t="e">
        <f t="shared" si="2"/>
        <v>#N/A</v>
      </c>
      <c r="AR30">
        <f>_xlfn.XLOOKUP($E30,'[1]Referensi New'!$D:$D,'[1]Referensi New'!$V:$V)</f>
        <v>2613050980</v>
      </c>
    </row>
    <row r="31" spans="1:44" ht="16">
      <c r="A31" s="39" t="s">
        <v>20</v>
      </c>
      <c r="B31" s="39" t="s">
        <v>21</v>
      </c>
      <c r="C31" s="39" t="s">
        <v>130</v>
      </c>
      <c r="D31" s="39" t="s">
        <v>131</v>
      </c>
      <c r="E31" s="39" t="s">
        <v>132</v>
      </c>
      <c r="F31" s="39" t="s">
        <v>133</v>
      </c>
      <c r="G31" s="39" t="s">
        <v>134</v>
      </c>
      <c r="H31" s="39" t="s">
        <v>135</v>
      </c>
      <c r="I31" s="39" t="b">
        <v>0</v>
      </c>
      <c r="J31" s="39" t="s">
        <v>135</v>
      </c>
      <c r="K31" s="39" t="b">
        <v>0</v>
      </c>
      <c r="L31" s="39">
        <v>2613050981</v>
      </c>
      <c r="M31" s="39"/>
      <c r="N31">
        <v>2613050981</v>
      </c>
      <c r="O31" t="s">
        <v>141</v>
      </c>
      <c r="P31" t="s">
        <v>43</v>
      </c>
      <c r="Q31" s="39" t="s">
        <v>88</v>
      </c>
      <c r="R31" s="39" t="s">
        <v>45</v>
      </c>
      <c r="S31" s="39" t="s">
        <v>142</v>
      </c>
      <c r="T31" s="39" t="s">
        <v>142</v>
      </c>
      <c r="U31" s="39" t="s">
        <v>142</v>
      </c>
      <c r="V31" s="39"/>
      <c r="W31" s="39" t="s">
        <v>143</v>
      </c>
      <c r="X31" s="39" t="s">
        <v>144</v>
      </c>
      <c r="Y31" s="39" t="s">
        <v>68</v>
      </c>
      <c r="Z31" s="39"/>
      <c r="AA31" s="39"/>
      <c r="AB31" s="44">
        <v>6285891947779</v>
      </c>
      <c r="AC31" s="39"/>
      <c r="AD31" s="39"/>
      <c r="AE31" s="39" t="s">
        <v>145</v>
      </c>
      <c r="AF31" s="39"/>
      <c r="AG31" s="39" t="s">
        <v>133</v>
      </c>
      <c r="AH31" s="39" t="s">
        <v>1905</v>
      </c>
      <c r="AI31" s="39" t="s">
        <v>134</v>
      </c>
      <c r="AJ31" s="39" t="s">
        <v>1916</v>
      </c>
      <c r="AK31" t="b">
        <f t="shared" si="0"/>
        <v>1</v>
      </c>
      <c r="AL31" t="b">
        <f t="shared" si="1"/>
        <v>1</v>
      </c>
      <c r="AN31" t="e">
        <v>#N/A</v>
      </c>
      <c r="AP31" t="e">
        <f>_xlfn.XLOOKUP(F31,'Kolom info id dse &amp; part cd'!D:D,'Kolom info id dse &amp; part cd'!I:I)</f>
        <v>#N/A</v>
      </c>
      <c r="AQ31" t="e">
        <f t="shared" si="2"/>
        <v>#N/A</v>
      </c>
      <c r="AR31">
        <f>_xlfn.XLOOKUP($E31,'[1]Referensi New'!$D:$D,'[1]Referensi New'!$V:$V)</f>
        <v>2613050980</v>
      </c>
    </row>
    <row r="32" spans="1:44" ht="16">
      <c r="A32" s="39" t="s">
        <v>20</v>
      </c>
      <c r="B32" s="39" t="s">
        <v>21</v>
      </c>
      <c r="C32" s="39" t="s">
        <v>130</v>
      </c>
      <c r="D32" s="39" t="s">
        <v>131</v>
      </c>
      <c r="E32" s="39" t="s">
        <v>132</v>
      </c>
      <c r="F32" s="39" t="s">
        <v>133</v>
      </c>
      <c r="G32" s="39" t="s">
        <v>134</v>
      </c>
      <c r="H32" s="39" t="s">
        <v>135</v>
      </c>
      <c r="I32" s="39" t="b">
        <v>0</v>
      </c>
      <c r="J32" s="39" t="s">
        <v>135</v>
      </c>
      <c r="K32" s="39" t="b">
        <v>0</v>
      </c>
      <c r="L32" s="39">
        <v>2613050982</v>
      </c>
      <c r="M32" s="39"/>
      <c r="N32">
        <v>2613050982</v>
      </c>
      <c r="O32" t="s">
        <v>146</v>
      </c>
      <c r="P32" t="s">
        <v>43</v>
      </c>
      <c r="Q32" s="39" t="s">
        <v>88</v>
      </c>
      <c r="R32" s="39" t="s">
        <v>45</v>
      </c>
      <c r="S32" s="39" t="s">
        <v>147</v>
      </c>
      <c r="T32" s="39" t="s">
        <v>147</v>
      </c>
      <c r="U32" s="39" t="s">
        <v>147</v>
      </c>
      <c r="V32" s="39"/>
      <c r="W32" s="39" t="s">
        <v>148</v>
      </c>
      <c r="X32" s="39" t="s">
        <v>149</v>
      </c>
      <c r="Y32" s="39" t="s">
        <v>68</v>
      </c>
      <c r="Z32" s="39"/>
      <c r="AA32" s="39"/>
      <c r="AB32" s="44">
        <v>6285891960007</v>
      </c>
      <c r="AC32" s="39"/>
      <c r="AD32" s="39"/>
      <c r="AE32" s="39" t="s">
        <v>150</v>
      </c>
      <c r="AF32" s="39"/>
      <c r="AG32" s="39" t="s">
        <v>133</v>
      </c>
      <c r="AH32" s="39" t="s">
        <v>1905</v>
      </c>
      <c r="AI32" s="39" t="s">
        <v>134</v>
      </c>
      <c r="AJ32" s="39" t="s">
        <v>1916</v>
      </c>
      <c r="AK32" t="b">
        <f t="shared" si="0"/>
        <v>1</v>
      </c>
      <c r="AL32" t="b">
        <f t="shared" si="1"/>
        <v>1</v>
      </c>
      <c r="AN32" t="e">
        <v>#N/A</v>
      </c>
      <c r="AP32" t="e">
        <f>_xlfn.XLOOKUP(F32,'Kolom info id dse &amp; part cd'!D:D,'Kolom info id dse &amp; part cd'!I:I)</f>
        <v>#N/A</v>
      </c>
      <c r="AQ32" t="e">
        <f t="shared" si="2"/>
        <v>#N/A</v>
      </c>
      <c r="AR32">
        <f>_xlfn.XLOOKUP($E32,'[1]Referensi New'!$D:$D,'[1]Referensi New'!$V:$V)</f>
        <v>2613050980</v>
      </c>
    </row>
    <row r="33" spans="1:44" ht="16">
      <c r="A33" s="39" t="s">
        <v>20</v>
      </c>
      <c r="B33" s="39" t="s">
        <v>21</v>
      </c>
      <c r="C33" s="39" t="s">
        <v>130</v>
      </c>
      <c r="D33" s="39" t="s">
        <v>151</v>
      </c>
      <c r="E33" s="39" t="s">
        <v>152</v>
      </c>
      <c r="F33" s="39" t="s">
        <v>153</v>
      </c>
      <c r="G33" s="39" t="s">
        <v>154</v>
      </c>
      <c r="H33" s="39" t="s">
        <v>135</v>
      </c>
      <c r="I33" s="39" t="b">
        <v>0</v>
      </c>
      <c r="J33" s="39" t="s">
        <v>135</v>
      </c>
      <c r="K33" s="39" t="b">
        <v>0</v>
      </c>
      <c r="L33" s="39">
        <v>2613050983</v>
      </c>
      <c r="M33" s="39"/>
      <c r="N33">
        <v>2613050983</v>
      </c>
      <c r="O33" t="s">
        <v>155</v>
      </c>
      <c r="P33" t="s">
        <v>43</v>
      </c>
      <c r="Q33" s="39" t="s">
        <v>88</v>
      </c>
      <c r="R33" s="39" t="s">
        <v>45</v>
      </c>
      <c r="S33" s="39" t="s">
        <v>156</v>
      </c>
      <c r="T33" s="39" t="s">
        <v>156</v>
      </c>
      <c r="U33" s="39" t="s">
        <v>156</v>
      </c>
      <c r="V33" s="39"/>
      <c r="W33" s="39" t="s">
        <v>157</v>
      </c>
      <c r="X33" s="39" t="s">
        <v>158</v>
      </c>
      <c r="Y33" s="39" t="s">
        <v>68</v>
      </c>
      <c r="Z33" s="39"/>
      <c r="AA33" s="39"/>
      <c r="AB33" s="44">
        <v>6285891943338</v>
      </c>
      <c r="AC33" s="39"/>
      <c r="AD33" s="39"/>
      <c r="AE33" s="39" t="s">
        <v>159</v>
      </c>
      <c r="AF33" s="39"/>
      <c r="AG33" s="39" t="s">
        <v>153</v>
      </c>
      <c r="AH33" s="39" t="s">
        <v>1905</v>
      </c>
      <c r="AI33" s="39" t="s">
        <v>154</v>
      </c>
      <c r="AJ33" s="39" t="s">
        <v>1917</v>
      </c>
      <c r="AK33" t="b">
        <f t="shared" si="0"/>
        <v>1</v>
      </c>
      <c r="AL33" t="b">
        <f t="shared" si="1"/>
        <v>1</v>
      </c>
      <c r="AN33" t="e">
        <v>#N/A</v>
      </c>
      <c r="AP33" t="e">
        <f>_xlfn.XLOOKUP(F33,'Kolom info id dse &amp; part cd'!D:D,'Kolom info id dse &amp; part cd'!I:I)</f>
        <v>#N/A</v>
      </c>
      <c r="AQ33" t="e">
        <f t="shared" si="2"/>
        <v>#N/A</v>
      </c>
      <c r="AR33">
        <f>_xlfn.XLOOKUP($E33,'[1]Referensi New'!$D:$D,'[1]Referensi New'!$V:$V)</f>
        <v>2613050983</v>
      </c>
    </row>
    <row r="34" spans="1:44" ht="16">
      <c r="A34" s="39" t="s">
        <v>20</v>
      </c>
      <c r="B34" s="39" t="s">
        <v>21</v>
      </c>
      <c r="C34" s="39" t="s">
        <v>160</v>
      </c>
      <c r="D34" s="39" t="s">
        <v>161</v>
      </c>
      <c r="E34" s="39" t="s">
        <v>162</v>
      </c>
      <c r="F34" s="39" t="s">
        <v>163</v>
      </c>
      <c r="G34" s="39" t="s">
        <v>164</v>
      </c>
      <c r="H34" s="39" t="s">
        <v>165</v>
      </c>
      <c r="I34" s="39" t="b">
        <v>0</v>
      </c>
      <c r="J34" s="39" t="s">
        <v>165</v>
      </c>
      <c r="K34" s="39" t="b">
        <v>0</v>
      </c>
      <c r="L34" s="39">
        <v>2613051003</v>
      </c>
      <c r="M34" s="39"/>
      <c r="N34">
        <v>2613051003</v>
      </c>
      <c r="O34" t="s">
        <v>166</v>
      </c>
      <c r="P34" t="s">
        <v>43</v>
      </c>
      <c r="Q34" s="39" t="s">
        <v>28</v>
      </c>
      <c r="R34" s="39" t="s">
        <v>45</v>
      </c>
      <c r="S34" s="39" t="s">
        <v>167</v>
      </c>
      <c r="T34" s="39"/>
      <c r="U34" s="39"/>
      <c r="V34" s="39"/>
      <c r="W34" s="39" t="s">
        <v>168</v>
      </c>
      <c r="X34" s="39" t="s">
        <v>169</v>
      </c>
      <c r="Y34" s="39" t="s">
        <v>68</v>
      </c>
      <c r="Z34" s="39" t="s">
        <v>32</v>
      </c>
      <c r="AA34" s="39"/>
      <c r="AB34" s="44">
        <v>6285892014016</v>
      </c>
      <c r="AC34" s="39"/>
      <c r="AD34" s="39"/>
      <c r="AE34" s="39" t="s">
        <v>170</v>
      </c>
      <c r="AF34" s="39"/>
      <c r="AG34" s="39" t="s">
        <v>163</v>
      </c>
      <c r="AH34" s="39" t="s">
        <v>1906</v>
      </c>
      <c r="AI34" s="39" t="s">
        <v>164</v>
      </c>
      <c r="AJ34" s="39" t="s">
        <v>1918</v>
      </c>
      <c r="AK34" t="b">
        <f t="shared" si="0"/>
        <v>1</v>
      </c>
      <c r="AL34" t="b">
        <f t="shared" si="1"/>
        <v>1</v>
      </c>
      <c r="AN34" t="e">
        <v>#N/A</v>
      </c>
      <c r="AP34" t="e">
        <f>_xlfn.XLOOKUP(F34,'Kolom info id dse &amp; part cd'!D:D,'Kolom info id dse &amp; part cd'!I:I)</f>
        <v>#N/A</v>
      </c>
      <c r="AQ34" t="e">
        <f t="shared" si="2"/>
        <v>#N/A</v>
      </c>
      <c r="AR34" t="str">
        <f>_xlfn.XLOOKUP($E34,'[1]Referensi New'!$D:$D,'[1]Referensi New'!$V:$V)</f>
        <v>DSEPASMING631</v>
      </c>
    </row>
    <row r="35" spans="1:44" ht="16">
      <c r="A35" s="39" t="s">
        <v>20</v>
      </c>
      <c r="B35" s="39" t="s">
        <v>21</v>
      </c>
      <c r="C35" s="39" t="s">
        <v>160</v>
      </c>
      <c r="D35" s="39" t="s">
        <v>161</v>
      </c>
      <c r="E35" s="39" t="s">
        <v>162</v>
      </c>
      <c r="F35" s="39" t="s">
        <v>163</v>
      </c>
      <c r="G35" s="39" t="s">
        <v>164</v>
      </c>
      <c r="H35" s="39" t="s">
        <v>165</v>
      </c>
      <c r="I35" s="39" t="b">
        <v>0</v>
      </c>
      <c r="J35" s="39" t="s">
        <v>165</v>
      </c>
      <c r="K35" s="39" t="b">
        <v>0</v>
      </c>
      <c r="L35" s="39">
        <v>2613051004</v>
      </c>
      <c r="M35" s="39"/>
      <c r="N35">
        <v>2613051004</v>
      </c>
      <c r="O35" t="s">
        <v>171</v>
      </c>
      <c r="P35" t="s">
        <v>43</v>
      </c>
      <c r="Q35" s="39" t="s">
        <v>28</v>
      </c>
      <c r="R35" s="39" t="s">
        <v>45</v>
      </c>
      <c r="S35" s="39" t="s">
        <v>172</v>
      </c>
      <c r="T35" s="39"/>
      <c r="U35" s="39"/>
      <c r="V35" s="39"/>
      <c r="W35" s="39" t="s">
        <v>173</v>
      </c>
      <c r="X35" s="39" t="s">
        <v>174</v>
      </c>
      <c r="Y35" s="39" t="s">
        <v>68</v>
      </c>
      <c r="Z35" s="39" t="s">
        <v>32</v>
      </c>
      <c r="AA35" s="39"/>
      <c r="AB35" s="44">
        <v>6285892009255</v>
      </c>
      <c r="AC35" s="39"/>
      <c r="AD35" s="39"/>
      <c r="AE35" s="39" t="s">
        <v>175</v>
      </c>
      <c r="AF35" s="39"/>
      <c r="AG35" s="39" t="s">
        <v>163</v>
      </c>
      <c r="AH35" s="39" t="s">
        <v>1906</v>
      </c>
      <c r="AI35" s="39" t="s">
        <v>164</v>
      </c>
      <c r="AJ35" s="39" t="s">
        <v>1918</v>
      </c>
      <c r="AK35" t="b">
        <f t="shared" si="0"/>
        <v>1</v>
      </c>
      <c r="AL35" t="b">
        <f t="shared" si="1"/>
        <v>1</v>
      </c>
      <c r="AN35" t="e">
        <v>#N/A</v>
      </c>
      <c r="AP35" t="e">
        <f>_xlfn.XLOOKUP(F35,'Kolom info id dse &amp; part cd'!D:D,'Kolom info id dse &amp; part cd'!I:I)</f>
        <v>#N/A</v>
      </c>
      <c r="AQ35" t="e">
        <f t="shared" si="2"/>
        <v>#N/A</v>
      </c>
      <c r="AR35" t="str">
        <f>_xlfn.XLOOKUP($E35,'[1]Referensi New'!$D:$D,'[1]Referensi New'!$V:$V)</f>
        <v>DSEPASMING631</v>
      </c>
    </row>
    <row r="36" spans="1:44" ht="16">
      <c r="A36" s="39" t="s">
        <v>20</v>
      </c>
      <c r="B36" s="39" t="s">
        <v>21</v>
      </c>
      <c r="C36" s="39" t="s">
        <v>160</v>
      </c>
      <c r="D36" s="39" t="s">
        <v>161</v>
      </c>
      <c r="E36" s="39" t="s">
        <v>162</v>
      </c>
      <c r="F36" s="39" t="s">
        <v>163</v>
      </c>
      <c r="G36" s="39" t="s">
        <v>164</v>
      </c>
      <c r="H36" s="39" t="s">
        <v>165</v>
      </c>
      <c r="I36" s="39" t="b">
        <v>0</v>
      </c>
      <c r="J36" s="39" t="s">
        <v>165</v>
      </c>
      <c r="K36" s="39" t="b">
        <v>0</v>
      </c>
      <c r="L36" s="39">
        <v>2613051005</v>
      </c>
      <c r="M36" s="39"/>
      <c r="N36">
        <v>2613051005</v>
      </c>
      <c r="O36" t="s">
        <v>176</v>
      </c>
      <c r="P36" t="s">
        <v>43</v>
      </c>
      <c r="Q36" s="39" t="s">
        <v>28</v>
      </c>
      <c r="R36" s="39" t="s">
        <v>45</v>
      </c>
      <c r="S36" s="39" t="s">
        <v>177</v>
      </c>
      <c r="T36" s="39"/>
      <c r="U36" s="39"/>
      <c r="V36" s="39"/>
      <c r="W36" s="39" t="s">
        <v>178</v>
      </c>
      <c r="X36" s="39" t="s">
        <v>179</v>
      </c>
      <c r="Y36" s="39" t="s">
        <v>68</v>
      </c>
      <c r="Z36" s="39" t="s">
        <v>32</v>
      </c>
      <c r="AA36" s="39"/>
      <c r="AB36" s="44">
        <v>6285882551119</v>
      </c>
      <c r="AC36" s="39"/>
      <c r="AD36" s="39"/>
      <c r="AE36" s="39" t="s">
        <v>180</v>
      </c>
      <c r="AF36" s="39"/>
      <c r="AG36" s="39" t="s">
        <v>163</v>
      </c>
      <c r="AH36" s="39" t="s">
        <v>1906</v>
      </c>
      <c r="AI36" s="39" t="s">
        <v>164</v>
      </c>
      <c r="AJ36" s="39" t="s">
        <v>1918</v>
      </c>
      <c r="AK36" t="b">
        <f t="shared" si="0"/>
        <v>1</v>
      </c>
      <c r="AL36" t="b">
        <f t="shared" si="1"/>
        <v>1</v>
      </c>
      <c r="AN36" t="e">
        <v>#N/A</v>
      </c>
      <c r="AP36" t="e">
        <f>_xlfn.XLOOKUP(F36,'Kolom info id dse &amp; part cd'!D:D,'Kolom info id dse &amp; part cd'!I:I)</f>
        <v>#N/A</v>
      </c>
      <c r="AQ36" t="e">
        <f t="shared" si="2"/>
        <v>#N/A</v>
      </c>
      <c r="AR36" t="str">
        <f>_xlfn.XLOOKUP($E36,'[1]Referensi New'!$D:$D,'[1]Referensi New'!$V:$V)</f>
        <v>DSEPASMING631</v>
      </c>
    </row>
    <row r="37" spans="1:44" ht="16">
      <c r="A37" s="39" t="s">
        <v>20</v>
      </c>
      <c r="B37" s="39" t="s">
        <v>21</v>
      </c>
      <c r="C37" s="39" t="s">
        <v>160</v>
      </c>
      <c r="D37" s="39" t="s">
        <v>181</v>
      </c>
      <c r="E37" s="39" t="s">
        <v>182</v>
      </c>
      <c r="F37" s="39" t="s">
        <v>183</v>
      </c>
      <c r="G37" s="39" t="s">
        <v>184</v>
      </c>
      <c r="H37" s="39" t="s">
        <v>165</v>
      </c>
      <c r="I37" s="39" t="b">
        <v>0</v>
      </c>
      <c r="J37" s="39" t="s">
        <v>165</v>
      </c>
      <c r="K37" s="39" t="b">
        <v>0</v>
      </c>
      <c r="L37" s="39">
        <v>2613051010</v>
      </c>
      <c r="M37" s="39"/>
      <c r="N37">
        <v>2613051010</v>
      </c>
      <c r="O37" t="s">
        <v>185</v>
      </c>
      <c r="P37" t="s">
        <v>43</v>
      </c>
      <c r="Q37" s="39" t="s">
        <v>28</v>
      </c>
      <c r="R37" s="39" t="s">
        <v>45</v>
      </c>
      <c r="S37" s="39" t="s">
        <v>186</v>
      </c>
      <c r="T37" s="39"/>
      <c r="U37" s="39"/>
      <c r="V37" s="39"/>
      <c r="W37" s="39" t="s">
        <v>187</v>
      </c>
      <c r="X37" s="39" t="s">
        <v>188</v>
      </c>
      <c r="Y37" s="39" t="s">
        <v>68</v>
      </c>
      <c r="Z37" s="39" t="s">
        <v>32</v>
      </c>
      <c r="AA37" s="39"/>
      <c r="AB37" s="44">
        <v>6285782299524</v>
      </c>
      <c r="AC37" s="39"/>
      <c r="AD37" s="39"/>
      <c r="AE37" s="39" t="s">
        <v>189</v>
      </c>
      <c r="AF37" s="39"/>
      <c r="AG37" s="39" t="s">
        <v>183</v>
      </c>
      <c r="AH37" s="39" t="s">
        <v>1906</v>
      </c>
      <c r="AI37" s="39" t="s">
        <v>184</v>
      </c>
      <c r="AJ37" s="39" t="s">
        <v>1919</v>
      </c>
      <c r="AK37" t="b">
        <f t="shared" si="0"/>
        <v>1</v>
      </c>
      <c r="AL37" t="b">
        <f t="shared" si="1"/>
        <v>1</v>
      </c>
      <c r="AN37" t="e">
        <v>#N/A</v>
      </c>
      <c r="AP37" t="e">
        <f>_xlfn.XLOOKUP(F37,'Kolom info id dse &amp; part cd'!D:D,'Kolom info id dse &amp; part cd'!I:I)</f>
        <v>#N/A</v>
      </c>
      <c r="AQ37" t="e">
        <f t="shared" si="2"/>
        <v>#N/A</v>
      </c>
      <c r="AR37">
        <f>_xlfn.XLOOKUP($E37,'[1]Referensi New'!$D:$D,'[1]Referensi New'!$V:$V)</f>
        <v>2613051039</v>
      </c>
    </row>
    <row r="38" spans="1:44" ht="16">
      <c r="A38" s="39" t="s">
        <v>20</v>
      </c>
      <c r="B38" s="39" t="s">
        <v>21</v>
      </c>
      <c r="C38" s="39" t="s">
        <v>160</v>
      </c>
      <c r="D38" s="39" t="s">
        <v>181</v>
      </c>
      <c r="E38" s="39" t="s">
        <v>182</v>
      </c>
      <c r="F38" s="39" t="s">
        <v>183</v>
      </c>
      <c r="G38" s="39" t="s">
        <v>184</v>
      </c>
      <c r="H38" s="39" t="s">
        <v>165</v>
      </c>
      <c r="I38" s="39" t="b">
        <v>0</v>
      </c>
      <c r="J38" s="39" t="s">
        <v>165</v>
      </c>
      <c r="K38" s="39" t="b">
        <v>0</v>
      </c>
      <c r="L38" s="39">
        <v>2613051011</v>
      </c>
      <c r="M38" s="39"/>
      <c r="N38">
        <v>2613051011</v>
      </c>
      <c r="O38" t="s">
        <v>190</v>
      </c>
      <c r="P38" t="s">
        <v>43</v>
      </c>
      <c r="Q38" s="39" t="s">
        <v>28</v>
      </c>
      <c r="R38" s="39" t="s">
        <v>45</v>
      </c>
      <c r="S38" s="39" t="s">
        <v>191</v>
      </c>
      <c r="T38" s="39"/>
      <c r="U38" s="39"/>
      <c r="V38" s="39"/>
      <c r="W38" s="39" t="s">
        <v>192</v>
      </c>
      <c r="X38" s="39" t="s">
        <v>193</v>
      </c>
      <c r="Y38" s="39" t="s">
        <v>68</v>
      </c>
      <c r="Z38" s="39" t="s">
        <v>32</v>
      </c>
      <c r="AA38" s="39"/>
      <c r="AB38" s="44">
        <v>6285777188892</v>
      </c>
      <c r="AC38" s="39"/>
      <c r="AD38" s="39"/>
      <c r="AE38" s="39" t="s">
        <v>194</v>
      </c>
      <c r="AF38" s="39"/>
      <c r="AG38" s="39" t="s">
        <v>183</v>
      </c>
      <c r="AH38" s="39" t="s">
        <v>1906</v>
      </c>
      <c r="AI38" s="39" t="s">
        <v>184</v>
      </c>
      <c r="AJ38" s="39" t="s">
        <v>1919</v>
      </c>
      <c r="AK38" t="b">
        <f t="shared" si="0"/>
        <v>1</v>
      </c>
      <c r="AL38" t="b">
        <f t="shared" si="1"/>
        <v>1</v>
      </c>
      <c r="AN38" t="e">
        <v>#N/A</v>
      </c>
      <c r="AP38" t="e">
        <f>_xlfn.XLOOKUP(F38,'Kolom info id dse &amp; part cd'!D:D,'Kolom info id dse &amp; part cd'!I:I)</f>
        <v>#N/A</v>
      </c>
      <c r="AQ38" t="e">
        <f t="shared" si="2"/>
        <v>#N/A</v>
      </c>
      <c r="AR38">
        <f>_xlfn.XLOOKUP($E38,'[1]Referensi New'!$D:$D,'[1]Referensi New'!$V:$V)</f>
        <v>2613051039</v>
      </c>
    </row>
    <row r="39" spans="1:44" ht="16">
      <c r="A39" s="39" t="s">
        <v>20</v>
      </c>
      <c r="B39" s="39" t="s">
        <v>21</v>
      </c>
      <c r="C39" s="39" t="s">
        <v>160</v>
      </c>
      <c r="D39" s="39" t="s">
        <v>161</v>
      </c>
      <c r="E39" s="39" t="s">
        <v>162</v>
      </c>
      <c r="F39" s="39" t="s">
        <v>163</v>
      </c>
      <c r="G39" s="39" t="s">
        <v>164</v>
      </c>
      <c r="H39" s="39" t="s">
        <v>165</v>
      </c>
      <c r="I39" s="39" t="b">
        <v>0</v>
      </c>
      <c r="J39" s="39" t="s">
        <v>165</v>
      </c>
      <c r="K39" s="39" t="b">
        <v>0</v>
      </c>
      <c r="L39" s="39">
        <v>2613051012</v>
      </c>
      <c r="M39" s="39"/>
      <c r="N39">
        <v>2613051012</v>
      </c>
      <c r="O39" t="s">
        <v>195</v>
      </c>
      <c r="P39" t="s">
        <v>43</v>
      </c>
      <c r="Q39" s="39" t="s">
        <v>28</v>
      </c>
      <c r="R39" s="39" t="s">
        <v>45</v>
      </c>
      <c r="S39" s="39" t="s">
        <v>196</v>
      </c>
      <c r="T39" s="39"/>
      <c r="U39" s="39"/>
      <c r="V39" s="39"/>
      <c r="W39" s="39" t="s">
        <v>197</v>
      </c>
      <c r="X39" s="39" t="s">
        <v>198</v>
      </c>
      <c r="Y39" s="39" t="s">
        <v>68</v>
      </c>
      <c r="Z39" s="39" t="s">
        <v>32</v>
      </c>
      <c r="AA39" s="39"/>
      <c r="AB39" s="44">
        <v>6285882277374</v>
      </c>
      <c r="AC39" s="39"/>
      <c r="AD39" s="39"/>
      <c r="AE39" s="39" t="s">
        <v>199</v>
      </c>
      <c r="AF39" s="39"/>
      <c r="AG39" s="39" t="s">
        <v>163</v>
      </c>
      <c r="AH39" s="39" t="s">
        <v>1906</v>
      </c>
      <c r="AI39" s="39" t="s">
        <v>164</v>
      </c>
      <c r="AJ39" s="39" t="s">
        <v>1918</v>
      </c>
      <c r="AK39" t="b">
        <f t="shared" si="0"/>
        <v>1</v>
      </c>
      <c r="AL39" t="b">
        <f t="shared" si="1"/>
        <v>1</v>
      </c>
      <c r="AN39" t="e">
        <v>#N/A</v>
      </c>
      <c r="AP39" t="e">
        <f>_xlfn.XLOOKUP(F39,'Kolom info id dse &amp; part cd'!D:D,'Kolom info id dse &amp; part cd'!I:I)</f>
        <v>#N/A</v>
      </c>
      <c r="AQ39" t="e">
        <f t="shared" si="2"/>
        <v>#N/A</v>
      </c>
      <c r="AR39" t="str">
        <f>_xlfn.XLOOKUP($E39,'[1]Referensi New'!$D:$D,'[1]Referensi New'!$V:$V)</f>
        <v>DSEPASMING631</v>
      </c>
    </row>
    <row r="40" spans="1:44" ht="16">
      <c r="A40" s="39" t="s">
        <v>20</v>
      </c>
      <c r="B40" s="39" t="s">
        <v>21</v>
      </c>
      <c r="C40" s="39" t="s">
        <v>160</v>
      </c>
      <c r="D40" s="39" t="s">
        <v>161</v>
      </c>
      <c r="E40" s="39" t="s">
        <v>162</v>
      </c>
      <c r="F40" s="39" t="s">
        <v>163</v>
      </c>
      <c r="G40" s="39" t="s">
        <v>164</v>
      </c>
      <c r="H40" s="39" t="s">
        <v>165</v>
      </c>
      <c r="I40" s="39" t="b">
        <v>0</v>
      </c>
      <c r="J40" s="39" t="s">
        <v>165</v>
      </c>
      <c r="K40" s="39" t="b">
        <v>0</v>
      </c>
      <c r="L40" s="39">
        <v>2613051037</v>
      </c>
      <c r="M40" s="39"/>
      <c r="N40">
        <v>2613051037</v>
      </c>
      <c r="O40" t="s">
        <v>200</v>
      </c>
      <c r="P40" t="s">
        <v>43</v>
      </c>
      <c r="Q40" s="39" t="s">
        <v>28</v>
      </c>
      <c r="R40" s="39" t="s">
        <v>45</v>
      </c>
      <c r="S40" s="39" t="s">
        <v>201</v>
      </c>
      <c r="T40" s="39"/>
      <c r="U40" s="39"/>
      <c r="V40" s="39"/>
      <c r="W40" s="39" t="s">
        <v>202</v>
      </c>
      <c r="X40" s="39" t="s">
        <v>203</v>
      </c>
      <c r="Y40" s="39" t="s">
        <v>68</v>
      </c>
      <c r="Z40" s="39" t="s">
        <v>32</v>
      </c>
      <c r="AA40" s="39"/>
      <c r="AB40" s="44">
        <v>6285882605670</v>
      </c>
      <c r="AC40" s="39"/>
      <c r="AD40" s="39"/>
      <c r="AE40" s="39" t="s">
        <v>204</v>
      </c>
      <c r="AF40" s="39"/>
      <c r="AG40" s="39" t="s">
        <v>163</v>
      </c>
      <c r="AH40" s="39" t="s">
        <v>1906</v>
      </c>
      <c r="AI40" s="39" t="s">
        <v>164</v>
      </c>
      <c r="AJ40" s="39" t="s">
        <v>1918</v>
      </c>
      <c r="AK40" t="b">
        <f t="shared" si="0"/>
        <v>1</v>
      </c>
      <c r="AL40" t="b">
        <f t="shared" si="1"/>
        <v>1</v>
      </c>
      <c r="AN40" t="e">
        <v>#N/A</v>
      </c>
      <c r="AP40" t="e">
        <f>_xlfn.XLOOKUP(F40,'Kolom info id dse &amp; part cd'!D:D,'Kolom info id dse &amp; part cd'!I:I)</f>
        <v>#N/A</v>
      </c>
      <c r="AQ40" t="e">
        <f t="shared" si="2"/>
        <v>#N/A</v>
      </c>
      <c r="AR40" t="str">
        <f>_xlfn.XLOOKUP($E40,'[1]Referensi New'!$D:$D,'[1]Referensi New'!$V:$V)</f>
        <v>DSEPASMING631</v>
      </c>
    </row>
    <row r="41" spans="1:44" ht="16">
      <c r="A41" s="39" t="s">
        <v>20</v>
      </c>
      <c r="B41" s="39" t="s">
        <v>21</v>
      </c>
      <c r="C41" s="39" t="s">
        <v>160</v>
      </c>
      <c r="D41" s="39" t="s">
        <v>181</v>
      </c>
      <c r="E41" s="39" t="s">
        <v>182</v>
      </c>
      <c r="F41" s="39" t="s">
        <v>183</v>
      </c>
      <c r="G41" s="39" t="s">
        <v>184</v>
      </c>
      <c r="H41" s="39" t="s">
        <v>165</v>
      </c>
      <c r="I41" s="39" t="b">
        <v>0</v>
      </c>
      <c r="J41" s="39" t="s">
        <v>165</v>
      </c>
      <c r="K41" s="39" t="b">
        <v>0</v>
      </c>
      <c r="L41" s="39">
        <v>2613051039</v>
      </c>
      <c r="M41" s="39"/>
      <c r="N41">
        <v>2613051039</v>
      </c>
      <c r="O41" t="s">
        <v>205</v>
      </c>
      <c r="P41" t="s">
        <v>43</v>
      </c>
      <c r="Q41" s="39" t="s">
        <v>28</v>
      </c>
      <c r="R41" s="39" t="s">
        <v>45</v>
      </c>
      <c r="S41" s="39" t="s">
        <v>206</v>
      </c>
      <c r="T41" s="39"/>
      <c r="U41" s="39"/>
      <c r="V41" s="39"/>
      <c r="W41" s="39" t="s">
        <v>207</v>
      </c>
      <c r="X41" s="39" t="s">
        <v>208</v>
      </c>
      <c r="Y41" s="39" t="s">
        <v>68</v>
      </c>
      <c r="Z41" s="39" t="s">
        <v>32</v>
      </c>
      <c r="AA41" s="39"/>
      <c r="AB41" s="44">
        <v>6285772279482</v>
      </c>
      <c r="AC41" s="39"/>
      <c r="AD41" s="39"/>
      <c r="AE41" s="39" t="s">
        <v>209</v>
      </c>
      <c r="AF41" s="39"/>
      <c r="AG41" s="39" t="s">
        <v>183</v>
      </c>
      <c r="AH41" s="39" t="s">
        <v>1906</v>
      </c>
      <c r="AI41" s="39" t="s">
        <v>184</v>
      </c>
      <c r="AJ41" s="39" t="s">
        <v>1919</v>
      </c>
      <c r="AK41" t="b">
        <f t="shared" si="0"/>
        <v>1</v>
      </c>
      <c r="AL41" t="b">
        <f t="shared" si="1"/>
        <v>1</v>
      </c>
      <c r="AN41" t="e">
        <v>#N/A</v>
      </c>
      <c r="AP41" t="e">
        <f>_xlfn.XLOOKUP(F41,'Kolom info id dse &amp; part cd'!D:D,'Kolom info id dse &amp; part cd'!I:I)</f>
        <v>#N/A</v>
      </c>
      <c r="AQ41" t="e">
        <f t="shared" si="2"/>
        <v>#N/A</v>
      </c>
      <c r="AR41">
        <f>_xlfn.XLOOKUP($E41,'[1]Referensi New'!$D:$D,'[1]Referensi New'!$V:$V)</f>
        <v>2613051039</v>
      </c>
    </row>
    <row r="42" spans="1:44" ht="16">
      <c r="A42" s="39" t="s">
        <v>20</v>
      </c>
      <c r="B42" s="39" t="s">
        <v>21</v>
      </c>
      <c r="C42" s="39" t="s">
        <v>160</v>
      </c>
      <c r="D42" s="39" t="s">
        <v>181</v>
      </c>
      <c r="E42" s="39" t="s">
        <v>182</v>
      </c>
      <c r="F42" s="39" t="s">
        <v>183</v>
      </c>
      <c r="G42" s="39" t="s">
        <v>184</v>
      </c>
      <c r="H42" s="39" t="s">
        <v>165</v>
      </c>
      <c r="I42" s="39" t="b">
        <v>0</v>
      </c>
      <c r="J42" s="39" t="s">
        <v>165</v>
      </c>
      <c r="K42" s="39" t="b">
        <v>0</v>
      </c>
      <c r="L42" s="39">
        <v>2613051040</v>
      </c>
      <c r="M42" s="39"/>
      <c r="N42">
        <v>2613051040</v>
      </c>
      <c r="O42" t="s">
        <v>210</v>
      </c>
      <c r="P42" t="s">
        <v>43</v>
      </c>
      <c r="Q42" s="39" t="s">
        <v>28</v>
      </c>
      <c r="R42" s="39" t="s">
        <v>45</v>
      </c>
      <c r="S42" s="39" t="s">
        <v>211</v>
      </c>
      <c r="T42" s="39"/>
      <c r="U42" s="39"/>
      <c r="V42" s="39"/>
      <c r="W42" s="39" t="s">
        <v>212</v>
      </c>
      <c r="X42" s="39" t="s">
        <v>213</v>
      </c>
      <c r="Y42" s="39" t="s">
        <v>68</v>
      </c>
      <c r="Z42" s="39" t="s">
        <v>32</v>
      </c>
      <c r="AA42" s="39"/>
      <c r="AB42" s="44">
        <v>6285892021430</v>
      </c>
      <c r="AC42" s="39"/>
      <c r="AD42" s="39"/>
      <c r="AE42" s="39" t="s">
        <v>214</v>
      </c>
      <c r="AF42" s="39"/>
      <c r="AG42" s="39" t="s">
        <v>183</v>
      </c>
      <c r="AH42" s="39" t="s">
        <v>1906</v>
      </c>
      <c r="AI42" s="39" t="s">
        <v>184</v>
      </c>
      <c r="AJ42" s="39" t="s">
        <v>1919</v>
      </c>
      <c r="AK42" t="b">
        <f t="shared" si="0"/>
        <v>1</v>
      </c>
      <c r="AL42" t="b">
        <f t="shared" si="1"/>
        <v>1</v>
      </c>
      <c r="AN42" t="e">
        <v>#N/A</v>
      </c>
      <c r="AP42" t="e">
        <f>_xlfn.XLOOKUP(F42,'Kolom info id dse &amp; part cd'!D:D,'Kolom info id dse &amp; part cd'!I:I)</f>
        <v>#N/A</v>
      </c>
      <c r="AQ42" t="e">
        <f t="shared" si="2"/>
        <v>#N/A</v>
      </c>
      <c r="AR42">
        <f>_xlfn.XLOOKUP($E42,'[1]Referensi New'!$D:$D,'[1]Referensi New'!$V:$V)</f>
        <v>2613051039</v>
      </c>
    </row>
    <row r="43" spans="1:44" ht="16">
      <c r="A43" s="39" t="s">
        <v>20</v>
      </c>
      <c r="B43" s="39" t="s">
        <v>21</v>
      </c>
      <c r="C43" s="39" t="s">
        <v>160</v>
      </c>
      <c r="D43" s="39" t="s">
        <v>161</v>
      </c>
      <c r="E43" s="39" t="s">
        <v>162</v>
      </c>
      <c r="F43" s="39" t="s">
        <v>163</v>
      </c>
      <c r="G43" s="39" t="s">
        <v>164</v>
      </c>
      <c r="H43" s="39" t="s">
        <v>165</v>
      </c>
      <c r="I43" s="39" t="b">
        <v>0</v>
      </c>
      <c r="J43" s="39" t="s">
        <v>165</v>
      </c>
      <c r="K43" s="39" t="b">
        <v>0</v>
      </c>
      <c r="L43" s="39">
        <v>2613051076</v>
      </c>
      <c r="M43" s="39"/>
      <c r="N43">
        <v>2613051076</v>
      </c>
      <c r="O43" t="s">
        <v>215</v>
      </c>
      <c r="P43" t="s">
        <v>43</v>
      </c>
      <c r="Q43" s="39" t="s">
        <v>28</v>
      </c>
      <c r="R43" s="39" t="s">
        <v>45</v>
      </c>
      <c r="S43" s="39" t="s">
        <v>216</v>
      </c>
      <c r="T43" s="39"/>
      <c r="U43" s="39"/>
      <c r="V43" s="39"/>
      <c r="W43" s="39" t="s">
        <v>217</v>
      </c>
      <c r="X43" s="39" t="s">
        <v>218</v>
      </c>
      <c r="Y43" s="39" t="s">
        <v>68</v>
      </c>
      <c r="Z43" s="39" t="s">
        <v>32</v>
      </c>
      <c r="AA43" s="39"/>
      <c r="AB43" s="44">
        <v>6285881887988</v>
      </c>
      <c r="AC43" s="39"/>
      <c r="AD43" s="39"/>
      <c r="AE43" s="39" t="s">
        <v>219</v>
      </c>
      <c r="AF43" s="39"/>
      <c r="AG43" s="39" t="s">
        <v>163</v>
      </c>
      <c r="AH43" s="39" t="s">
        <v>1906</v>
      </c>
      <c r="AI43" s="39" t="s">
        <v>164</v>
      </c>
      <c r="AJ43" s="39" t="s">
        <v>1918</v>
      </c>
      <c r="AK43" t="b">
        <f t="shared" si="0"/>
        <v>1</v>
      </c>
      <c r="AL43" t="b">
        <f t="shared" si="1"/>
        <v>1</v>
      </c>
      <c r="AN43" t="e">
        <v>#N/A</v>
      </c>
      <c r="AP43" t="e">
        <f>_xlfn.XLOOKUP(F43,'Kolom info id dse &amp; part cd'!D:D,'Kolom info id dse &amp; part cd'!I:I)</f>
        <v>#N/A</v>
      </c>
      <c r="AQ43" t="e">
        <f t="shared" si="2"/>
        <v>#N/A</v>
      </c>
      <c r="AR43" t="str">
        <f>_xlfn.XLOOKUP($E43,'[1]Referensi New'!$D:$D,'[1]Referensi New'!$V:$V)</f>
        <v>DSEPASMING631</v>
      </c>
    </row>
    <row r="44" spans="1:44" ht="16">
      <c r="A44" s="39" t="s">
        <v>20</v>
      </c>
      <c r="B44" s="39" t="s">
        <v>21</v>
      </c>
      <c r="C44" s="39" t="s">
        <v>70</v>
      </c>
      <c r="D44" s="39" t="s">
        <v>121</v>
      </c>
      <c r="E44" s="39" t="s">
        <v>122</v>
      </c>
      <c r="F44" s="39" t="s">
        <v>123</v>
      </c>
      <c r="G44" s="39" t="s">
        <v>124</v>
      </c>
      <c r="H44" s="39" t="s">
        <v>75</v>
      </c>
      <c r="I44" s="39" t="b">
        <v>0</v>
      </c>
      <c r="J44" s="39" t="s">
        <v>75</v>
      </c>
      <c r="K44" s="39" t="b">
        <v>0</v>
      </c>
      <c r="L44" s="39">
        <v>2613052398</v>
      </c>
      <c r="M44" s="39"/>
      <c r="N44">
        <v>2613052398</v>
      </c>
      <c r="O44" t="s">
        <v>220</v>
      </c>
      <c r="P44" t="s">
        <v>43</v>
      </c>
      <c r="Q44" s="39" t="s">
        <v>28</v>
      </c>
      <c r="R44" s="39" t="s">
        <v>45</v>
      </c>
      <c r="S44" s="39" t="s">
        <v>221</v>
      </c>
      <c r="T44" s="39"/>
      <c r="U44" s="39"/>
      <c r="V44" s="39"/>
      <c r="W44" s="39" t="s">
        <v>222</v>
      </c>
      <c r="X44" s="39" t="s">
        <v>223</v>
      </c>
      <c r="Y44" s="39" t="s">
        <v>68</v>
      </c>
      <c r="Z44" s="39" t="s">
        <v>32</v>
      </c>
      <c r="AA44" s="39"/>
      <c r="AB44" s="44">
        <v>6281511649202</v>
      </c>
      <c r="AC44" s="39"/>
      <c r="AD44" s="39"/>
      <c r="AE44" s="39" t="s">
        <v>224</v>
      </c>
      <c r="AF44" s="39"/>
      <c r="AG44" s="39" t="s">
        <v>123</v>
      </c>
      <c r="AH44" s="39" t="s">
        <v>1903</v>
      </c>
      <c r="AI44" s="39" t="s">
        <v>124</v>
      </c>
      <c r="AJ44" s="39" t="s">
        <v>1915</v>
      </c>
      <c r="AK44" t="b">
        <f t="shared" si="0"/>
        <v>1</v>
      </c>
      <c r="AL44" t="b">
        <f t="shared" si="1"/>
        <v>1</v>
      </c>
      <c r="AN44" t="e">
        <v>#N/A</v>
      </c>
      <c r="AP44" t="e">
        <f>_xlfn.XLOOKUP(F44,'Kolom info id dse &amp; part cd'!D:D,'Kolom info id dse &amp; part cd'!I:I)</f>
        <v>#N/A</v>
      </c>
      <c r="AQ44" t="e">
        <f t="shared" si="2"/>
        <v>#N/A</v>
      </c>
      <c r="AR44">
        <f>_xlfn.XLOOKUP($E44,'[1]Referensi New'!$D:$D,'[1]Referensi New'!$V:$V)</f>
        <v>2613050977</v>
      </c>
    </row>
    <row r="45" spans="1:44" ht="16">
      <c r="A45" s="39" t="s">
        <v>20</v>
      </c>
      <c r="B45" s="39" t="s">
        <v>21</v>
      </c>
      <c r="C45" s="39" t="s">
        <v>70</v>
      </c>
      <c r="D45" s="39" t="s">
        <v>71</v>
      </c>
      <c r="E45" s="39" t="s">
        <v>72</v>
      </c>
      <c r="F45" s="39" t="s">
        <v>73</v>
      </c>
      <c r="G45" s="39" t="s">
        <v>74</v>
      </c>
      <c r="H45" s="39" t="s">
        <v>75</v>
      </c>
      <c r="I45" s="39" t="b">
        <v>0</v>
      </c>
      <c r="J45" s="39" t="s">
        <v>75</v>
      </c>
      <c r="K45" s="39" t="b">
        <v>0</v>
      </c>
      <c r="L45" s="39">
        <v>2613051092</v>
      </c>
      <c r="M45" s="39"/>
      <c r="N45">
        <v>2613051092</v>
      </c>
      <c r="O45" t="s">
        <v>225</v>
      </c>
      <c r="P45" t="s">
        <v>43</v>
      </c>
      <c r="Q45" s="39" t="s">
        <v>28</v>
      </c>
      <c r="R45" s="39" t="s">
        <v>45</v>
      </c>
      <c r="S45" s="39" t="s">
        <v>226</v>
      </c>
      <c r="T45" s="39"/>
      <c r="U45" s="39"/>
      <c r="V45" s="39"/>
      <c r="W45" s="39" t="s">
        <v>227</v>
      </c>
      <c r="X45" s="39" t="s">
        <v>228</v>
      </c>
      <c r="Y45" s="39" t="s">
        <v>68</v>
      </c>
      <c r="Z45" s="39" t="s">
        <v>32</v>
      </c>
      <c r="AA45" s="39"/>
      <c r="AB45" s="44">
        <v>6285781257152</v>
      </c>
      <c r="AC45" s="39"/>
      <c r="AD45" s="39"/>
      <c r="AE45" s="39" t="s">
        <v>229</v>
      </c>
      <c r="AF45" s="39"/>
      <c r="AG45" s="39" t="s">
        <v>73</v>
      </c>
      <c r="AH45" s="39" t="s">
        <v>1903</v>
      </c>
      <c r="AI45" s="39" t="s">
        <v>74</v>
      </c>
      <c r="AJ45" s="39" t="s">
        <v>1912</v>
      </c>
      <c r="AK45" t="b">
        <f t="shared" si="0"/>
        <v>1</v>
      </c>
      <c r="AL45" t="b">
        <f t="shared" si="1"/>
        <v>1</v>
      </c>
      <c r="AN45" t="e">
        <v>#N/A</v>
      </c>
      <c r="AP45" t="e">
        <f>_xlfn.XLOOKUP(F45,'Kolom info id dse &amp; part cd'!D:D,'Kolom info id dse &amp; part cd'!I:I)</f>
        <v>#N/A</v>
      </c>
      <c r="AQ45" t="e">
        <f t="shared" si="2"/>
        <v>#N/A</v>
      </c>
      <c r="AR45">
        <f>_xlfn.XLOOKUP($E45,'[1]Referensi New'!$D:$D,'[1]Referensi New'!$V:$V)</f>
        <v>2613050474</v>
      </c>
    </row>
    <row r="46" spans="1:44" ht="16">
      <c r="A46" s="39" t="s">
        <v>20</v>
      </c>
      <c r="B46" s="39" t="s">
        <v>21</v>
      </c>
      <c r="C46" s="39" t="s">
        <v>70</v>
      </c>
      <c r="D46" s="39" t="s">
        <v>102</v>
      </c>
      <c r="E46" s="39" t="s">
        <v>103</v>
      </c>
      <c r="F46" s="39" t="s">
        <v>104</v>
      </c>
      <c r="G46" s="39" t="s">
        <v>105</v>
      </c>
      <c r="H46" s="39" t="s">
        <v>75</v>
      </c>
      <c r="I46" s="39" t="b">
        <v>0</v>
      </c>
      <c r="J46" s="39" t="s">
        <v>75</v>
      </c>
      <c r="K46" s="39" t="b">
        <v>0</v>
      </c>
      <c r="L46" s="39">
        <v>2613051093</v>
      </c>
      <c r="M46" s="39"/>
      <c r="N46">
        <v>2613051093</v>
      </c>
      <c r="O46" t="s">
        <v>230</v>
      </c>
      <c r="P46" t="s">
        <v>43</v>
      </c>
      <c r="Q46" s="39" t="s">
        <v>28</v>
      </c>
      <c r="R46" s="39" t="s">
        <v>45</v>
      </c>
      <c r="S46" s="39" t="s">
        <v>231</v>
      </c>
      <c r="T46" s="39"/>
      <c r="U46" s="39"/>
      <c r="V46" s="39"/>
      <c r="W46" s="39" t="s">
        <v>232</v>
      </c>
      <c r="X46" s="39" t="s">
        <v>233</v>
      </c>
      <c r="Y46" s="39" t="s">
        <v>68</v>
      </c>
      <c r="Z46" s="39" t="s">
        <v>32</v>
      </c>
      <c r="AA46" s="39"/>
      <c r="AB46" s="44">
        <v>62857301257151</v>
      </c>
      <c r="AC46" s="39"/>
      <c r="AD46" s="39"/>
      <c r="AE46" s="39" t="s">
        <v>234</v>
      </c>
      <c r="AF46" s="39"/>
      <c r="AG46" s="39" t="s">
        <v>104</v>
      </c>
      <c r="AH46" s="39" t="s">
        <v>1903</v>
      </c>
      <c r="AI46" s="39" t="s">
        <v>105</v>
      </c>
      <c r="AJ46" s="39" t="s">
        <v>1912</v>
      </c>
      <c r="AK46" t="b">
        <f t="shared" si="0"/>
        <v>1</v>
      </c>
      <c r="AL46" t="b">
        <f t="shared" si="1"/>
        <v>1</v>
      </c>
      <c r="AN46" t="e">
        <v>#N/A</v>
      </c>
      <c r="AP46" t="e">
        <f>_xlfn.XLOOKUP(F46,'Kolom info id dse &amp; part cd'!D:D,'Kolom info id dse &amp; part cd'!I:I)</f>
        <v>#N/A</v>
      </c>
      <c r="AQ46" t="e">
        <f t="shared" si="2"/>
        <v>#N/A</v>
      </c>
      <c r="AR46">
        <f>_xlfn.XLOOKUP($E46,'[1]Referensi New'!$D:$D,'[1]Referensi New'!$V:$V)</f>
        <v>2613051093</v>
      </c>
    </row>
    <row r="47" spans="1:44" ht="16">
      <c r="A47" s="39" t="s">
        <v>20</v>
      </c>
      <c r="B47" s="39" t="s">
        <v>21</v>
      </c>
      <c r="C47" s="39" t="s">
        <v>81</v>
      </c>
      <c r="D47" s="39" t="s">
        <v>82</v>
      </c>
      <c r="E47" s="39" t="s">
        <v>83</v>
      </c>
      <c r="F47" s="39" t="s">
        <v>84</v>
      </c>
      <c r="G47" s="39" t="s">
        <v>85</v>
      </c>
      <c r="H47" s="39" t="s">
        <v>86</v>
      </c>
      <c r="I47" s="39" t="b">
        <v>0</v>
      </c>
      <c r="J47" s="39" t="s">
        <v>86</v>
      </c>
      <c r="K47" s="39" t="b">
        <v>0</v>
      </c>
      <c r="L47" s="39">
        <v>2613051097</v>
      </c>
      <c r="M47" s="39"/>
      <c r="N47">
        <v>2613051097</v>
      </c>
      <c r="O47" t="s">
        <v>235</v>
      </c>
      <c r="P47" t="s">
        <v>43</v>
      </c>
      <c r="Q47" s="39" t="s">
        <v>88</v>
      </c>
      <c r="R47" s="39" t="s">
        <v>45</v>
      </c>
      <c r="S47" s="39" t="s">
        <v>236</v>
      </c>
      <c r="T47" s="39" t="s">
        <v>236</v>
      </c>
      <c r="U47" s="39" t="s">
        <v>237</v>
      </c>
      <c r="V47" s="39"/>
      <c r="W47" s="39" t="s">
        <v>238</v>
      </c>
      <c r="X47" s="39" t="s">
        <v>238</v>
      </c>
      <c r="Y47" s="39" t="s">
        <v>68</v>
      </c>
      <c r="Z47" s="39" t="s">
        <v>32</v>
      </c>
      <c r="AA47" s="39"/>
      <c r="AB47" s="44">
        <v>6285777258258</v>
      </c>
      <c r="AC47" s="39"/>
      <c r="AD47" s="39"/>
      <c r="AE47" s="39" t="s">
        <v>239</v>
      </c>
      <c r="AF47" s="39" t="s">
        <v>240</v>
      </c>
      <c r="AG47" s="39" t="s">
        <v>84</v>
      </c>
      <c r="AH47" s="39" t="s">
        <v>1904</v>
      </c>
      <c r="AI47" s="39" t="s">
        <v>85</v>
      </c>
      <c r="AJ47" s="39" t="s">
        <v>1913</v>
      </c>
      <c r="AK47" t="b">
        <f t="shared" si="0"/>
        <v>1</v>
      </c>
      <c r="AL47" t="b">
        <f t="shared" si="1"/>
        <v>1</v>
      </c>
      <c r="AN47" t="e">
        <v>#N/A</v>
      </c>
      <c r="AP47" t="e">
        <f>_xlfn.XLOOKUP(F47,'Kolom info id dse &amp; part cd'!D:D,'Kolom info id dse &amp; part cd'!I:I)</f>
        <v>#N/A</v>
      </c>
      <c r="AQ47" t="e">
        <f t="shared" si="2"/>
        <v>#N/A</v>
      </c>
      <c r="AR47">
        <f>_xlfn.XLOOKUP($E47,'[1]Referensi New'!$D:$D,'[1]Referensi New'!$V:$V)</f>
        <v>2613050705</v>
      </c>
    </row>
    <row r="48" spans="1:44" ht="16">
      <c r="A48" s="39" t="s">
        <v>20</v>
      </c>
      <c r="B48" s="39" t="s">
        <v>21</v>
      </c>
      <c r="C48" s="39" t="s">
        <v>81</v>
      </c>
      <c r="D48" s="39" t="s">
        <v>82</v>
      </c>
      <c r="E48" s="39" t="s">
        <v>83</v>
      </c>
      <c r="F48" s="39" t="s">
        <v>84</v>
      </c>
      <c r="G48" s="39" t="s">
        <v>85</v>
      </c>
      <c r="H48" s="39" t="s">
        <v>86</v>
      </c>
      <c r="I48" s="39" t="b">
        <v>0</v>
      </c>
      <c r="J48" s="39" t="s">
        <v>86</v>
      </c>
      <c r="K48" s="39" t="b">
        <v>0</v>
      </c>
      <c r="L48" s="39">
        <v>2613051098</v>
      </c>
      <c r="M48" s="39"/>
      <c r="N48">
        <v>2613051098</v>
      </c>
      <c r="O48" t="s">
        <v>241</v>
      </c>
      <c r="P48" t="s">
        <v>43</v>
      </c>
      <c r="Q48" s="39" t="s">
        <v>88</v>
      </c>
      <c r="R48" s="39" t="s">
        <v>45</v>
      </c>
      <c r="S48" s="39" t="s">
        <v>242</v>
      </c>
      <c r="T48" s="39" t="s">
        <v>242</v>
      </c>
      <c r="U48" s="39" t="s">
        <v>242</v>
      </c>
      <c r="V48" s="39"/>
      <c r="W48" s="39" t="s">
        <v>243</v>
      </c>
      <c r="X48" s="39" t="s">
        <v>244</v>
      </c>
      <c r="Y48" s="39" t="s">
        <v>68</v>
      </c>
      <c r="Z48" s="39"/>
      <c r="AA48" s="39"/>
      <c r="AB48" s="44">
        <v>6285778143350</v>
      </c>
      <c r="AC48" s="39"/>
      <c r="AD48" s="39"/>
      <c r="AE48" s="39" t="s">
        <v>245</v>
      </c>
      <c r="AF48" s="39"/>
      <c r="AG48" s="39" t="s">
        <v>84</v>
      </c>
      <c r="AH48" s="39" t="s">
        <v>1904</v>
      </c>
      <c r="AI48" s="39" t="s">
        <v>85</v>
      </c>
      <c r="AJ48" s="39" t="s">
        <v>1913</v>
      </c>
      <c r="AK48" t="b">
        <f t="shared" si="0"/>
        <v>1</v>
      </c>
      <c r="AL48" t="b">
        <f t="shared" si="1"/>
        <v>1</v>
      </c>
      <c r="AN48" t="e">
        <v>#N/A</v>
      </c>
      <c r="AP48" t="e">
        <f>_xlfn.XLOOKUP(F48,'Kolom info id dse &amp; part cd'!D:D,'Kolom info id dse &amp; part cd'!I:I)</f>
        <v>#N/A</v>
      </c>
      <c r="AQ48" t="e">
        <f t="shared" si="2"/>
        <v>#N/A</v>
      </c>
      <c r="AR48">
        <f>_xlfn.XLOOKUP($E48,'[1]Referensi New'!$D:$D,'[1]Referensi New'!$V:$V)</f>
        <v>2613050705</v>
      </c>
    </row>
    <row r="49" spans="1:44" ht="16">
      <c r="A49" s="39" t="s">
        <v>20</v>
      </c>
      <c r="B49" s="39" t="s">
        <v>21</v>
      </c>
      <c r="C49" s="39" t="s">
        <v>160</v>
      </c>
      <c r="D49" s="39" t="s">
        <v>181</v>
      </c>
      <c r="E49" s="39" t="s">
        <v>182</v>
      </c>
      <c r="F49" s="39" t="s">
        <v>183</v>
      </c>
      <c r="G49" s="39" t="s">
        <v>184</v>
      </c>
      <c r="H49" s="39" t="s">
        <v>165</v>
      </c>
      <c r="I49" s="39" t="b">
        <v>0</v>
      </c>
      <c r="J49" s="39" t="s">
        <v>165</v>
      </c>
      <c r="K49" s="39" t="b">
        <v>0</v>
      </c>
      <c r="L49" s="39">
        <v>2613051141</v>
      </c>
      <c r="M49" s="39"/>
      <c r="N49">
        <v>2613051141</v>
      </c>
      <c r="O49" t="s">
        <v>246</v>
      </c>
      <c r="P49" t="s">
        <v>43</v>
      </c>
      <c r="Q49" s="39" t="s">
        <v>28</v>
      </c>
      <c r="R49" s="39" t="s">
        <v>45</v>
      </c>
      <c r="S49" s="39" t="s">
        <v>247</v>
      </c>
      <c r="T49" s="39"/>
      <c r="U49" s="39"/>
      <c r="V49" s="39"/>
      <c r="W49" s="39" t="s">
        <v>248</v>
      </c>
      <c r="X49" s="39" t="s">
        <v>249</v>
      </c>
      <c r="Y49" s="39" t="s">
        <v>68</v>
      </c>
      <c r="Z49" s="39" t="s">
        <v>32</v>
      </c>
      <c r="AA49" s="39"/>
      <c r="AB49" s="44">
        <v>6285714181518</v>
      </c>
      <c r="AC49" s="39"/>
      <c r="AD49" s="39"/>
      <c r="AE49" s="39" t="s">
        <v>250</v>
      </c>
      <c r="AF49" s="39"/>
      <c r="AG49" s="39" t="s">
        <v>183</v>
      </c>
      <c r="AH49" s="39" t="s">
        <v>1906</v>
      </c>
      <c r="AI49" s="39" t="s">
        <v>184</v>
      </c>
      <c r="AJ49" s="39" t="s">
        <v>1919</v>
      </c>
      <c r="AK49" t="b">
        <f t="shared" si="0"/>
        <v>1</v>
      </c>
      <c r="AL49" t="b">
        <f t="shared" si="1"/>
        <v>1</v>
      </c>
      <c r="AN49" t="e">
        <v>#N/A</v>
      </c>
      <c r="AP49" t="e">
        <f>_xlfn.XLOOKUP(F49,'Kolom info id dse &amp; part cd'!D:D,'Kolom info id dse &amp; part cd'!I:I)</f>
        <v>#N/A</v>
      </c>
      <c r="AQ49" t="e">
        <f t="shared" si="2"/>
        <v>#N/A</v>
      </c>
      <c r="AR49">
        <f>_xlfn.XLOOKUP($E49,'[1]Referensi New'!$D:$D,'[1]Referensi New'!$V:$V)</f>
        <v>2613051039</v>
      </c>
    </row>
    <row r="50" spans="1:44" ht="16">
      <c r="A50" s="39" t="s">
        <v>20</v>
      </c>
      <c r="B50" s="39" t="s">
        <v>21</v>
      </c>
      <c r="C50" s="39" t="s">
        <v>160</v>
      </c>
      <c r="D50" s="39" t="s">
        <v>251</v>
      </c>
      <c r="E50" s="39" t="s">
        <v>252</v>
      </c>
      <c r="F50" s="39" t="s">
        <v>253</v>
      </c>
      <c r="G50" s="39" t="s">
        <v>254</v>
      </c>
      <c r="H50" s="39" t="s">
        <v>165</v>
      </c>
      <c r="I50" s="39" t="b">
        <v>0</v>
      </c>
      <c r="J50" s="39" t="s">
        <v>165</v>
      </c>
      <c r="K50" s="39" t="b">
        <v>0</v>
      </c>
      <c r="L50" s="39">
        <v>2613051196</v>
      </c>
      <c r="M50" s="39"/>
      <c r="N50">
        <v>2613051196</v>
      </c>
      <c r="O50" t="s">
        <v>255</v>
      </c>
      <c r="P50" t="s">
        <v>43</v>
      </c>
      <c r="Q50" s="39" t="s">
        <v>28</v>
      </c>
      <c r="R50" s="39" t="s">
        <v>45</v>
      </c>
      <c r="S50" s="39" t="s">
        <v>256</v>
      </c>
      <c r="T50" s="39"/>
      <c r="U50" s="39"/>
      <c r="V50" s="39"/>
      <c r="W50" s="39" t="s">
        <v>257</v>
      </c>
      <c r="X50" s="39" t="s">
        <v>258</v>
      </c>
      <c r="Y50" s="39" t="s">
        <v>119</v>
      </c>
      <c r="Z50" s="39" t="s">
        <v>32</v>
      </c>
      <c r="AA50" s="39"/>
      <c r="AB50" s="44">
        <v>6285714183352</v>
      </c>
      <c r="AC50" s="39"/>
      <c r="AD50" s="39"/>
      <c r="AE50" s="39" t="s">
        <v>259</v>
      </c>
      <c r="AF50" s="39"/>
      <c r="AG50" s="39" t="s">
        <v>253</v>
      </c>
      <c r="AH50" s="39" t="s">
        <v>1906</v>
      </c>
      <c r="AI50" s="39" t="s">
        <v>254</v>
      </c>
      <c r="AJ50" s="39" t="s">
        <v>1920</v>
      </c>
      <c r="AK50" t="b">
        <f t="shared" si="0"/>
        <v>1</v>
      </c>
      <c r="AL50" t="b">
        <f t="shared" si="1"/>
        <v>1</v>
      </c>
      <c r="AN50" t="e">
        <v>#N/A</v>
      </c>
      <c r="AP50" t="e">
        <f>_xlfn.XLOOKUP(F50,'Kolom info id dse &amp; part cd'!D:D,'Kolom info id dse &amp; part cd'!I:I)</f>
        <v>#N/A</v>
      </c>
      <c r="AQ50" t="e">
        <f t="shared" si="2"/>
        <v>#N/A</v>
      </c>
      <c r="AR50" t="str">
        <f>_xlfn.XLOOKUP($E50,'[1]Referensi New'!$D:$D,'[1]Referensi New'!$V:$V)</f>
        <v>DSEKEBAY775</v>
      </c>
    </row>
    <row r="51" spans="1:44" ht="16">
      <c r="A51" s="39" t="s">
        <v>20</v>
      </c>
      <c r="B51" s="39" t="s">
        <v>21</v>
      </c>
      <c r="C51" s="39" t="s">
        <v>160</v>
      </c>
      <c r="D51" s="39" t="s">
        <v>251</v>
      </c>
      <c r="E51" s="39" t="s">
        <v>252</v>
      </c>
      <c r="F51" s="39" t="s">
        <v>253</v>
      </c>
      <c r="G51" s="39" t="s">
        <v>254</v>
      </c>
      <c r="H51" s="39" t="s">
        <v>165</v>
      </c>
      <c r="I51" s="39" t="b">
        <v>0</v>
      </c>
      <c r="J51" s="39" t="s">
        <v>165</v>
      </c>
      <c r="K51" s="39" t="b">
        <v>0</v>
      </c>
      <c r="L51" s="39">
        <v>2613051197</v>
      </c>
      <c r="M51" s="39"/>
      <c r="N51">
        <v>2613051197</v>
      </c>
      <c r="O51" t="s">
        <v>260</v>
      </c>
      <c r="P51" t="s">
        <v>43</v>
      </c>
      <c r="Q51" s="39" t="s">
        <v>28</v>
      </c>
      <c r="R51" s="39" t="s">
        <v>45</v>
      </c>
      <c r="S51" s="39" t="s">
        <v>261</v>
      </c>
      <c r="T51" s="39"/>
      <c r="U51" s="39"/>
      <c r="V51" s="39"/>
      <c r="W51" s="39" t="s">
        <v>262</v>
      </c>
      <c r="X51" s="39" t="s">
        <v>263</v>
      </c>
      <c r="Y51" s="39" t="s">
        <v>68</v>
      </c>
      <c r="Z51" s="39" t="s">
        <v>32</v>
      </c>
      <c r="AA51" s="39"/>
      <c r="AB51" s="44">
        <v>6285714193988</v>
      </c>
      <c r="AC51" s="39"/>
      <c r="AD51" s="39"/>
      <c r="AE51" s="39" t="s">
        <v>264</v>
      </c>
      <c r="AF51" s="39"/>
      <c r="AG51" s="39" t="s">
        <v>253</v>
      </c>
      <c r="AH51" s="39" t="s">
        <v>1906</v>
      </c>
      <c r="AI51" s="39" t="s">
        <v>254</v>
      </c>
      <c r="AJ51" s="39" t="s">
        <v>1920</v>
      </c>
      <c r="AK51" t="b">
        <f t="shared" si="0"/>
        <v>1</v>
      </c>
      <c r="AL51" t="b">
        <f t="shared" si="1"/>
        <v>1</v>
      </c>
      <c r="AN51" t="e">
        <v>#N/A</v>
      </c>
      <c r="AP51" t="e">
        <f>_xlfn.XLOOKUP(F51,'Kolom info id dse &amp; part cd'!D:D,'Kolom info id dse &amp; part cd'!I:I)</f>
        <v>#N/A</v>
      </c>
      <c r="AQ51" t="e">
        <f t="shared" si="2"/>
        <v>#N/A</v>
      </c>
      <c r="AR51" t="str">
        <f>_xlfn.XLOOKUP($E51,'[1]Referensi New'!$D:$D,'[1]Referensi New'!$V:$V)</f>
        <v>DSEKEBAY775</v>
      </c>
    </row>
    <row r="52" spans="1:44" ht="16">
      <c r="A52" s="39" t="s">
        <v>20</v>
      </c>
      <c r="B52" s="39" t="s">
        <v>21</v>
      </c>
      <c r="C52" s="39" t="s">
        <v>160</v>
      </c>
      <c r="D52" s="39" t="s">
        <v>251</v>
      </c>
      <c r="E52" s="39" t="s">
        <v>252</v>
      </c>
      <c r="F52" s="39" t="s">
        <v>253</v>
      </c>
      <c r="G52" s="39" t="s">
        <v>254</v>
      </c>
      <c r="H52" s="39" t="s">
        <v>165</v>
      </c>
      <c r="I52" s="39" t="b">
        <v>0</v>
      </c>
      <c r="J52" s="39" t="s">
        <v>165</v>
      </c>
      <c r="K52" s="39" t="b">
        <v>0</v>
      </c>
      <c r="L52" s="39">
        <v>2613051371</v>
      </c>
      <c r="M52" s="39"/>
      <c r="N52">
        <v>2613051371</v>
      </c>
      <c r="O52" t="s">
        <v>265</v>
      </c>
      <c r="P52" t="s">
        <v>43</v>
      </c>
      <c r="Q52" s="39" t="s">
        <v>28</v>
      </c>
      <c r="R52" s="39" t="s">
        <v>45</v>
      </c>
      <c r="S52" s="39" t="s">
        <v>266</v>
      </c>
      <c r="T52" s="39"/>
      <c r="U52" s="39"/>
      <c r="V52" s="39"/>
      <c r="W52" s="39" t="s">
        <v>267</v>
      </c>
      <c r="X52" s="39" t="s">
        <v>268</v>
      </c>
      <c r="Y52" s="39" t="s">
        <v>68</v>
      </c>
      <c r="Z52" s="39" t="s">
        <v>32</v>
      </c>
      <c r="AA52" s="39"/>
      <c r="AB52" s="44">
        <v>628567799578</v>
      </c>
      <c r="AC52" s="39"/>
      <c r="AD52" s="39"/>
      <c r="AE52" s="39" t="s">
        <v>269</v>
      </c>
      <c r="AF52" s="39"/>
      <c r="AG52" s="39" t="s">
        <v>253</v>
      </c>
      <c r="AH52" s="39" t="s">
        <v>1906</v>
      </c>
      <c r="AI52" s="39" t="s">
        <v>254</v>
      </c>
      <c r="AJ52" s="39" t="s">
        <v>1920</v>
      </c>
      <c r="AK52" t="b">
        <f t="shared" si="0"/>
        <v>1</v>
      </c>
      <c r="AL52" t="b">
        <f t="shared" si="1"/>
        <v>1</v>
      </c>
      <c r="AN52" t="e">
        <v>#N/A</v>
      </c>
      <c r="AP52" t="e">
        <f>_xlfn.XLOOKUP(F52,'Kolom info id dse &amp; part cd'!D:D,'Kolom info id dse &amp; part cd'!I:I)</f>
        <v>#N/A</v>
      </c>
      <c r="AQ52" t="e">
        <f t="shared" si="2"/>
        <v>#N/A</v>
      </c>
      <c r="AR52" t="str">
        <f>_xlfn.XLOOKUP($E52,'[1]Referensi New'!$D:$D,'[1]Referensi New'!$V:$V)</f>
        <v>DSEKEBAY775</v>
      </c>
    </row>
    <row r="53" spans="1:44" ht="16">
      <c r="A53" s="39" t="s">
        <v>20</v>
      </c>
      <c r="B53" s="39" t="s">
        <v>21</v>
      </c>
      <c r="C53" s="39" t="s">
        <v>70</v>
      </c>
      <c r="D53" s="39" t="s">
        <v>102</v>
      </c>
      <c r="E53" s="39" t="s">
        <v>103</v>
      </c>
      <c r="F53" s="39" t="s">
        <v>104</v>
      </c>
      <c r="G53" s="39" t="s">
        <v>105</v>
      </c>
      <c r="H53" s="39" t="s">
        <v>75</v>
      </c>
      <c r="I53" s="39" t="b">
        <v>0</v>
      </c>
      <c r="J53" s="39" t="s">
        <v>75</v>
      </c>
      <c r="K53" s="39" t="b">
        <v>0</v>
      </c>
      <c r="L53" s="39">
        <v>2613051413</v>
      </c>
      <c r="M53" s="39"/>
      <c r="N53">
        <v>2613051413</v>
      </c>
      <c r="O53" t="s">
        <v>270</v>
      </c>
      <c r="P53" t="s">
        <v>43</v>
      </c>
      <c r="Q53" s="39" t="s">
        <v>28</v>
      </c>
      <c r="R53" s="39" t="s">
        <v>45</v>
      </c>
      <c r="S53" s="39" t="s">
        <v>271</v>
      </c>
      <c r="T53" s="39"/>
      <c r="U53" s="39"/>
      <c r="V53" s="39"/>
      <c r="W53" s="39" t="s">
        <v>272</v>
      </c>
      <c r="X53" s="39" t="s">
        <v>273</v>
      </c>
      <c r="Y53" s="39" t="s">
        <v>68</v>
      </c>
      <c r="Z53" s="39" t="s">
        <v>32</v>
      </c>
      <c r="AA53" s="39"/>
      <c r="AB53" s="44">
        <v>6285882783924</v>
      </c>
      <c r="AC53" s="39"/>
      <c r="AD53" s="39"/>
      <c r="AE53" s="39" t="s">
        <v>274</v>
      </c>
      <c r="AF53" s="39"/>
      <c r="AG53" s="39" t="s">
        <v>104</v>
      </c>
      <c r="AH53" s="39" t="s">
        <v>1903</v>
      </c>
      <c r="AI53" s="39" t="s">
        <v>105</v>
      </c>
      <c r="AJ53" s="39" t="s">
        <v>1912</v>
      </c>
      <c r="AK53" t="b">
        <f t="shared" si="0"/>
        <v>1</v>
      </c>
      <c r="AL53" t="b">
        <f t="shared" si="1"/>
        <v>1</v>
      </c>
      <c r="AN53" t="e">
        <v>#N/A</v>
      </c>
      <c r="AP53" t="e">
        <f>_xlfn.XLOOKUP(F53,'Kolom info id dse &amp; part cd'!D:D,'Kolom info id dse &amp; part cd'!I:I)</f>
        <v>#N/A</v>
      </c>
      <c r="AQ53" t="e">
        <f t="shared" si="2"/>
        <v>#N/A</v>
      </c>
      <c r="AR53">
        <f>_xlfn.XLOOKUP($E53,'[1]Referensi New'!$D:$D,'[1]Referensi New'!$V:$V)</f>
        <v>2613051093</v>
      </c>
    </row>
    <row r="54" spans="1:44" ht="16">
      <c r="A54" s="39" t="s">
        <v>20</v>
      </c>
      <c r="B54" s="39" t="s">
        <v>21</v>
      </c>
      <c r="C54" s="39" t="s">
        <v>70</v>
      </c>
      <c r="D54" s="39" t="s">
        <v>71</v>
      </c>
      <c r="E54" s="39" t="s">
        <v>72</v>
      </c>
      <c r="F54" s="39" t="s">
        <v>73</v>
      </c>
      <c r="G54" s="39" t="s">
        <v>74</v>
      </c>
      <c r="H54" s="39" t="s">
        <v>75</v>
      </c>
      <c r="I54" s="39" t="b">
        <v>0</v>
      </c>
      <c r="J54" s="39" t="s">
        <v>75</v>
      </c>
      <c r="K54" s="39" t="b">
        <v>0</v>
      </c>
      <c r="L54" s="39">
        <v>2613051872</v>
      </c>
      <c r="M54" s="39"/>
      <c r="N54">
        <v>2613051872</v>
      </c>
      <c r="O54" t="s">
        <v>275</v>
      </c>
      <c r="P54" t="s">
        <v>43</v>
      </c>
      <c r="Q54" s="39" t="s">
        <v>28</v>
      </c>
      <c r="R54" s="39" t="s">
        <v>45</v>
      </c>
      <c r="S54" s="39" t="s">
        <v>276</v>
      </c>
      <c r="T54" s="39"/>
      <c r="U54" s="39"/>
      <c r="V54" s="39"/>
      <c r="W54" s="39" t="s">
        <v>277</v>
      </c>
      <c r="X54" s="39" t="s">
        <v>278</v>
      </c>
      <c r="Y54" s="39" t="s">
        <v>68</v>
      </c>
      <c r="Z54" s="39" t="s">
        <v>32</v>
      </c>
      <c r="AA54" s="39"/>
      <c r="AB54" s="44">
        <v>6285888855077</v>
      </c>
      <c r="AC54" s="39"/>
      <c r="AD54" s="39"/>
      <c r="AE54" s="39" t="s">
        <v>279</v>
      </c>
      <c r="AF54" s="39" t="s">
        <v>280</v>
      </c>
      <c r="AG54" s="39" t="s">
        <v>73</v>
      </c>
      <c r="AH54" s="39" t="s">
        <v>1903</v>
      </c>
      <c r="AI54" s="39" t="s">
        <v>74</v>
      </c>
      <c r="AJ54" s="39" t="s">
        <v>1912</v>
      </c>
      <c r="AK54" t="b">
        <f t="shared" si="0"/>
        <v>1</v>
      </c>
      <c r="AL54" t="b">
        <f t="shared" si="1"/>
        <v>1</v>
      </c>
      <c r="AN54" t="e">
        <v>#N/A</v>
      </c>
      <c r="AP54" t="e">
        <f>_xlfn.XLOOKUP(F54,'Kolom info id dse &amp; part cd'!D:D,'Kolom info id dse &amp; part cd'!I:I)</f>
        <v>#N/A</v>
      </c>
      <c r="AQ54" t="e">
        <f t="shared" si="2"/>
        <v>#N/A</v>
      </c>
      <c r="AR54">
        <f>_xlfn.XLOOKUP($E54,'[1]Referensi New'!$D:$D,'[1]Referensi New'!$V:$V)</f>
        <v>2613050474</v>
      </c>
    </row>
    <row r="55" spans="1:44" ht="16">
      <c r="A55" s="39" t="s">
        <v>20</v>
      </c>
      <c r="B55" s="39" t="s">
        <v>21</v>
      </c>
      <c r="C55" s="39" t="s">
        <v>281</v>
      </c>
      <c r="D55" s="39" t="s">
        <v>282</v>
      </c>
      <c r="E55" s="39" t="s">
        <v>283</v>
      </c>
      <c r="F55" s="39" t="s">
        <v>284</v>
      </c>
      <c r="G55" s="39" t="s">
        <v>285</v>
      </c>
      <c r="H55" s="39" t="s">
        <v>63</v>
      </c>
      <c r="I55" s="39" t="b">
        <v>0</v>
      </c>
      <c r="J55" s="39" t="s">
        <v>63</v>
      </c>
      <c r="K55" s="39" t="b">
        <v>0</v>
      </c>
      <c r="L55" s="39">
        <v>2613052261</v>
      </c>
      <c r="M55" s="39"/>
      <c r="N55">
        <v>2613052261</v>
      </c>
      <c r="O55" t="s">
        <v>286</v>
      </c>
      <c r="P55" t="s">
        <v>43</v>
      </c>
      <c r="Q55" s="39" t="s">
        <v>28</v>
      </c>
      <c r="R55" s="39" t="s">
        <v>45</v>
      </c>
      <c r="S55" s="39" t="s">
        <v>287</v>
      </c>
      <c r="T55" s="39" t="s">
        <v>287</v>
      </c>
      <c r="U55" s="39" t="s">
        <v>287</v>
      </c>
      <c r="V55" s="39" t="b">
        <v>0</v>
      </c>
      <c r="W55" s="39" t="s">
        <v>288</v>
      </c>
      <c r="X55" s="39" t="s">
        <v>289</v>
      </c>
      <c r="Y55" s="39" t="s">
        <v>119</v>
      </c>
      <c r="Z55" s="39" t="s">
        <v>32</v>
      </c>
      <c r="AA55" s="39"/>
      <c r="AB55" s="44">
        <v>62895634937759</v>
      </c>
      <c r="AC55" s="39"/>
      <c r="AD55" s="39"/>
      <c r="AE55" s="39" t="s">
        <v>290</v>
      </c>
      <c r="AF55" s="39" t="s">
        <v>291</v>
      </c>
      <c r="AG55" s="39" t="s">
        <v>284</v>
      </c>
      <c r="AH55" s="39" t="s">
        <v>1902</v>
      </c>
      <c r="AI55" s="39" t="s">
        <v>285</v>
      </c>
      <c r="AJ55" s="39" t="s">
        <v>1921</v>
      </c>
      <c r="AK55" t="b">
        <f t="shared" si="0"/>
        <v>1</v>
      </c>
      <c r="AL55" t="b">
        <f t="shared" si="1"/>
        <v>1</v>
      </c>
      <c r="AN55" t="e">
        <v>#N/A</v>
      </c>
      <c r="AP55" t="e">
        <f>_xlfn.XLOOKUP(F55,'Kolom info id dse &amp; part cd'!D:D,'Kolom info id dse &amp; part cd'!I:I)</f>
        <v>#N/A</v>
      </c>
      <c r="AQ55" t="e">
        <f t="shared" si="2"/>
        <v>#N/A</v>
      </c>
      <c r="AR55">
        <f>_xlfn.XLOOKUP($E55,'[1]Referensi New'!$D:$D,'[1]Referensi New'!$V:$V)</f>
        <v>2613052261</v>
      </c>
    </row>
    <row r="56" spans="1:44" ht="16">
      <c r="A56" s="39" t="s">
        <v>20</v>
      </c>
      <c r="B56" s="39" t="s">
        <v>21</v>
      </c>
      <c r="C56" s="39" t="s">
        <v>81</v>
      </c>
      <c r="D56" s="39" t="s">
        <v>292</v>
      </c>
      <c r="E56" s="39" t="s">
        <v>293</v>
      </c>
      <c r="F56" s="39" t="s">
        <v>294</v>
      </c>
      <c r="G56" s="39" t="s">
        <v>295</v>
      </c>
      <c r="H56" s="39" t="s">
        <v>86</v>
      </c>
      <c r="I56" s="39" t="b">
        <v>0</v>
      </c>
      <c r="J56" s="39" t="s">
        <v>86</v>
      </c>
      <c r="K56" s="39" t="b">
        <v>0</v>
      </c>
      <c r="L56" s="39">
        <v>2613052277</v>
      </c>
      <c r="M56" s="39"/>
      <c r="N56">
        <v>2613052277</v>
      </c>
      <c r="O56" t="s">
        <v>296</v>
      </c>
      <c r="P56" t="s">
        <v>43</v>
      </c>
      <c r="Q56" s="39" t="s">
        <v>88</v>
      </c>
      <c r="R56" s="39" t="s">
        <v>45</v>
      </c>
      <c r="S56" s="39" t="s">
        <v>297</v>
      </c>
      <c r="T56" s="39" t="s">
        <v>297</v>
      </c>
      <c r="U56" s="39" t="s">
        <v>298</v>
      </c>
      <c r="V56" s="39"/>
      <c r="W56" s="39" t="s">
        <v>299</v>
      </c>
      <c r="X56" s="39" t="s">
        <v>300</v>
      </c>
      <c r="Y56" s="39" t="s">
        <v>68</v>
      </c>
      <c r="Z56" s="39" t="s">
        <v>32</v>
      </c>
      <c r="AA56" s="39"/>
      <c r="AB56" s="44">
        <v>6285888885509</v>
      </c>
      <c r="AC56" s="39"/>
      <c r="AD56" s="39"/>
      <c r="AE56" s="39" t="s">
        <v>301</v>
      </c>
      <c r="AF56" s="39" t="s">
        <v>240</v>
      </c>
      <c r="AG56" s="39" t="s">
        <v>294</v>
      </c>
      <c r="AH56" s="39" t="s">
        <v>1904</v>
      </c>
      <c r="AI56" s="39" t="s">
        <v>295</v>
      </c>
      <c r="AJ56" s="39" t="s">
        <v>1922</v>
      </c>
      <c r="AK56" t="b">
        <f t="shared" si="0"/>
        <v>1</v>
      </c>
      <c r="AL56" t="b">
        <f t="shared" si="1"/>
        <v>1</v>
      </c>
      <c r="AN56" t="e">
        <v>#N/A</v>
      </c>
      <c r="AP56" t="e">
        <f>_xlfn.XLOOKUP(F56,'Kolom info id dse &amp; part cd'!D:D,'Kolom info id dse &amp; part cd'!I:I)</f>
        <v>#N/A</v>
      </c>
      <c r="AQ56" t="e">
        <f t="shared" si="2"/>
        <v>#N/A</v>
      </c>
      <c r="AR56" t="str">
        <f>_xlfn.XLOOKUP($E56,'[1]Referensi New'!$D:$D,'[1]Referensi New'!$V:$V)</f>
        <v>DSEPNKN03</v>
      </c>
    </row>
    <row r="57" spans="1:44" ht="16">
      <c r="A57" s="39" t="s">
        <v>20</v>
      </c>
      <c r="B57" s="39" t="s">
        <v>21</v>
      </c>
      <c r="C57" s="39" t="s">
        <v>160</v>
      </c>
      <c r="D57" s="39" t="s">
        <v>251</v>
      </c>
      <c r="E57" s="39" t="s">
        <v>252</v>
      </c>
      <c r="F57" s="39" t="s">
        <v>253</v>
      </c>
      <c r="G57" s="39" t="s">
        <v>254</v>
      </c>
      <c r="H57" s="39" t="s">
        <v>165</v>
      </c>
      <c r="I57" s="39" t="b">
        <v>0</v>
      </c>
      <c r="J57" s="39" t="s">
        <v>165</v>
      </c>
      <c r="K57" s="39" t="b">
        <v>0</v>
      </c>
      <c r="L57" s="39">
        <v>2613052472</v>
      </c>
      <c r="M57" s="39"/>
      <c r="N57">
        <v>2613052472</v>
      </c>
      <c r="O57" t="s">
        <v>302</v>
      </c>
      <c r="P57" t="s">
        <v>43</v>
      </c>
      <c r="Q57" s="39" t="s">
        <v>28</v>
      </c>
      <c r="R57" s="39" t="s">
        <v>45</v>
      </c>
      <c r="S57" s="39" t="s">
        <v>303</v>
      </c>
      <c r="T57" s="39"/>
      <c r="U57" s="39"/>
      <c r="V57" s="39"/>
      <c r="W57" s="39"/>
      <c r="X57" s="39"/>
      <c r="Y57" s="39"/>
      <c r="Z57" s="39"/>
      <c r="AA57" s="39"/>
      <c r="AB57" s="44">
        <v>6281511013928</v>
      </c>
      <c r="AC57" s="39"/>
      <c r="AD57" s="39"/>
      <c r="AE57" s="39" t="s">
        <v>304</v>
      </c>
      <c r="AF57" s="39" t="s">
        <v>291</v>
      </c>
      <c r="AG57" s="39" t="s">
        <v>253</v>
      </c>
      <c r="AH57" s="39" t="s">
        <v>1906</v>
      </c>
      <c r="AI57" s="39" t="s">
        <v>254</v>
      </c>
      <c r="AJ57" s="39" t="s">
        <v>1920</v>
      </c>
      <c r="AK57" t="b">
        <f t="shared" si="0"/>
        <v>1</v>
      </c>
      <c r="AL57" t="b">
        <f t="shared" si="1"/>
        <v>1</v>
      </c>
      <c r="AN57" t="e">
        <v>#N/A</v>
      </c>
      <c r="AP57" t="e">
        <f>_xlfn.XLOOKUP(F57,'Kolom info id dse &amp; part cd'!D:D,'Kolom info id dse &amp; part cd'!I:I)</f>
        <v>#N/A</v>
      </c>
      <c r="AQ57" t="e">
        <f t="shared" si="2"/>
        <v>#N/A</v>
      </c>
      <c r="AR57" t="str">
        <f>_xlfn.XLOOKUP($E57,'[1]Referensi New'!$D:$D,'[1]Referensi New'!$V:$V)</f>
        <v>DSEKEBAY775</v>
      </c>
    </row>
    <row r="58" spans="1:44" ht="16">
      <c r="A58" s="39" t="s">
        <v>20</v>
      </c>
      <c r="B58" s="39" t="s">
        <v>21</v>
      </c>
      <c r="C58" s="39" t="s">
        <v>130</v>
      </c>
      <c r="D58" s="39" t="s">
        <v>131</v>
      </c>
      <c r="E58" s="39" t="s">
        <v>132</v>
      </c>
      <c r="F58" s="39" t="s">
        <v>133</v>
      </c>
      <c r="G58" s="39" t="s">
        <v>134</v>
      </c>
      <c r="H58" s="39" t="s">
        <v>135</v>
      </c>
      <c r="I58" s="39" t="b">
        <v>0</v>
      </c>
      <c r="J58" s="39" t="s">
        <v>135</v>
      </c>
      <c r="K58" s="39" t="b">
        <v>0</v>
      </c>
      <c r="L58" s="39">
        <v>2613053164</v>
      </c>
      <c r="M58" s="39"/>
      <c r="N58">
        <v>2613053164</v>
      </c>
      <c r="O58" t="s">
        <v>305</v>
      </c>
      <c r="P58" t="s">
        <v>43</v>
      </c>
      <c r="Q58" s="39" t="s">
        <v>88</v>
      </c>
      <c r="R58" s="39" t="s">
        <v>45</v>
      </c>
      <c r="S58" s="39" t="s">
        <v>306</v>
      </c>
      <c r="T58" s="39" t="s">
        <v>306</v>
      </c>
      <c r="U58" s="39" t="s">
        <v>307</v>
      </c>
      <c r="V58" s="39" t="b">
        <v>0</v>
      </c>
      <c r="W58" s="39" t="s">
        <v>308</v>
      </c>
      <c r="X58" s="39" t="s">
        <v>309</v>
      </c>
      <c r="Y58" s="39" t="s">
        <v>310</v>
      </c>
      <c r="Z58" s="39" t="s">
        <v>32</v>
      </c>
      <c r="AA58" s="39"/>
      <c r="AB58" s="44">
        <v>6281584068363</v>
      </c>
      <c r="AC58" s="39" t="s">
        <v>311</v>
      </c>
      <c r="AD58" s="39" t="s">
        <v>312</v>
      </c>
      <c r="AE58" s="39" t="s">
        <v>313</v>
      </c>
      <c r="AF58" s="39" t="s">
        <v>240</v>
      </c>
      <c r="AG58" s="39" t="s">
        <v>133</v>
      </c>
      <c r="AH58" s="39" t="s">
        <v>1905</v>
      </c>
      <c r="AI58" s="39" t="s">
        <v>134</v>
      </c>
      <c r="AJ58" s="39" t="s">
        <v>1916</v>
      </c>
      <c r="AK58" t="b">
        <f t="shared" si="0"/>
        <v>1</v>
      </c>
      <c r="AL58" t="b">
        <f t="shared" si="1"/>
        <v>1</v>
      </c>
      <c r="AN58" t="e">
        <v>#N/A</v>
      </c>
      <c r="AP58" t="e">
        <f>_xlfn.XLOOKUP(F58,'Kolom info id dse &amp; part cd'!D:D,'Kolom info id dse &amp; part cd'!I:I)</f>
        <v>#N/A</v>
      </c>
      <c r="AQ58" t="e">
        <f t="shared" si="2"/>
        <v>#N/A</v>
      </c>
      <c r="AR58">
        <f>_xlfn.XLOOKUP($E58,'[1]Referensi New'!$D:$D,'[1]Referensi New'!$V:$V)</f>
        <v>2613050980</v>
      </c>
    </row>
    <row r="59" spans="1:44" ht="16">
      <c r="A59" s="39" t="s">
        <v>20</v>
      </c>
      <c r="B59" s="39" t="s">
        <v>21</v>
      </c>
      <c r="C59" s="39" t="s">
        <v>314</v>
      </c>
      <c r="D59" s="39" t="s">
        <v>315</v>
      </c>
      <c r="E59" s="39" t="s">
        <v>316</v>
      </c>
      <c r="F59" s="39" t="s">
        <v>317</v>
      </c>
      <c r="G59" s="39" t="s">
        <v>318</v>
      </c>
      <c r="H59" s="39" t="s">
        <v>319</v>
      </c>
      <c r="I59" s="39" t="b">
        <v>0</v>
      </c>
      <c r="J59" s="39" t="s">
        <v>319</v>
      </c>
      <c r="K59" s="39" t="b">
        <v>0</v>
      </c>
      <c r="L59" s="39" t="s">
        <v>320</v>
      </c>
      <c r="M59" s="39"/>
      <c r="N59" t="s">
        <v>320</v>
      </c>
      <c r="O59" t="s">
        <v>321</v>
      </c>
      <c r="P59" t="s">
        <v>43</v>
      </c>
      <c r="Q59" s="39" t="s">
        <v>88</v>
      </c>
      <c r="R59" s="39" t="s">
        <v>45</v>
      </c>
      <c r="S59" s="39" t="s">
        <v>322</v>
      </c>
      <c r="T59" s="39" t="s">
        <v>322</v>
      </c>
      <c r="U59" s="39" t="s">
        <v>322</v>
      </c>
      <c r="V59" s="39"/>
      <c r="W59" s="39" t="s">
        <v>323</v>
      </c>
      <c r="X59" s="39" t="s">
        <v>324</v>
      </c>
      <c r="Y59" s="39" t="s">
        <v>68</v>
      </c>
      <c r="Z59" s="39"/>
      <c r="AA59" s="39"/>
      <c r="AB59" s="44">
        <v>628166333327</v>
      </c>
      <c r="AC59" s="39"/>
      <c r="AD59" s="39"/>
      <c r="AE59" s="39" t="s">
        <v>325</v>
      </c>
      <c r="AF59" s="39"/>
      <c r="AG59" s="39" t="s">
        <v>317</v>
      </c>
      <c r="AH59" s="39" t="s">
        <v>1907</v>
      </c>
      <c r="AI59" s="39" t="s">
        <v>318</v>
      </c>
      <c r="AJ59" s="39" t="s">
        <v>1923</v>
      </c>
      <c r="AK59" t="b">
        <f t="shared" si="0"/>
        <v>1</v>
      </c>
      <c r="AL59" t="b">
        <f t="shared" si="1"/>
        <v>1</v>
      </c>
      <c r="AN59" t="e">
        <v>#N/A</v>
      </c>
      <c r="AP59" t="e">
        <f>_xlfn.XLOOKUP(F59,'Kolom info id dse &amp; part cd'!D:D,'Kolom info id dse &amp; part cd'!I:I)</f>
        <v>#N/A</v>
      </c>
      <c r="AQ59" t="e">
        <f t="shared" si="2"/>
        <v>#N/A</v>
      </c>
      <c r="AR59" t="str">
        <f>_xlfn.XLOOKUP($E59,'[1]Referensi New'!$D:$D,'[1]Referensi New'!$V:$V)</f>
        <v>CSOBKSB-16</v>
      </c>
    </row>
    <row r="60" spans="1:44" ht="16">
      <c r="A60" s="39" t="s">
        <v>20</v>
      </c>
      <c r="B60" s="39" t="s">
        <v>21</v>
      </c>
      <c r="C60" s="39" t="s">
        <v>314</v>
      </c>
      <c r="D60" s="39" t="s">
        <v>315</v>
      </c>
      <c r="E60" s="39" t="s">
        <v>316</v>
      </c>
      <c r="F60" s="39" t="s">
        <v>317</v>
      </c>
      <c r="G60" s="39" t="s">
        <v>318</v>
      </c>
      <c r="H60" s="39" t="s">
        <v>319</v>
      </c>
      <c r="I60" s="39" t="b">
        <v>0</v>
      </c>
      <c r="J60" s="39" t="s">
        <v>319</v>
      </c>
      <c r="K60" s="39" t="b">
        <v>0</v>
      </c>
      <c r="L60" s="39" t="s">
        <v>326</v>
      </c>
      <c r="M60" s="39"/>
      <c r="N60" t="s">
        <v>326</v>
      </c>
      <c r="O60" t="s">
        <v>327</v>
      </c>
      <c r="P60" t="s">
        <v>43</v>
      </c>
      <c r="Q60" s="39" t="s">
        <v>88</v>
      </c>
      <c r="R60" s="39" t="s">
        <v>45</v>
      </c>
      <c r="S60" s="39" t="s">
        <v>328</v>
      </c>
      <c r="T60" s="39" t="s">
        <v>328</v>
      </c>
      <c r="U60" s="39" t="s">
        <v>328</v>
      </c>
      <c r="V60" s="39"/>
      <c r="W60" s="39" t="s">
        <v>329</v>
      </c>
      <c r="X60" s="39" t="s">
        <v>330</v>
      </c>
      <c r="Y60" s="39" t="s">
        <v>68</v>
      </c>
      <c r="Z60" s="39"/>
      <c r="AA60" s="39"/>
      <c r="AB60" s="44">
        <v>628165671777</v>
      </c>
      <c r="AC60" s="39"/>
      <c r="AD60" s="39"/>
      <c r="AE60" s="39" t="s">
        <v>331</v>
      </c>
      <c r="AF60" s="39"/>
      <c r="AG60" s="39" t="s">
        <v>317</v>
      </c>
      <c r="AH60" s="39" t="s">
        <v>1907</v>
      </c>
      <c r="AI60" s="39" t="s">
        <v>318</v>
      </c>
      <c r="AJ60" s="39" t="s">
        <v>1923</v>
      </c>
      <c r="AK60" t="b">
        <f t="shared" si="0"/>
        <v>1</v>
      </c>
      <c r="AL60" t="b">
        <f t="shared" si="1"/>
        <v>1</v>
      </c>
      <c r="AN60" t="e">
        <v>#N/A</v>
      </c>
      <c r="AP60" t="e">
        <f>_xlfn.XLOOKUP(F60,'Kolom info id dse &amp; part cd'!D:D,'Kolom info id dse &amp; part cd'!I:I)</f>
        <v>#N/A</v>
      </c>
      <c r="AQ60" t="e">
        <f t="shared" si="2"/>
        <v>#N/A</v>
      </c>
      <c r="AR60" t="str">
        <f>_xlfn.XLOOKUP($E60,'[1]Referensi New'!$D:$D,'[1]Referensi New'!$V:$V)</f>
        <v>CSOBKSB-16</v>
      </c>
    </row>
    <row r="61" spans="1:44" ht="16">
      <c r="A61" s="39" t="s">
        <v>20</v>
      </c>
      <c r="B61" s="39" t="s">
        <v>21</v>
      </c>
      <c r="C61" s="39" t="s">
        <v>314</v>
      </c>
      <c r="D61" s="39" t="s">
        <v>315</v>
      </c>
      <c r="E61" s="39" t="s">
        <v>316</v>
      </c>
      <c r="F61" s="39" t="s">
        <v>317</v>
      </c>
      <c r="G61" s="39" t="s">
        <v>318</v>
      </c>
      <c r="H61" s="39" t="s">
        <v>319</v>
      </c>
      <c r="I61" s="39" t="b">
        <v>0</v>
      </c>
      <c r="J61" s="39" t="s">
        <v>319</v>
      </c>
      <c r="K61" s="39" t="b">
        <v>0</v>
      </c>
      <c r="L61" s="39" t="s">
        <v>332</v>
      </c>
      <c r="M61" s="39"/>
      <c r="N61" t="s">
        <v>332</v>
      </c>
      <c r="O61" t="s">
        <v>333</v>
      </c>
      <c r="P61" t="s">
        <v>43</v>
      </c>
      <c r="Q61" s="39" t="s">
        <v>88</v>
      </c>
      <c r="R61" s="39" t="s">
        <v>45</v>
      </c>
      <c r="S61" s="39" t="s">
        <v>334</v>
      </c>
      <c r="T61" s="39" t="s">
        <v>334</v>
      </c>
      <c r="U61" s="39" t="s">
        <v>334</v>
      </c>
      <c r="V61" s="39"/>
      <c r="W61" s="39" t="s">
        <v>335</v>
      </c>
      <c r="X61" s="39" t="s">
        <v>336</v>
      </c>
      <c r="Y61" s="39" t="s">
        <v>68</v>
      </c>
      <c r="Z61" s="39"/>
      <c r="AA61" s="39"/>
      <c r="AB61" s="44">
        <v>62858940940827</v>
      </c>
      <c r="AC61" s="39"/>
      <c r="AD61" s="39"/>
      <c r="AE61" s="39" t="s">
        <v>337</v>
      </c>
      <c r="AF61" s="39"/>
      <c r="AG61" s="39" t="s">
        <v>317</v>
      </c>
      <c r="AH61" s="39" t="s">
        <v>1907</v>
      </c>
      <c r="AI61" s="39" t="s">
        <v>318</v>
      </c>
      <c r="AJ61" s="39" t="s">
        <v>1923</v>
      </c>
      <c r="AK61" t="b">
        <f t="shared" si="0"/>
        <v>1</v>
      </c>
      <c r="AL61" t="b">
        <f t="shared" si="1"/>
        <v>1</v>
      </c>
      <c r="AN61" t="e">
        <v>#N/A</v>
      </c>
      <c r="AP61" t="e">
        <f>_xlfn.XLOOKUP(F61,'Kolom info id dse &amp; part cd'!D:D,'Kolom info id dse &amp; part cd'!I:I)</f>
        <v>#N/A</v>
      </c>
      <c r="AQ61" t="e">
        <f t="shared" si="2"/>
        <v>#N/A</v>
      </c>
      <c r="AR61" t="str">
        <f>_xlfn.XLOOKUP($E61,'[1]Referensi New'!$D:$D,'[1]Referensi New'!$V:$V)</f>
        <v>CSOBKSB-16</v>
      </c>
    </row>
    <row r="62" spans="1:44" ht="16">
      <c r="A62" s="39" t="s">
        <v>20</v>
      </c>
      <c r="B62" s="39" t="s">
        <v>21</v>
      </c>
      <c r="C62" s="39" t="s">
        <v>314</v>
      </c>
      <c r="D62" s="39" t="s">
        <v>315</v>
      </c>
      <c r="E62" s="39" t="s">
        <v>316</v>
      </c>
      <c r="F62" s="39" t="s">
        <v>317</v>
      </c>
      <c r="G62" s="39" t="s">
        <v>318</v>
      </c>
      <c r="H62" s="39" t="s">
        <v>319</v>
      </c>
      <c r="I62" s="39" t="b">
        <v>0</v>
      </c>
      <c r="J62" s="39" t="s">
        <v>319</v>
      </c>
      <c r="K62" s="39" t="b">
        <v>0</v>
      </c>
      <c r="L62" s="39" t="s">
        <v>338</v>
      </c>
      <c r="M62" s="39"/>
      <c r="N62" t="s">
        <v>338</v>
      </c>
      <c r="O62" t="s">
        <v>339</v>
      </c>
      <c r="P62" t="s">
        <v>43</v>
      </c>
      <c r="Q62" s="39" t="s">
        <v>88</v>
      </c>
      <c r="R62" s="39" t="s">
        <v>45</v>
      </c>
      <c r="S62" s="39" t="s">
        <v>340</v>
      </c>
      <c r="T62" s="39" t="s">
        <v>340</v>
      </c>
      <c r="U62" s="39" t="s">
        <v>340</v>
      </c>
      <c r="V62" s="39"/>
      <c r="W62" s="39" t="s">
        <v>341</v>
      </c>
      <c r="X62" s="39" t="s">
        <v>342</v>
      </c>
      <c r="Y62" s="39" t="s">
        <v>68</v>
      </c>
      <c r="Z62" s="39"/>
      <c r="AA62" s="39"/>
      <c r="AB62" s="44">
        <v>62857765555347</v>
      </c>
      <c r="AC62" s="39"/>
      <c r="AD62" s="39"/>
      <c r="AE62" s="39" t="s">
        <v>343</v>
      </c>
      <c r="AF62" s="39"/>
      <c r="AG62" s="39" t="s">
        <v>317</v>
      </c>
      <c r="AH62" s="39" t="s">
        <v>1907</v>
      </c>
      <c r="AI62" s="39" t="s">
        <v>318</v>
      </c>
      <c r="AJ62" s="39" t="s">
        <v>1923</v>
      </c>
      <c r="AK62" t="b">
        <f t="shared" si="0"/>
        <v>1</v>
      </c>
      <c r="AL62" t="b">
        <f t="shared" si="1"/>
        <v>1</v>
      </c>
      <c r="AN62" t="e">
        <v>#N/A</v>
      </c>
      <c r="AP62" t="e">
        <f>_xlfn.XLOOKUP(F62,'Kolom info id dse &amp; part cd'!D:D,'Kolom info id dse &amp; part cd'!I:I)</f>
        <v>#N/A</v>
      </c>
      <c r="AQ62" t="e">
        <f t="shared" si="2"/>
        <v>#N/A</v>
      </c>
      <c r="AR62" t="str">
        <f>_xlfn.XLOOKUP($E62,'[1]Referensi New'!$D:$D,'[1]Referensi New'!$V:$V)</f>
        <v>CSOBKSB-16</v>
      </c>
    </row>
    <row r="63" spans="1:44" ht="16">
      <c r="A63" s="39" t="s">
        <v>20</v>
      </c>
      <c r="B63" s="39" t="s">
        <v>21</v>
      </c>
      <c r="C63" s="39" t="s">
        <v>314</v>
      </c>
      <c r="D63" s="39" t="s">
        <v>315</v>
      </c>
      <c r="E63" s="39" t="s">
        <v>316</v>
      </c>
      <c r="F63" s="39" t="s">
        <v>317</v>
      </c>
      <c r="G63" s="39" t="s">
        <v>318</v>
      </c>
      <c r="H63" s="39" t="s">
        <v>319</v>
      </c>
      <c r="I63" s="39" t="b">
        <v>0</v>
      </c>
      <c r="J63" s="39" t="s">
        <v>319</v>
      </c>
      <c r="K63" s="39" t="b">
        <v>0</v>
      </c>
      <c r="L63" s="39" t="s">
        <v>344</v>
      </c>
      <c r="M63" s="39"/>
      <c r="N63" t="s">
        <v>344</v>
      </c>
      <c r="O63" t="s">
        <v>345</v>
      </c>
      <c r="P63" t="s">
        <v>43</v>
      </c>
      <c r="Q63" s="39" t="s">
        <v>88</v>
      </c>
      <c r="R63" s="39" t="s">
        <v>45</v>
      </c>
      <c r="S63" s="39" t="s">
        <v>346</v>
      </c>
      <c r="T63" s="39" t="s">
        <v>346</v>
      </c>
      <c r="U63" s="39" t="s">
        <v>346</v>
      </c>
      <c r="V63" s="39"/>
      <c r="W63" s="39" t="s">
        <v>347</v>
      </c>
      <c r="X63" s="39" t="s">
        <v>348</v>
      </c>
      <c r="Y63" s="39" t="s">
        <v>68</v>
      </c>
      <c r="Z63" s="39"/>
      <c r="AA63" s="39"/>
      <c r="AB63" s="44">
        <v>62856970280217</v>
      </c>
      <c r="AC63" s="39"/>
      <c r="AD63" s="39"/>
      <c r="AE63" s="39" t="s">
        <v>349</v>
      </c>
      <c r="AF63" s="39"/>
      <c r="AG63" s="39" t="s">
        <v>317</v>
      </c>
      <c r="AH63" s="39" t="s">
        <v>1907</v>
      </c>
      <c r="AI63" s="39" t="s">
        <v>318</v>
      </c>
      <c r="AJ63" s="39" t="s">
        <v>1923</v>
      </c>
      <c r="AK63" t="b">
        <f t="shared" si="0"/>
        <v>1</v>
      </c>
      <c r="AL63" t="b">
        <f t="shared" si="1"/>
        <v>1</v>
      </c>
      <c r="AN63" t="e">
        <v>#N/A</v>
      </c>
      <c r="AP63" t="e">
        <f>_xlfn.XLOOKUP(F63,'Kolom info id dse &amp; part cd'!D:D,'Kolom info id dse &amp; part cd'!I:I)</f>
        <v>#N/A</v>
      </c>
      <c r="AQ63" t="e">
        <f t="shared" si="2"/>
        <v>#N/A</v>
      </c>
      <c r="AR63" t="str">
        <f>_xlfn.XLOOKUP($E63,'[1]Referensi New'!$D:$D,'[1]Referensi New'!$V:$V)</f>
        <v>CSOBKSB-16</v>
      </c>
    </row>
    <row r="64" spans="1:44" ht="16">
      <c r="A64" s="39" t="s">
        <v>20</v>
      </c>
      <c r="B64" s="39" t="s">
        <v>21</v>
      </c>
      <c r="C64" s="39" t="s">
        <v>314</v>
      </c>
      <c r="D64" s="39" t="s">
        <v>315</v>
      </c>
      <c r="E64" s="39" t="s">
        <v>316</v>
      </c>
      <c r="F64" s="39" t="s">
        <v>317</v>
      </c>
      <c r="G64" s="39" t="s">
        <v>318</v>
      </c>
      <c r="H64" s="39" t="s">
        <v>319</v>
      </c>
      <c r="I64" s="39" t="b">
        <v>0</v>
      </c>
      <c r="J64" s="39" t="s">
        <v>319</v>
      </c>
      <c r="K64" s="39" t="b">
        <v>0</v>
      </c>
      <c r="L64" s="39" t="s">
        <v>350</v>
      </c>
      <c r="M64" s="39"/>
      <c r="N64" t="s">
        <v>350</v>
      </c>
      <c r="O64" t="s">
        <v>351</v>
      </c>
      <c r="P64" t="s">
        <v>43</v>
      </c>
      <c r="Q64" s="39" t="s">
        <v>88</v>
      </c>
      <c r="R64" s="39" t="s">
        <v>45</v>
      </c>
      <c r="S64" s="39" t="s">
        <v>352</v>
      </c>
      <c r="T64" s="39" t="s">
        <v>352</v>
      </c>
      <c r="U64" s="39" t="s">
        <v>352</v>
      </c>
      <c r="V64" s="39"/>
      <c r="W64" s="39" t="s">
        <v>353</v>
      </c>
      <c r="X64" s="39" t="s">
        <v>354</v>
      </c>
      <c r="Y64" s="39" t="s">
        <v>68</v>
      </c>
      <c r="Z64" s="39"/>
      <c r="AA64" s="39"/>
      <c r="AB64" s="44">
        <v>62815746723287</v>
      </c>
      <c r="AC64" s="39"/>
      <c r="AD64" s="39"/>
      <c r="AE64" s="39" t="s">
        <v>355</v>
      </c>
      <c r="AF64" s="39"/>
      <c r="AG64" s="39" t="s">
        <v>317</v>
      </c>
      <c r="AH64" s="39" t="s">
        <v>1907</v>
      </c>
      <c r="AI64" s="39" t="s">
        <v>318</v>
      </c>
      <c r="AJ64" s="39" t="s">
        <v>1923</v>
      </c>
      <c r="AK64" t="b">
        <f t="shared" si="0"/>
        <v>1</v>
      </c>
      <c r="AL64" t="b">
        <f t="shared" si="1"/>
        <v>1</v>
      </c>
      <c r="AN64" t="e">
        <v>#N/A</v>
      </c>
      <c r="AP64" t="e">
        <f>_xlfn.XLOOKUP(F64,'Kolom info id dse &amp; part cd'!D:D,'Kolom info id dse &amp; part cd'!I:I)</f>
        <v>#N/A</v>
      </c>
      <c r="AQ64" t="e">
        <f t="shared" si="2"/>
        <v>#N/A</v>
      </c>
      <c r="AR64" t="str">
        <f>_xlfn.XLOOKUP($E64,'[1]Referensi New'!$D:$D,'[1]Referensi New'!$V:$V)</f>
        <v>CSOBKSB-16</v>
      </c>
    </row>
    <row r="65" spans="1:44" ht="16">
      <c r="A65" s="39" t="s">
        <v>20</v>
      </c>
      <c r="B65" s="39" t="s">
        <v>21</v>
      </c>
      <c r="C65" s="39" t="s">
        <v>314</v>
      </c>
      <c r="D65" s="39" t="s">
        <v>356</v>
      </c>
      <c r="E65" s="39" t="s">
        <v>357</v>
      </c>
      <c r="F65" s="39" t="s">
        <v>358</v>
      </c>
      <c r="G65" s="39" t="s">
        <v>359</v>
      </c>
      <c r="H65" s="39" t="s">
        <v>319</v>
      </c>
      <c r="I65" s="39" t="b">
        <v>0</v>
      </c>
      <c r="J65" s="39" t="s">
        <v>319</v>
      </c>
      <c r="K65" s="39" t="b">
        <v>0</v>
      </c>
      <c r="L65" s="39" t="s">
        <v>360</v>
      </c>
      <c r="M65" s="39"/>
      <c r="N65" t="s">
        <v>360</v>
      </c>
      <c r="O65" t="s">
        <v>361</v>
      </c>
      <c r="P65" t="s">
        <v>43</v>
      </c>
      <c r="Q65" s="39" t="s">
        <v>88</v>
      </c>
      <c r="R65" s="39" t="s">
        <v>45</v>
      </c>
      <c r="S65" s="39" t="s">
        <v>362</v>
      </c>
      <c r="T65" s="39" t="s">
        <v>362</v>
      </c>
      <c r="U65" s="39" t="s">
        <v>362</v>
      </c>
      <c r="V65" s="39"/>
      <c r="W65" s="39" t="s">
        <v>363</v>
      </c>
      <c r="X65" s="39" t="s">
        <v>364</v>
      </c>
      <c r="Y65" s="39" t="s">
        <v>68</v>
      </c>
      <c r="Z65" s="39"/>
      <c r="AA65" s="39"/>
      <c r="AB65" s="44">
        <v>6280086422484</v>
      </c>
      <c r="AC65" s="39"/>
      <c r="AD65" s="39"/>
      <c r="AE65" s="39" t="s">
        <v>365</v>
      </c>
      <c r="AF65" s="39"/>
      <c r="AG65" s="39" t="s">
        <v>358</v>
      </c>
      <c r="AH65" s="39" t="s">
        <v>1907</v>
      </c>
      <c r="AI65" s="39" t="s">
        <v>359</v>
      </c>
      <c r="AJ65" s="39" t="s">
        <v>1924</v>
      </c>
      <c r="AK65" t="b">
        <f t="shared" si="0"/>
        <v>1</v>
      </c>
      <c r="AL65" t="b">
        <f t="shared" si="1"/>
        <v>1</v>
      </c>
      <c r="AN65" t="e">
        <v>#N/A</v>
      </c>
      <c r="AP65" t="e">
        <f>_xlfn.XLOOKUP(F65,'Kolom info id dse &amp; part cd'!D:D,'Kolom info id dse &amp; part cd'!I:I)</f>
        <v>#N/A</v>
      </c>
      <c r="AQ65" t="e">
        <f t="shared" si="2"/>
        <v>#N/A</v>
      </c>
      <c r="AR65" t="str">
        <f>_xlfn.XLOOKUP($E65,'[1]Referensi New'!$D:$D,'[1]Referensi New'!$V:$V)</f>
        <v>DSEIN028</v>
      </c>
    </row>
    <row r="66" spans="1:44" ht="16">
      <c r="A66" s="39" t="s">
        <v>20</v>
      </c>
      <c r="B66" s="39" t="s">
        <v>21</v>
      </c>
      <c r="C66" s="39" t="s">
        <v>314</v>
      </c>
      <c r="D66" s="39" t="s">
        <v>356</v>
      </c>
      <c r="E66" s="39" t="s">
        <v>357</v>
      </c>
      <c r="F66" s="39" t="s">
        <v>358</v>
      </c>
      <c r="G66" s="39" t="s">
        <v>359</v>
      </c>
      <c r="H66" s="39" t="s">
        <v>319</v>
      </c>
      <c r="I66" s="39" t="b">
        <v>0</v>
      </c>
      <c r="J66" s="39" t="s">
        <v>319</v>
      </c>
      <c r="K66" s="39" t="b">
        <v>0</v>
      </c>
      <c r="L66" s="39" t="s">
        <v>366</v>
      </c>
      <c r="M66" s="39"/>
      <c r="N66" t="s">
        <v>366</v>
      </c>
      <c r="O66" t="s">
        <v>367</v>
      </c>
      <c r="P66" t="s">
        <v>43</v>
      </c>
      <c r="Q66" s="39" t="s">
        <v>88</v>
      </c>
      <c r="R66" s="39" t="s">
        <v>44</v>
      </c>
      <c r="S66" s="39" t="s">
        <v>368</v>
      </c>
      <c r="T66" s="39" t="s">
        <v>368</v>
      </c>
      <c r="U66" s="39" t="s">
        <v>368</v>
      </c>
      <c r="V66" s="39" t="b">
        <v>0</v>
      </c>
      <c r="W66" s="39" t="s">
        <v>369</v>
      </c>
      <c r="X66" s="39" t="s">
        <v>370</v>
      </c>
      <c r="Y66" s="39" t="s">
        <v>68</v>
      </c>
      <c r="Z66" s="39" t="s">
        <v>32</v>
      </c>
      <c r="AA66" s="39">
        <v>85711177778</v>
      </c>
      <c r="AB66" s="44">
        <v>62857111777787</v>
      </c>
      <c r="AC66" s="39" t="s">
        <v>371</v>
      </c>
      <c r="AD66" s="39"/>
      <c r="AE66" s="39" t="s">
        <v>372</v>
      </c>
      <c r="AF66" s="39" t="s">
        <v>373</v>
      </c>
      <c r="AG66" s="39" t="s">
        <v>358</v>
      </c>
      <c r="AH66" s="39" t="s">
        <v>1907</v>
      </c>
      <c r="AI66" s="39" t="s">
        <v>359</v>
      </c>
      <c r="AJ66" s="39" t="s">
        <v>1924</v>
      </c>
      <c r="AK66" t="b">
        <f t="shared" ref="AK66:AK129" si="3">AG66=F66</f>
        <v>1</v>
      </c>
      <c r="AL66" t="b">
        <f t="shared" ref="AL66:AL129" si="4">AI66=G66</f>
        <v>1</v>
      </c>
      <c r="AN66" t="e">
        <v>#N/A</v>
      </c>
      <c r="AP66" t="e">
        <f>_xlfn.XLOOKUP(F66,'Kolom info id dse &amp; part cd'!D:D,'Kolom info id dse &amp; part cd'!I:I)</f>
        <v>#N/A</v>
      </c>
      <c r="AQ66" t="e">
        <f t="shared" si="2"/>
        <v>#N/A</v>
      </c>
      <c r="AR66" t="str">
        <f>_xlfn.XLOOKUP($E66,'[1]Referensi New'!$D:$D,'[1]Referensi New'!$V:$V)</f>
        <v>DSEIN028</v>
      </c>
    </row>
    <row r="67" spans="1:44" ht="16">
      <c r="A67" s="39" t="s">
        <v>20</v>
      </c>
      <c r="B67" s="39" t="s">
        <v>21</v>
      </c>
      <c r="C67" s="39" t="s">
        <v>314</v>
      </c>
      <c r="D67" s="39" t="s">
        <v>356</v>
      </c>
      <c r="E67" s="39" t="s">
        <v>357</v>
      </c>
      <c r="F67" s="39" t="s">
        <v>358</v>
      </c>
      <c r="G67" s="39" t="s">
        <v>359</v>
      </c>
      <c r="H67" s="39" t="s">
        <v>319</v>
      </c>
      <c r="I67" s="39" t="b">
        <v>0</v>
      </c>
      <c r="J67" s="39" t="s">
        <v>319</v>
      </c>
      <c r="K67" s="39" t="b">
        <v>0</v>
      </c>
      <c r="L67" s="39" t="s">
        <v>374</v>
      </c>
      <c r="M67" s="39"/>
      <c r="N67" t="s">
        <v>374</v>
      </c>
      <c r="O67" t="s">
        <v>375</v>
      </c>
      <c r="P67" t="s">
        <v>43</v>
      </c>
      <c r="Q67" s="39" t="s">
        <v>88</v>
      </c>
      <c r="R67" s="39" t="s">
        <v>44</v>
      </c>
      <c r="S67" s="39" t="s">
        <v>376</v>
      </c>
      <c r="T67" s="39" t="s">
        <v>376</v>
      </c>
      <c r="U67" s="39" t="s">
        <v>376</v>
      </c>
      <c r="V67" s="39" t="b">
        <v>0</v>
      </c>
      <c r="W67" s="39" t="s">
        <v>377</v>
      </c>
      <c r="X67" s="39" t="s">
        <v>378</v>
      </c>
      <c r="Y67" s="39" t="s">
        <v>68</v>
      </c>
      <c r="Z67" s="39" t="s">
        <v>32</v>
      </c>
      <c r="AA67" s="39">
        <v>85711116669</v>
      </c>
      <c r="AB67" s="44">
        <v>62857111166697</v>
      </c>
      <c r="AC67" s="39" t="s">
        <v>379</v>
      </c>
      <c r="AD67" s="39"/>
      <c r="AE67" s="39" t="s">
        <v>380</v>
      </c>
      <c r="AF67" s="39" t="s">
        <v>373</v>
      </c>
      <c r="AG67" s="39" t="s">
        <v>358</v>
      </c>
      <c r="AH67" s="39" t="s">
        <v>1907</v>
      </c>
      <c r="AI67" s="39" t="s">
        <v>359</v>
      </c>
      <c r="AJ67" s="39" t="s">
        <v>1924</v>
      </c>
      <c r="AK67" t="b">
        <f t="shared" si="3"/>
        <v>1</v>
      </c>
      <c r="AL67" t="b">
        <f t="shared" si="4"/>
        <v>1</v>
      </c>
      <c r="AN67" t="e">
        <v>#N/A</v>
      </c>
      <c r="AP67" t="e">
        <f>_xlfn.XLOOKUP(F67,'Kolom info id dse &amp; part cd'!D:D,'Kolom info id dse &amp; part cd'!I:I)</f>
        <v>#N/A</v>
      </c>
      <c r="AQ67" t="e">
        <f t="shared" ref="AQ67:AQ130" si="5">AP67=D67</f>
        <v>#N/A</v>
      </c>
      <c r="AR67" t="str">
        <f>_xlfn.XLOOKUP($E67,'[1]Referensi New'!$D:$D,'[1]Referensi New'!$V:$V)</f>
        <v>DSEIN028</v>
      </c>
    </row>
    <row r="68" spans="1:44" ht="16">
      <c r="A68" s="39" t="s">
        <v>20</v>
      </c>
      <c r="B68" s="39" t="s">
        <v>21</v>
      </c>
      <c r="C68" s="39" t="s">
        <v>314</v>
      </c>
      <c r="D68" s="39" t="s">
        <v>381</v>
      </c>
      <c r="E68" s="39" t="s">
        <v>382</v>
      </c>
      <c r="F68" s="39" t="s">
        <v>383</v>
      </c>
      <c r="G68" s="39" t="s">
        <v>384</v>
      </c>
      <c r="H68" s="39" t="s">
        <v>165</v>
      </c>
      <c r="I68" s="39" t="b">
        <v>0</v>
      </c>
      <c r="J68" s="39" t="s">
        <v>165</v>
      </c>
      <c r="K68" s="39" t="b">
        <v>0</v>
      </c>
      <c r="L68" s="39" t="s">
        <v>385</v>
      </c>
      <c r="M68" s="39"/>
      <c r="N68" t="s">
        <v>385</v>
      </c>
      <c r="O68" t="s">
        <v>386</v>
      </c>
      <c r="P68" t="s">
        <v>43</v>
      </c>
      <c r="Q68" s="39" t="s">
        <v>88</v>
      </c>
      <c r="R68" s="39" t="s">
        <v>45</v>
      </c>
      <c r="S68" s="39" t="s">
        <v>387</v>
      </c>
      <c r="T68" s="39" t="s">
        <v>387</v>
      </c>
      <c r="U68" s="39" t="s">
        <v>387</v>
      </c>
      <c r="V68" s="39"/>
      <c r="W68" s="39" t="s">
        <v>388</v>
      </c>
      <c r="X68" s="39" t="s">
        <v>389</v>
      </c>
      <c r="Y68" s="39" t="s">
        <v>68</v>
      </c>
      <c r="Z68" s="39"/>
      <c r="AA68" s="39"/>
      <c r="AB68" s="44">
        <v>628567620678</v>
      </c>
      <c r="AC68" s="39"/>
      <c r="AD68" s="39"/>
      <c r="AE68" s="39" t="s">
        <v>390</v>
      </c>
      <c r="AF68" s="39"/>
      <c r="AG68" s="39" t="s">
        <v>383</v>
      </c>
      <c r="AH68" s="39" t="s">
        <v>1906</v>
      </c>
      <c r="AI68" s="39" t="s">
        <v>384</v>
      </c>
      <c r="AJ68" s="39" t="s">
        <v>1925</v>
      </c>
      <c r="AK68" t="b">
        <f t="shared" si="3"/>
        <v>1</v>
      </c>
      <c r="AL68" t="b">
        <f t="shared" si="4"/>
        <v>1</v>
      </c>
      <c r="AN68" t="e">
        <v>#N/A</v>
      </c>
      <c r="AP68" t="e">
        <f>_xlfn.XLOOKUP(F68,'Kolom info id dse &amp; part cd'!D:D,'Kolom info id dse &amp; part cd'!I:I)</f>
        <v>#N/A</v>
      </c>
      <c r="AQ68" t="e">
        <f t="shared" si="5"/>
        <v>#N/A</v>
      </c>
      <c r="AR68" t="str">
        <f>_xlfn.XLOOKUP($E68,'[1]Referensi New'!$D:$D,'[1]Referensi New'!$V:$V)</f>
        <v>DSEIN007</v>
      </c>
    </row>
    <row r="69" spans="1:44" ht="16">
      <c r="A69" s="39" t="s">
        <v>20</v>
      </c>
      <c r="B69" s="39" t="s">
        <v>21</v>
      </c>
      <c r="C69" s="39" t="s">
        <v>314</v>
      </c>
      <c r="D69" s="39" t="s">
        <v>381</v>
      </c>
      <c r="E69" s="39" t="s">
        <v>382</v>
      </c>
      <c r="F69" s="39" t="s">
        <v>383</v>
      </c>
      <c r="G69" s="39" t="s">
        <v>384</v>
      </c>
      <c r="H69" s="39" t="s">
        <v>165</v>
      </c>
      <c r="I69" s="39" t="b">
        <v>0</v>
      </c>
      <c r="J69" s="39" t="s">
        <v>165</v>
      </c>
      <c r="K69" s="39" t="b">
        <v>0</v>
      </c>
      <c r="L69" s="39" t="s">
        <v>391</v>
      </c>
      <c r="M69" s="39"/>
      <c r="N69" t="s">
        <v>391</v>
      </c>
      <c r="O69" t="s">
        <v>392</v>
      </c>
      <c r="P69" t="s">
        <v>43</v>
      </c>
      <c r="Q69" s="39" t="s">
        <v>88</v>
      </c>
      <c r="R69" s="39" t="s">
        <v>45</v>
      </c>
      <c r="S69" s="39" t="s">
        <v>393</v>
      </c>
      <c r="T69" s="39" t="s">
        <v>393</v>
      </c>
      <c r="U69" s="39" t="s">
        <v>393</v>
      </c>
      <c r="V69" s="39"/>
      <c r="W69" s="39" t="s">
        <v>394</v>
      </c>
      <c r="X69" s="39" t="s">
        <v>395</v>
      </c>
      <c r="Y69" s="39" t="s">
        <v>68</v>
      </c>
      <c r="Z69" s="39"/>
      <c r="AA69" s="39"/>
      <c r="AB69" s="44">
        <v>6280086422485</v>
      </c>
      <c r="AC69" s="39"/>
      <c r="AD69" s="39"/>
      <c r="AE69" s="39" t="s">
        <v>396</v>
      </c>
      <c r="AF69" s="39"/>
      <c r="AG69" s="39" t="s">
        <v>383</v>
      </c>
      <c r="AH69" s="39" t="s">
        <v>1906</v>
      </c>
      <c r="AI69" s="39" t="s">
        <v>384</v>
      </c>
      <c r="AJ69" s="39" t="s">
        <v>1925</v>
      </c>
      <c r="AK69" t="b">
        <f t="shared" si="3"/>
        <v>1</v>
      </c>
      <c r="AL69" t="b">
        <f t="shared" si="4"/>
        <v>1</v>
      </c>
      <c r="AN69" t="e">
        <v>#N/A</v>
      </c>
      <c r="AP69" t="e">
        <f>_xlfn.XLOOKUP(F69,'Kolom info id dse &amp; part cd'!D:D,'Kolom info id dse &amp; part cd'!I:I)</f>
        <v>#N/A</v>
      </c>
      <c r="AQ69" t="e">
        <f t="shared" si="5"/>
        <v>#N/A</v>
      </c>
      <c r="AR69" t="str">
        <f>_xlfn.XLOOKUP($E69,'[1]Referensi New'!$D:$D,'[1]Referensi New'!$V:$V)</f>
        <v>DSEIN007</v>
      </c>
    </row>
    <row r="70" spans="1:44" ht="16">
      <c r="A70" s="39" t="s">
        <v>20</v>
      </c>
      <c r="B70" s="39" t="s">
        <v>21</v>
      </c>
      <c r="C70" s="39" t="s">
        <v>314</v>
      </c>
      <c r="D70" s="39" t="s">
        <v>397</v>
      </c>
      <c r="E70" s="39" t="s">
        <v>398</v>
      </c>
      <c r="F70" s="39" t="s">
        <v>399</v>
      </c>
      <c r="G70" s="39" t="s">
        <v>400</v>
      </c>
      <c r="H70" s="39" t="s">
        <v>165</v>
      </c>
      <c r="I70" s="39" t="b">
        <v>0</v>
      </c>
      <c r="J70" s="39" t="s">
        <v>165</v>
      </c>
      <c r="K70" s="39" t="b">
        <v>0</v>
      </c>
      <c r="L70" s="39" t="s">
        <v>401</v>
      </c>
      <c r="M70" s="39"/>
      <c r="N70" t="s">
        <v>401</v>
      </c>
      <c r="O70" t="s">
        <v>402</v>
      </c>
      <c r="P70" t="s">
        <v>43</v>
      </c>
      <c r="Q70" s="39" t="s">
        <v>88</v>
      </c>
      <c r="R70" s="39" t="s">
        <v>44</v>
      </c>
      <c r="S70" s="39" t="s">
        <v>403</v>
      </c>
      <c r="T70" s="39" t="s">
        <v>403</v>
      </c>
      <c r="U70" s="39" t="s">
        <v>403</v>
      </c>
      <c r="V70" s="39" t="b">
        <v>0</v>
      </c>
      <c r="W70" s="39" t="s">
        <v>404</v>
      </c>
      <c r="X70" s="39" t="s">
        <v>405</v>
      </c>
      <c r="Y70" s="39" t="s">
        <v>68</v>
      </c>
      <c r="Z70" s="39" t="s">
        <v>32</v>
      </c>
      <c r="AA70" s="39">
        <v>8568810881</v>
      </c>
      <c r="AB70" s="44">
        <v>6280086422487</v>
      </c>
      <c r="AC70" s="39" t="s">
        <v>406</v>
      </c>
      <c r="AD70" s="39"/>
      <c r="AE70" s="39" t="s">
        <v>407</v>
      </c>
      <c r="AF70" s="39" t="s">
        <v>373</v>
      </c>
      <c r="AG70" s="39" t="s">
        <v>399</v>
      </c>
      <c r="AH70" s="39" t="s">
        <v>1906</v>
      </c>
      <c r="AI70" s="39" t="s">
        <v>400</v>
      </c>
      <c r="AJ70" s="39" t="s">
        <v>1925</v>
      </c>
      <c r="AK70" t="b">
        <f t="shared" si="3"/>
        <v>1</v>
      </c>
      <c r="AL70" t="b">
        <f t="shared" si="4"/>
        <v>1</v>
      </c>
      <c r="AN70" t="e">
        <v>#N/A</v>
      </c>
      <c r="AP70" t="e">
        <f>_xlfn.XLOOKUP(F70,'Kolom info id dse &amp; part cd'!D:D,'Kolom info id dse &amp; part cd'!I:I)</f>
        <v>#N/A</v>
      </c>
      <c r="AQ70" t="e">
        <f t="shared" si="5"/>
        <v>#N/A</v>
      </c>
      <c r="AR70" t="str">
        <f>_xlfn.XLOOKUP($E70,'[1]Referensi New'!$D:$D,'[1]Referensi New'!$V:$V)</f>
        <v>CSOBKST-06</v>
      </c>
    </row>
    <row r="71" spans="1:44" ht="16">
      <c r="A71" s="39" t="s">
        <v>20</v>
      </c>
      <c r="B71" s="39" t="s">
        <v>21</v>
      </c>
      <c r="C71" s="39" t="s">
        <v>314</v>
      </c>
      <c r="D71" s="39" t="s">
        <v>381</v>
      </c>
      <c r="E71" s="39" t="s">
        <v>382</v>
      </c>
      <c r="F71" s="39" t="s">
        <v>383</v>
      </c>
      <c r="G71" s="39" t="s">
        <v>384</v>
      </c>
      <c r="H71" s="39" t="s">
        <v>165</v>
      </c>
      <c r="I71" s="39" t="b">
        <v>0</v>
      </c>
      <c r="J71" s="39" t="s">
        <v>165</v>
      </c>
      <c r="K71" s="39" t="b">
        <v>0</v>
      </c>
      <c r="L71" s="39" t="s">
        <v>408</v>
      </c>
      <c r="M71" s="39"/>
      <c r="N71" t="s">
        <v>408</v>
      </c>
      <c r="O71" t="s">
        <v>409</v>
      </c>
      <c r="P71" t="s">
        <v>43</v>
      </c>
      <c r="Q71" s="39" t="s">
        <v>88</v>
      </c>
      <c r="R71" s="39" t="s">
        <v>44</v>
      </c>
      <c r="S71" s="39" t="s">
        <v>410</v>
      </c>
      <c r="T71" s="39" t="s">
        <v>410</v>
      </c>
      <c r="U71" s="39" t="s">
        <v>410</v>
      </c>
      <c r="V71" s="39" t="b">
        <v>0</v>
      </c>
      <c r="W71" s="39" t="s">
        <v>411</v>
      </c>
      <c r="X71" s="39" t="s">
        <v>412</v>
      </c>
      <c r="Y71" s="39" t="s">
        <v>68</v>
      </c>
      <c r="Z71" s="39" t="s">
        <v>32</v>
      </c>
      <c r="AA71" s="39">
        <v>85591021413</v>
      </c>
      <c r="AB71" s="44">
        <v>6280086422482</v>
      </c>
      <c r="AC71" s="39" t="s">
        <v>413</v>
      </c>
      <c r="AD71" s="39"/>
      <c r="AE71" s="39" t="s">
        <v>414</v>
      </c>
      <c r="AF71" s="39" t="s">
        <v>373</v>
      </c>
      <c r="AG71" s="39" t="s">
        <v>383</v>
      </c>
      <c r="AH71" s="39" t="s">
        <v>1906</v>
      </c>
      <c r="AI71" s="39" t="s">
        <v>384</v>
      </c>
      <c r="AJ71" s="39" t="s">
        <v>1925</v>
      </c>
      <c r="AK71" t="b">
        <f t="shared" si="3"/>
        <v>1</v>
      </c>
      <c r="AL71" t="b">
        <f t="shared" si="4"/>
        <v>1</v>
      </c>
      <c r="AN71" t="e">
        <v>#N/A</v>
      </c>
      <c r="AP71" t="e">
        <f>_xlfn.XLOOKUP(F71,'Kolom info id dse &amp; part cd'!D:D,'Kolom info id dse &amp; part cd'!I:I)</f>
        <v>#N/A</v>
      </c>
      <c r="AQ71" t="e">
        <f t="shared" si="5"/>
        <v>#N/A</v>
      </c>
      <c r="AR71" t="str">
        <f>_xlfn.XLOOKUP($E71,'[1]Referensi New'!$D:$D,'[1]Referensi New'!$V:$V)</f>
        <v>DSEIN007</v>
      </c>
    </row>
    <row r="72" spans="1:44" ht="16">
      <c r="A72" s="39" t="s">
        <v>20</v>
      </c>
      <c r="B72" s="39" t="s">
        <v>21</v>
      </c>
      <c r="C72" s="39" t="s">
        <v>314</v>
      </c>
      <c r="D72" s="39" t="s">
        <v>397</v>
      </c>
      <c r="E72" s="39" t="s">
        <v>398</v>
      </c>
      <c r="F72" s="39" t="s">
        <v>399</v>
      </c>
      <c r="G72" s="39" t="s">
        <v>400</v>
      </c>
      <c r="H72" s="39" t="s">
        <v>165</v>
      </c>
      <c r="I72" s="39" t="b">
        <v>0</v>
      </c>
      <c r="J72" s="39" t="s">
        <v>165</v>
      </c>
      <c r="K72" s="39" t="b">
        <v>0</v>
      </c>
      <c r="L72" s="39" t="s">
        <v>415</v>
      </c>
      <c r="M72" s="39"/>
      <c r="N72" t="s">
        <v>415</v>
      </c>
      <c r="O72" t="s">
        <v>416</v>
      </c>
      <c r="P72" t="s">
        <v>43</v>
      </c>
      <c r="Q72" s="39" t="s">
        <v>88</v>
      </c>
      <c r="R72" s="39" t="s">
        <v>44</v>
      </c>
      <c r="S72" s="39" t="s">
        <v>417</v>
      </c>
      <c r="T72" s="39" t="s">
        <v>417</v>
      </c>
      <c r="U72" s="39" t="s">
        <v>417</v>
      </c>
      <c r="V72" s="39" t="b">
        <v>0</v>
      </c>
      <c r="W72" s="39" t="s">
        <v>418</v>
      </c>
      <c r="X72" s="39" t="s">
        <v>419</v>
      </c>
      <c r="Y72" s="39" t="s">
        <v>68</v>
      </c>
      <c r="Z72" s="39" t="s">
        <v>32</v>
      </c>
      <c r="AA72" s="39">
        <v>85717040506</v>
      </c>
      <c r="AB72" s="44">
        <v>6280086422488</v>
      </c>
      <c r="AC72" s="39" t="s">
        <v>420</v>
      </c>
      <c r="AD72" s="39"/>
      <c r="AE72" s="39" t="s">
        <v>421</v>
      </c>
      <c r="AF72" s="39" t="s">
        <v>373</v>
      </c>
      <c r="AG72" s="39" t="s">
        <v>399</v>
      </c>
      <c r="AH72" s="39" t="s">
        <v>1906</v>
      </c>
      <c r="AI72" s="39" t="s">
        <v>400</v>
      </c>
      <c r="AJ72" s="39" t="s">
        <v>1925</v>
      </c>
      <c r="AK72" t="b">
        <f t="shared" si="3"/>
        <v>1</v>
      </c>
      <c r="AL72" t="b">
        <f t="shared" si="4"/>
        <v>1</v>
      </c>
      <c r="AN72" t="e">
        <v>#N/A</v>
      </c>
      <c r="AP72" t="e">
        <f>_xlfn.XLOOKUP(F72,'Kolom info id dse &amp; part cd'!D:D,'Kolom info id dse &amp; part cd'!I:I)</f>
        <v>#N/A</v>
      </c>
      <c r="AQ72" t="e">
        <f t="shared" si="5"/>
        <v>#N/A</v>
      </c>
      <c r="AR72" t="str">
        <f>_xlfn.XLOOKUP($E72,'[1]Referensi New'!$D:$D,'[1]Referensi New'!$V:$V)</f>
        <v>CSOBKST-06</v>
      </c>
    </row>
    <row r="73" spans="1:44" ht="16">
      <c r="A73" s="39" t="s">
        <v>20</v>
      </c>
      <c r="B73" s="39" t="s">
        <v>21</v>
      </c>
      <c r="C73" s="39" t="s">
        <v>314</v>
      </c>
      <c r="D73" s="39" t="s">
        <v>397</v>
      </c>
      <c r="E73" s="39" t="s">
        <v>398</v>
      </c>
      <c r="F73" s="39" t="s">
        <v>399</v>
      </c>
      <c r="G73" s="39" t="s">
        <v>400</v>
      </c>
      <c r="H73" s="39" t="s">
        <v>165</v>
      </c>
      <c r="I73" s="39" t="b">
        <v>0</v>
      </c>
      <c r="J73" s="39" t="s">
        <v>165</v>
      </c>
      <c r="K73" s="39" t="b">
        <v>0</v>
      </c>
      <c r="L73" s="39" t="s">
        <v>422</v>
      </c>
      <c r="M73" s="39"/>
      <c r="N73" t="s">
        <v>422</v>
      </c>
      <c r="O73" t="s">
        <v>423</v>
      </c>
      <c r="P73" t="s">
        <v>43</v>
      </c>
      <c r="Q73" s="39" t="s">
        <v>88</v>
      </c>
      <c r="R73" s="39" t="s">
        <v>44</v>
      </c>
      <c r="S73" s="39" t="s">
        <v>424</v>
      </c>
      <c r="T73" s="39" t="s">
        <v>424</v>
      </c>
      <c r="U73" s="39" t="s">
        <v>424</v>
      </c>
      <c r="V73" s="39" t="b">
        <v>0</v>
      </c>
      <c r="W73" s="39" t="s">
        <v>425</v>
      </c>
      <c r="X73" s="39" t="s">
        <v>426</v>
      </c>
      <c r="Y73" s="39" t="s">
        <v>68</v>
      </c>
      <c r="Z73" s="39" t="s">
        <v>32</v>
      </c>
      <c r="AA73" s="39">
        <v>85717185678</v>
      </c>
      <c r="AB73" s="44">
        <v>6280086422483</v>
      </c>
      <c r="AC73" s="39" t="s">
        <v>427</v>
      </c>
      <c r="AD73" s="39"/>
      <c r="AE73" s="39" t="s">
        <v>428</v>
      </c>
      <c r="AF73" s="39" t="s">
        <v>373</v>
      </c>
      <c r="AG73" s="39" t="s">
        <v>399</v>
      </c>
      <c r="AH73" s="39" t="s">
        <v>1906</v>
      </c>
      <c r="AI73" s="39" t="s">
        <v>400</v>
      </c>
      <c r="AJ73" s="39" t="s">
        <v>1925</v>
      </c>
      <c r="AK73" t="b">
        <f t="shared" si="3"/>
        <v>1</v>
      </c>
      <c r="AL73" t="b">
        <f t="shared" si="4"/>
        <v>1</v>
      </c>
      <c r="AN73" t="e">
        <v>#N/A</v>
      </c>
      <c r="AP73" t="e">
        <f>_xlfn.XLOOKUP(F73,'Kolom info id dse &amp; part cd'!D:D,'Kolom info id dse &amp; part cd'!I:I)</f>
        <v>#N/A</v>
      </c>
      <c r="AQ73" t="e">
        <f t="shared" si="5"/>
        <v>#N/A</v>
      </c>
      <c r="AR73" t="str">
        <f>_xlfn.XLOOKUP($E73,'[1]Referensi New'!$D:$D,'[1]Referensi New'!$V:$V)</f>
        <v>CSOBKST-06</v>
      </c>
    </row>
    <row r="74" spans="1:44" ht="16">
      <c r="A74" s="39" t="s">
        <v>20</v>
      </c>
      <c r="B74" s="39" t="s">
        <v>21</v>
      </c>
      <c r="C74" s="39" t="s">
        <v>314</v>
      </c>
      <c r="D74" s="39" t="s">
        <v>356</v>
      </c>
      <c r="E74" s="39" t="s">
        <v>357</v>
      </c>
      <c r="F74" s="39" t="s">
        <v>358</v>
      </c>
      <c r="G74" s="39" t="s">
        <v>359</v>
      </c>
      <c r="H74" s="39" t="s">
        <v>319</v>
      </c>
      <c r="I74" s="39" t="b">
        <v>0</v>
      </c>
      <c r="J74" s="39" t="s">
        <v>319</v>
      </c>
      <c r="K74" s="39" t="b">
        <v>0</v>
      </c>
      <c r="L74" s="39" t="s">
        <v>429</v>
      </c>
      <c r="M74" s="39"/>
      <c r="N74" t="s">
        <v>429</v>
      </c>
      <c r="O74" t="s">
        <v>430</v>
      </c>
      <c r="P74" t="s">
        <v>43</v>
      </c>
      <c r="Q74" s="39" t="s">
        <v>88</v>
      </c>
      <c r="R74" s="39" t="s">
        <v>44</v>
      </c>
      <c r="S74" s="39" t="s">
        <v>431</v>
      </c>
      <c r="T74" s="39" t="s">
        <v>431</v>
      </c>
      <c r="U74" s="39" t="s">
        <v>431</v>
      </c>
      <c r="V74" s="39" t="b">
        <v>0</v>
      </c>
      <c r="W74" s="39" t="s">
        <v>432</v>
      </c>
      <c r="X74" s="39" t="s">
        <v>433</v>
      </c>
      <c r="Y74" s="39" t="s">
        <v>68</v>
      </c>
      <c r="Z74" s="39" t="s">
        <v>32</v>
      </c>
      <c r="AA74" s="39">
        <v>85770070006</v>
      </c>
      <c r="AB74" s="44">
        <v>6285770070006</v>
      </c>
      <c r="AC74" s="39" t="s">
        <v>434</v>
      </c>
      <c r="AD74" s="39"/>
      <c r="AE74" s="39" t="s">
        <v>435</v>
      </c>
      <c r="AF74" s="39" t="s">
        <v>373</v>
      </c>
      <c r="AG74" s="39" t="s">
        <v>358</v>
      </c>
      <c r="AH74" s="39" t="s">
        <v>1907</v>
      </c>
      <c r="AI74" s="39" t="s">
        <v>359</v>
      </c>
      <c r="AJ74" s="39" t="s">
        <v>1924</v>
      </c>
      <c r="AK74" t="b">
        <f t="shared" si="3"/>
        <v>1</v>
      </c>
      <c r="AL74" t="b">
        <f t="shared" si="4"/>
        <v>1</v>
      </c>
      <c r="AN74" t="e">
        <v>#N/A</v>
      </c>
      <c r="AP74" t="e">
        <f>_xlfn.XLOOKUP(F74,'Kolom info id dse &amp; part cd'!D:D,'Kolom info id dse &amp; part cd'!I:I)</f>
        <v>#N/A</v>
      </c>
      <c r="AQ74" t="e">
        <f t="shared" si="5"/>
        <v>#N/A</v>
      </c>
      <c r="AR74" t="str">
        <f>_xlfn.XLOOKUP($E74,'[1]Referensi New'!$D:$D,'[1]Referensi New'!$V:$V)</f>
        <v>DSEIN028</v>
      </c>
    </row>
    <row r="75" spans="1:44" ht="16">
      <c r="A75" s="39" t="s">
        <v>20</v>
      </c>
      <c r="B75" s="39" t="s">
        <v>21</v>
      </c>
      <c r="C75" s="39" t="s">
        <v>314</v>
      </c>
      <c r="D75" s="39" t="s">
        <v>356</v>
      </c>
      <c r="E75" s="39" t="s">
        <v>357</v>
      </c>
      <c r="F75" s="39" t="s">
        <v>358</v>
      </c>
      <c r="G75" s="39" t="s">
        <v>359</v>
      </c>
      <c r="H75" s="39" t="s">
        <v>319</v>
      </c>
      <c r="I75" s="39" t="b">
        <v>0</v>
      </c>
      <c r="J75" s="39" t="s">
        <v>319</v>
      </c>
      <c r="K75" s="39" t="b">
        <v>0</v>
      </c>
      <c r="L75" s="39" t="s">
        <v>436</v>
      </c>
      <c r="M75" s="39"/>
      <c r="N75" t="s">
        <v>436</v>
      </c>
      <c r="O75" t="s">
        <v>437</v>
      </c>
      <c r="P75" t="s">
        <v>43</v>
      </c>
      <c r="Q75" s="39" t="s">
        <v>88</v>
      </c>
      <c r="R75" s="39" t="s">
        <v>44</v>
      </c>
      <c r="S75" s="39" t="s">
        <v>438</v>
      </c>
      <c r="T75" s="39" t="s">
        <v>438</v>
      </c>
      <c r="U75" s="39" t="s">
        <v>438</v>
      </c>
      <c r="V75" s="39" t="b">
        <v>0</v>
      </c>
      <c r="W75" s="39" t="s">
        <v>439</v>
      </c>
      <c r="X75" s="39" t="s">
        <v>440</v>
      </c>
      <c r="Y75" s="39" t="s">
        <v>68</v>
      </c>
      <c r="Z75" s="39" t="s">
        <v>32</v>
      </c>
      <c r="AA75" s="39">
        <v>85777510051</v>
      </c>
      <c r="AB75" s="44">
        <v>62857177749007</v>
      </c>
      <c r="AC75" s="39" t="s">
        <v>441</v>
      </c>
      <c r="AD75" s="39"/>
      <c r="AE75" s="39" t="s">
        <v>442</v>
      </c>
      <c r="AF75" s="39" t="s">
        <v>373</v>
      </c>
      <c r="AG75" s="39" t="s">
        <v>358</v>
      </c>
      <c r="AH75" s="39" t="s">
        <v>1907</v>
      </c>
      <c r="AI75" s="39" t="s">
        <v>359</v>
      </c>
      <c r="AJ75" s="39" t="s">
        <v>1924</v>
      </c>
      <c r="AK75" t="b">
        <f t="shared" si="3"/>
        <v>1</v>
      </c>
      <c r="AL75" t="b">
        <f t="shared" si="4"/>
        <v>1</v>
      </c>
      <c r="AN75" t="e">
        <v>#N/A</v>
      </c>
      <c r="AP75" t="e">
        <f>_xlfn.XLOOKUP(F75,'Kolom info id dse &amp; part cd'!D:D,'Kolom info id dse &amp; part cd'!I:I)</f>
        <v>#N/A</v>
      </c>
      <c r="AQ75" t="e">
        <f t="shared" si="5"/>
        <v>#N/A</v>
      </c>
      <c r="AR75" t="str">
        <f>_xlfn.XLOOKUP($E75,'[1]Referensi New'!$D:$D,'[1]Referensi New'!$V:$V)</f>
        <v>DSEIN028</v>
      </c>
    </row>
    <row r="76" spans="1:44" ht="16">
      <c r="A76" s="39" t="s">
        <v>20</v>
      </c>
      <c r="B76" s="39" t="s">
        <v>21</v>
      </c>
      <c r="C76" s="39" t="s">
        <v>22</v>
      </c>
      <c r="D76" s="39" t="s">
        <v>443</v>
      </c>
      <c r="E76" s="39" t="s">
        <v>24</v>
      </c>
      <c r="F76" s="39" t="s">
        <v>444</v>
      </c>
      <c r="G76" s="39" t="s">
        <v>445</v>
      </c>
      <c r="H76" s="39" t="s">
        <v>75</v>
      </c>
      <c r="I76" s="39" t="b">
        <v>0</v>
      </c>
      <c r="J76" s="39" t="s">
        <v>75</v>
      </c>
      <c r="K76" s="39" t="b">
        <v>0</v>
      </c>
      <c r="L76" s="39" t="s">
        <v>446</v>
      </c>
      <c r="M76" s="39"/>
      <c r="N76" t="s">
        <v>446</v>
      </c>
      <c r="O76" t="s">
        <v>447</v>
      </c>
      <c r="P76" t="s">
        <v>43</v>
      </c>
      <c r="Q76" s="39" t="s">
        <v>28</v>
      </c>
      <c r="R76" s="39" t="s">
        <v>45</v>
      </c>
      <c r="S76" s="39" t="s">
        <v>448</v>
      </c>
      <c r="T76" s="39"/>
      <c r="U76" s="39"/>
      <c r="V76" s="39"/>
      <c r="W76" s="39" t="s">
        <v>449</v>
      </c>
      <c r="X76" s="39" t="s">
        <v>450</v>
      </c>
      <c r="Y76" s="39" t="s">
        <v>119</v>
      </c>
      <c r="Z76" s="39" t="s">
        <v>32</v>
      </c>
      <c r="AA76" s="39"/>
      <c r="AB76" s="44">
        <v>6285710444484</v>
      </c>
      <c r="AC76" s="39"/>
      <c r="AD76" s="39"/>
      <c r="AE76" s="39" t="s">
        <v>451</v>
      </c>
      <c r="AF76" s="39"/>
      <c r="AG76" s="39" t="s">
        <v>444</v>
      </c>
      <c r="AH76" s="39" t="s">
        <v>1903</v>
      </c>
      <c r="AI76" s="39" t="s">
        <v>445</v>
      </c>
      <c r="AJ76" s="39" t="s">
        <v>1926</v>
      </c>
      <c r="AK76" t="b">
        <f t="shared" si="3"/>
        <v>1</v>
      </c>
      <c r="AL76" t="b">
        <f t="shared" si="4"/>
        <v>1</v>
      </c>
      <c r="AN76" t="e">
        <v>#N/A</v>
      </c>
      <c r="AP76" t="e">
        <f>_xlfn.XLOOKUP(F76,'Kolom info id dse &amp; part cd'!D:D,'Kolom info id dse &amp; part cd'!I:I)</f>
        <v>#N/A</v>
      </c>
      <c r="AQ76" t="e">
        <f t="shared" si="5"/>
        <v>#N/A</v>
      </c>
      <c r="AR76" t="str">
        <f>_xlfn.XLOOKUP($E76,'[1]Referensi New'!$D:$D,'[1]Referensi New'!$V:$V)</f>
        <v>CSOBUANAJKB001</v>
      </c>
    </row>
    <row r="77" spans="1:44" ht="16">
      <c r="A77" s="39" t="s">
        <v>20</v>
      </c>
      <c r="B77" s="39" t="s">
        <v>21</v>
      </c>
      <c r="C77" s="39" t="s">
        <v>22</v>
      </c>
      <c r="D77" s="39" t="s">
        <v>443</v>
      </c>
      <c r="E77" s="39" t="s">
        <v>24</v>
      </c>
      <c r="F77" s="39" t="s">
        <v>444</v>
      </c>
      <c r="G77" s="39" t="s">
        <v>445</v>
      </c>
      <c r="H77" s="39" t="s">
        <v>75</v>
      </c>
      <c r="I77" s="39" t="b">
        <v>0</v>
      </c>
      <c r="J77" s="39" t="s">
        <v>75</v>
      </c>
      <c r="K77" s="39" t="b">
        <v>0</v>
      </c>
      <c r="L77" s="39" t="s">
        <v>452</v>
      </c>
      <c r="M77" s="39"/>
      <c r="N77" t="s">
        <v>452</v>
      </c>
      <c r="O77" t="s">
        <v>453</v>
      </c>
      <c r="P77" t="s">
        <v>43</v>
      </c>
      <c r="Q77" s="39" t="s">
        <v>28</v>
      </c>
      <c r="R77" s="39" t="s">
        <v>45</v>
      </c>
      <c r="S77" s="39" t="s">
        <v>454</v>
      </c>
      <c r="T77" s="39"/>
      <c r="U77" s="39"/>
      <c r="V77" s="39"/>
      <c r="W77" s="39" t="s">
        <v>455</v>
      </c>
      <c r="X77" s="39" t="s">
        <v>456</v>
      </c>
      <c r="Y77" s="39" t="s">
        <v>68</v>
      </c>
      <c r="Z77" s="39" t="s">
        <v>32</v>
      </c>
      <c r="AA77" s="39"/>
      <c r="AB77" s="44">
        <v>6285695423326</v>
      </c>
      <c r="AC77" s="39"/>
      <c r="AD77" s="39"/>
      <c r="AE77" s="39" t="s">
        <v>457</v>
      </c>
      <c r="AF77" s="39"/>
      <c r="AG77" s="39" t="s">
        <v>444</v>
      </c>
      <c r="AH77" s="39" t="s">
        <v>1903</v>
      </c>
      <c r="AI77" s="39" t="s">
        <v>445</v>
      </c>
      <c r="AJ77" s="39" t="s">
        <v>1926</v>
      </c>
      <c r="AK77" t="b">
        <f t="shared" si="3"/>
        <v>1</v>
      </c>
      <c r="AL77" t="b">
        <f t="shared" si="4"/>
        <v>1</v>
      </c>
      <c r="AN77" t="e">
        <v>#N/A</v>
      </c>
      <c r="AP77" t="e">
        <f>_xlfn.XLOOKUP(F77,'Kolom info id dse &amp; part cd'!D:D,'Kolom info id dse &amp; part cd'!I:I)</f>
        <v>#N/A</v>
      </c>
      <c r="AQ77" t="e">
        <f t="shared" si="5"/>
        <v>#N/A</v>
      </c>
      <c r="AR77" t="str">
        <f>_xlfn.XLOOKUP($E77,'[1]Referensi New'!$D:$D,'[1]Referensi New'!$V:$V)</f>
        <v>CSOBUANAJKB001</v>
      </c>
    </row>
    <row r="78" spans="1:44" ht="16">
      <c r="A78" s="39" t="s">
        <v>20</v>
      </c>
      <c r="B78" s="39" t="s">
        <v>21</v>
      </c>
      <c r="C78" s="39" t="s">
        <v>22</v>
      </c>
      <c r="D78" s="39" t="s">
        <v>443</v>
      </c>
      <c r="E78" s="39" t="s">
        <v>24</v>
      </c>
      <c r="F78" s="39" t="s">
        <v>444</v>
      </c>
      <c r="G78" s="39" t="s">
        <v>445</v>
      </c>
      <c r="H78" s="39" t="s">
        <v>75</v>
      </c>
      <c r="I78" s="39" t="b">
        <v>0</v>
      </c>
      <c r="J78" s="39" t="s">
        <v>75</v>
      </c>
      <c r="K78" s="39" t="b">
        <v>0</v>
      </c>
      <c r="L78" s="39" t="s">
        <v>458</v>
      </c>
      <c r="M78" s="39"/>
      <c r="N78" t="s">
        <v>458</v>
      </c>
      <c r="O78" t="s">
        <v>459</v>
      </c>
      <c r="P78" t="s">
        <v>43</v>
      </c>
      <c r="Q78" s="39" t="s">
        <v>28</v>
      </c>
      <c r="R78" s="39" t="s">
        <v>45</v>
      </c>
      <c r="S78" s="39" t="s">
        <v>460</v>
      </c>
      <c r="T78" s="39"/>
      <c r="U78" s="39"/>
      <c r="V78" s="39"/>
      <c r="W78" s="39" t="s">
        <v>461</v>
      </c>
      <c r="X78" s="39" t="s">
        <v>462</v>
      </c>
      <c r="Y78" s="39" t="s">
        <v>68</v>
      </c>
      <c r="Z78" s="39" t="s">
        <v>32</v>
      </c>
      <c r="AA78" s="39"/>
      <c r="AB78" s="44">
        <v>6285772094247</v>
      </c>
      <c r="AC78" s="39"/>
      <c r="AD78" s="39"/>
      <c r="AE78" s="39" t="s">
        <v>463</v>
      </c>
      <c r="AF78" s="39"/>
      <c r="AG78" s="39" t="s">
        <v>444</v>
      </c>
      <c r="AH78" s="39" t="s">
        <v>1903</v>
      </c>
      <c r="AI78" s="39" t="s">
        <v>445</v>
      </c>
      <c r="AJ78" s="39" t="s">
        <v>1926</v>
      </c>
      <c r="AK78" t="b">
        <f t="shared" si="3"/>
        <v>1</v>
      </c>
      <c r="AL78" t="b">
        <f t="shared" si="4"/>
        <v>1</v>
      </c>
      <c r="AN78" t="e">
        <v>#N/A</v>
      </c>
      <c r="AP78" t="e">
        <f>_xlfn.XLOOKUP(F78,'Kolom info id dse &amp; part cd'!D:D,'Kolom info id dse &amp; part cd'!I:I)</f>
        <v>#N/A</v>
      </c>
      <c r="AQ78" t="e">
        <f t="shared" si="5"/>
        <v>#N/A</v>
      </c>
      <c r="AR78" t="str">
        <f>_xlfn.XLOOKUP($E78,'[1]Referensi New'!$D:$D,'[1]Referensi New'!$V:$V)</f>
        <v>CSOBUANAJKB001</v>
      </c>
    </row>
    <row r="79" spans="1:44" ht="16">
      <c r="A79" s="39" t="s">
        <v>20</v>
      </c>
      <c r="B79" s="39" t="s">
        <v>21</v>
      </c>
      <c r="C79" s="39" t="s">
        <v>22</v>
      </c>
      <c r="D79" s="39" t="s">
        <v>443</v>
      </c>
      <c r="E79" s="39" t="s">
        <v>24</v>
      </c>
      <c r="F79" s="39" t="s">
        <v>444</v>
      </c>
      <c r="G79" s="39" t="s">
        <v>445</v>
      </c>
      <c r="H79" s="39" t="s">
        <v>75</v>
      </c>
      <c r="I79" s="39" t="b">
        <v>0</v>
      </c>
      <c r="J79" s="39" t="s">
        <v>75</v>
      </c>
      <c r="K79" s="39" t="b">
        <v>0</v>
      </c>
      <c r="L79" s="39" t="s">
        <v>464</v>
      </c>
      <c r="M79" s="39"/>
      <c r="N79" t="s">
        <v>464</v>
      </c>
      <c r="O79" t="s">
        <v>465</v>
      </c>
      <c r="P79" t="s">
        <v>43</v>
      </c>
      <c r="Q79" s="39" t="s">
        <v>28</v>
      </c>
      <c r="R79" s="39" t="s">
        <v>45</v>
      </c>
      <c r="S79" s="39" t="s">
        <v>466</v>
      </c>
      <c r="T79" s="39"/>
      <c r="U79" s="39"/>
      <c r="V79" s="39"/>
      <c r="W79" s="39" t="s">
        <v>467</v>
      </c>
      <c r="X79" s="39" t="s">
        <v>468</v>
      </c>
      <c r="Y79" s="39" t="s">
        <v>68</v>
      </c>
      <c r="Z79" s="39" t="s">
        <v>32</v>
      </c>
      <c r="AA79" s="39"/>
      <c r="AB79" s="44">
        <v>6281412127890</v>
      </c>
      <c r="AC79" s="39"/>
      <c r="AD79" s="39"/>
      <c r="AE79" s="39" t="s">
        <v>469</v>
      </c>
      <c r="AF79" s="39"/>
      <c r="AG79" s="39" t="s">
        <v>444</v>
      </c>
      <c r="AH79" s="39" t="s">
        <v>1903</v>
      </c>
      <c r="AI79" s="39" t="s">
        <v>445</v>
      </c>
      <c r="AJ79" s="39" t="s">
        <v>1926</v>
      </c>
      <c r="AK79" t="b">
        <f t="shared" si="3"/>
        <v>1</v>
      </c>
      <c r="AL79" t="b">
        <f t="shared" si="4"/>
        <v>1</v>
      </c>
      <c r="AN79" t="e">
        <v>#N/A</v>
      </c>
      <c r="AP79" t="e">
        <f>_xlfn.XLOOKUP(F79,'Kolom info id dse &amp; part cd'!D:D,'Kolom info id dse &amp; part cd'!I:I)</f>
        <v>#N/A</v>
      </c>
      <c r="AQ79" t="e">
        <f t="shared" si="5"/>
        <v>#N/A</v>
      </c>
      <c r="AR79" t="str">
        <f>_xlfn.XLOOKUP($E79,'[1]Referensi New'!$D:$D,'[1]Referensi New'!$V:$V)</f>
        <v>CSOBUANAJKB001</v>
      </c>
    </row>
    <row r="80" spans="1:44" ht="16">
      <c r="A80" s="39" t="s">
        <v>20</v>
      </c>
      <c r="B80" s="39" t="s">
        <v>21</v>
      </c>
      <c r="C80" s="39" t="s">
        <v>22</v>
      </c>
      <c r="D80" s="39" t="s">
        <v>470</v>
      </c>
      <c r="E80" s="39" t="s">
        <v>471</v>
      </c>
      <c r="F80" s="39" t="s">
        <v>472</v>
      </c>
      <c r="G80" s="39" t="s">
        <v>473</v>
      </c>
      <c r="H80" s="39" t="s">
        <v>75</v>
      </c>
      <c r="I80" s="39" t="b">
        <v>0</v>
      </c>
      <c r="J80" s="39" t="s">
        <v>75</v>
      </c>
      <c r="K80" s="39" t="b">
        <v>0</v>
      </c>
      <c r="L80" s="39" t="s">
        <v>474</v>
      </c>
      <c r="M80" s="39"/>
      <c r="N80" t="s">
        <v>474</v>
      </c>
      <c r="O80" t="s">
        <v>475</v>
      </c>
      <c r="P80" t="s">
        <v>43</v>
      </c>
      <c r="Q80" s="39" t="s">
        <v>28</v>
      </c>
      <c r="R80" s="39" t="s">
        <v>45</v>
      </c>
      <c r="S80" s="39" t="s">
        <v>476</v>
      </c>
      <c r="T80" s="39"/>
      <c r="U80" s="39"/>
      <c r="V80" s="39"/>
      <c r="W80" s="39" t="s">
        <v>477</v>
      </c>
      <c r="X80" s="39" t="s">
        <v>478</v>
      </c>
      <c r="Y80" s="39" t="s">
        <v>68</v>
      </c>
      <c r="Z80" s="39" t="s">
        <v>32</v>
      </c>
      <c r="AA80" s="39"/>
      <c r="AB80" s="44">
        <v>6285819325199</v>
      </c>
      <c r="AC80" s="39"/>
      <c r="AD80" s="39"/>
      <c r="AE80" s="39" t="s">
        <v>479</v>
      </c>
      <c r="AF80" s="39"/>
      <c r="AG80" s="39" t="s">
        <v>472</v>
      </c>
      <c r="AH80" s="39" t="s">
        <v>1903</v>
      </c>
      <c r="AI80" s="39" t="s">
        <v>473</v>
      </c>
      <c r="AJ80" s="39" t="s">
        <v>1927</v>
      </c>
      <c r="AK80" t="b">
        <f t="shared" si="3"/>
        <v>1</v>
      </c>
      <c r="AL80" t="b">
        <f t="shared" si="4"/>
        <v>1</v>
      </c>
      <c r="AN80" t="e">
        <v>#N/A</v>
      </c>
      <c r="AP80" t="e">
        <f>_xlfn.XLOOKUP(F80,'Kolom info id dse &amp; part cd'!D:D,'Kolom info id dse &amp; part cd'!I:I)</f>
        <v>#N/A</v>
      </c>
      <c r="AQ80" t="e">
        <f t="shared" si="5"/>
        <v>#N/A</v>
      </c>
      <c r="AR80">
        <f>_xlfn.XLOOKUP($E80,'[1]Referensi New'!$D:$D,'[1]Referensi New'!$V:$V)</f>
        <v>2613051407</v>
      </c>
    </row>
    <row r="81" spans="1:44" ht="16">
      <c r="A81" s="39" t="s">
        <v>20</v>
      </c>
      <c r="B81" s="39" t="s">
        <v>21</v>
      </c>
      <c r="C81" s="39" t="s">
        <v>22</v>
      </c>
      <c r="D81" s="39" t="s">
        <v>443</v>
      </c>
      <c r="E81" s="39" t="s">
        <v>24</v>
      </c>
      <c r="F81" s="39" t="s">
        <v>444</v>
      </c>
      <c r="G81" s="39" t="s">
        <v>445</v>
      </c>
      <c r="H81" s="39" t="s">
        <v>75</v>
      </c>
      <c r="I81" s="39" t="b">
        <v>0</v>
      </c>
      <c r="J81" s="39" t="s">
        <v>75</v>
      </c>
      <c r="K81" s="39" t="b">
        <v>0</v>
      </c>
      <c r="L81" s="39" t="s">
        <v>480</v>
      </c>
      <c r="M81" s="39"/>
      <c r="N81" t="s">
        <v>480</v>
      </c>
      <c r="O81" t="s">
        <v>481</v>
      </c>
      <c r="P81" t="s">
        <v>43</v>
      </c>
      <c r="Q81" s="39" t="s">
        <v>28</v>
      </c>
      <c r="R81" s="39" t="s">
        <v>45</v>
      </c>
      <c r="S81" s="39" t="s">
        <v>482</v>
      </c>
      <c r="T81" s="39"/>
      <c r="U81" s="39"/>
      <c r="V81" s="39"/>
      <c r="W81" s="39" t="s">
        <v>483</v>
      </c>
      <c r="X81" s="39" t="s">
        <v>484</v>
      </c>
      <c r="Y81" s="39" t="s">
        <v>68</v>
      </c>
      <c r="Z81" s="39" t="s">
        <v>32</v>
      </c>
      <c r="AA81" s="39"/>
      <c r="AB81" s="44">
        <v>6281511661167</v>
      </c>
      <c r="AC81" s="39"/>
      <c r="AD81" s="39"/>
      <c r="AE81" s="39" t="s">
        <v>485</v>
      </c>
      <c r="AF81" s="39"/>
      <c r="AG81" s="39" t="s">
        <v>444</v>
      </c>
      <c r="AH81" s="39" t="s">
        <v>1903</v>
      </c>
      <c r="AI81" s="39" t="s">
        <v>445</v>
      </c>
      <c r="AJ81" s="39" t="s">
        <v>1926</v>
      </c>
      <c r="AK81" t="b">
        <f t="shared" si="3"/>
        <v>1</v>
      </c>
      <c r="AL81" t="b">
        <f t="shared" si="4"/>
        <v>1</v>
      </c>
      <c r="AN81" t="e">
        <v>#N/A</v>
      </c>
      <c r="AP81" t="e">
        <f>_xlfn.XLOOKUP(F81,'Kolom info id dse &amp; part cd'!D:D,'Kolom info id dse &amp; part cd'!I:I)</f>
        <v>#N/A</v>
      </c>
      <c r="AQ81" t="e">
        <f t="shared" si="5"/>
        <v>#N/A</v>
      </c>
      <c r="AR81" t="str">
        <f>_xlfn.XLOOKUP($E81,'[1]Referensi New'!$D:$D,'[1]Referensi New'!$V:$V)</f>
        <v>CSOBUANAJKB001</v>
      </c>
    </row>
    <row r="82" spans="1:44" ht="16">
      <c r="A82" s="39" t="s">
        <v>20</v>
      </c>
      <c r="B82" s="39" t="s">
        <v>21</v>
      </c>
      <c r="C82" s="39" t="s">
        <v>22</v>
      </c>
      <c r="D82" s="39" t="s">
        <v>470</v>
      </c>
      <c r="E82" s="39" t="s">
        <v>471</v>
      </c>
      <c r="F82" s="39" t="s">
        <v>472</v>
      </c>
      <c r="G82" s="39" t="s">
        <v>473</v>
      </c>
      <c r="H82" s="39" t="s">
        <v>75</v>
      </c>
      <c r="I82" s="39" t="b">
        <v>0</v>
      </c>
      <c r="J82" s="39" t="s">
        <v>75</v>
      </c>
      <c r="K82" s="39" t="b">
        <v>0</v>
      </c>
      <c r="L82" s="39" t="s">
        <v>486</v>
      </c>
      <c r="M82" s="39"/>
      <c r="N82" t="s">
        <v>486</v>
      </c>
      <c r="O82" t="s">
        <v>487</v>
      </c>
      <c r="P82" t="s">
        <v>43</v>
      </c>
      <c r="Q82" s="39" t="s">
        <v>28</v>
      </c>
      <c r="R82" s="39" t="s">
        <v>45</v>
      </c>
      <c r="S82" s="39" t="s">
        <v>488</v>
      </c>
      <c r="T82" s="39"/>
      <c r="U82" s="39"/>
      <c r="V82" s="39"/>
      <c r="W82" s="39" t="s">
        <v>489</v>
      </c>
      <c r="X82" s="39" t="s">
        <v>490</v>
      </c>
      <c r="Y82" s="39" t="s">
        <v>119</v>
      </c>
      <c r="Z82" s="39" t="s">
        <v>32</v>
      </c>
      <c r="AA82" s="39"/>
      <c r="AB82" s="44">
        <v>6281412128935</v>
      </c>
      <c r="AC82" s="39"/>
      <c r="AD82" s="39"/>
      <c r="AE82" s="39" t="s">
        <v>491</v>
      </c>
      <c r="AF82" s="39"/>
      <c r="AG82" s="39" t="s">
        <v>472</v>
      </c>
      <c r="AH82" s="39" t="s">
        <v>1903</v>
      </c>
      <c r="AI82" s="39" t="s">
        <v>473</v>
      </c>
      <c r="AJ82" s="39" t="s">
        <v>1927</v>
      </c>
      <c r="AK82" t="b">
        <f t="shared" si="3"/>
        <v>1</v>
      </c>
      <c r="AL82" t="b">
        <f t="shared" si="4"/>
        <v>1</v>
      </c>
      <c r="AN82" t="e">
        <v>#N/A</v>
      </c>
      <c r="AP82" t="e">
        <f>_xlfn.XLOOKUP(F82,'Kolom info id dse &amp; part cd'!D:D,'Kolom info id dse &amp; part cd'!I:I)</f>
        <v>#N/A</v>
      </c>
      <c r="AQ82" t="e">
        <f t="shared" si="5"/>
        <v>#N/A</v>
      </c>
      <c r="AR82">
        <f>_xlfn.XLOOKUP($E82,'[1]Referensi New'!$D:$D,'[1]Referensi New'!$V:$V)</f>
        <v>2613051407</v>
      </c>
    </row>
    <row r="83" spans="1:44" ht="16">
      <c r="A83" s="39" t="s">
        <v>20</v>
      </c>
      <c r="B83" s="39" t="s">
        <v>21</v>
      </c>
      <c r="C83" s="39" t="s">
        <v>22</v>
      </c>
      <c r="D83" s="39" t="s">
        <v>443</v>
      </c>
      <c r="E83" s="39" t="s">
        <v>24</v>
      </c>
      <c r="F83" s="39" t="s">
        <v>444</v>
      </c>
      <c r="G83" s="39" t="s">
        <v>445</v>
      </c>
      <c r="H83" s="39" t="s">
        <v>75</v>
      </c>
      <c r="I83" s="39" t="b">
        <v>0</v>
      </c>
      <c r="J83" s="39" t="s">
        <v>75</v>
      </c>
      <c r="K83" s="39" t="b">
        <v>0</v>
      </c>
      <c r="L83" s="39" t="s">
        <v>492</v>
      </c>
      <c r="M83" s="39"/>
      <c r="N83" t="s">
        <v>492</v>
      </c>
      <c r="O83" t="s">
        <v>493</v>
      </c>
      <c r="P83" t="s">
        <v>43</v>
      </c>
      <c r="Q83" s="39" t="s">
        <v>28</v>
      </c>
      <c r="R83" s="39" t="s">
        <v>45</v>
      </c>
      <c r="S83" s="39" t="s">
        <v>494</v>
      </c>
      <c r="T83" s="39"/>
      <c r="U83" s="39"/>
      <c r="V83" s="39"/>
      <c r="W83" s="39" t="s">
        <v>495</v>
      </c>
      <c r="X83" s="39" t="s">
        <v>496</v>
      </c>
      <c r="Y83" s="39" t="s">
        <v>68</v>
      </c>
      <c r="Z83" s="39" t="s">
        <v>32</v>
      </c>
      <c r="AA83" s="39"/>
      <c r="AB83" s="44">
        <v>6285893902559</v>
      </c>
      <c r="AC83" s="39"/>
      <c r="AD83" s="39"/>
      <c r="AE83" s="39" t="s">
        <v>497</v>
      </c>
      <c r="AF83" s="39"/>
      <c r="AG83" s="39" t="s">
        <v>444</v>
      </c>
      <c r="AH83" s="39" t="s">
        <v>1903</v>
      </c>
      <c r="AI83" s="39" t="s">
        <v>445</v>
      </c>
      <c r="AJ83" s="39" t="s">
        <v>1926</v>
      </c>
      <c r="AK83" t="b">
        <f t="shared" si="3"/>
        <v>1</v>
      </c>
      <c r="AL83" t="b">
        <f t="shared" si="4"/>
        <v>1</v>
      </c>
      <c r="AN83" t="e">
        <v>#N/A</v>
      </c>
      <c r="AP83" t="e">
        <f>_xlfn.XLOOKUP(F83,'Kolom info id dse &amp; part cd'!D:D,'Kolom info id dse &amp; part cd'!I:I)</f>
        <v>#N/A</v>
      </c>
      <c r="AQ83" t="e">
        <f t="shared" si="5"/>
        <v>#N/A</v>
      </c>
      <c r="AR83" t="str">
        <f>_xlfn.XLOOKUP($E83,'[1]Referensi New'!$D:$D,'[1]Referensi New'!$V:$V)</f>
        <v>CSOBUANAJKB001</v>
      </c>
    </row>
    <row r="84" spans="1:44" ht="16">
      <c r="A84" s="39" t="s">
        <v>20</v>
      </c>
      <c r="B84" s="39" t="s">
        <v>21</v>
      </c>
      <c r="C84" s="39" t="s">
        <v>22</v>
      </c>
      <c r="D84" s="39" t="s">
        <v>498</v>
      </c>
      <c r="E84" s="39" t="s">
        <v>499</v>
      </c>
      <c r="F84" s="39" t="s">
        <v>500</v>
      </c>
      <c r="G84" s="39" t="s">
        <v>501</v>
      </c>
      <c r="H84" s="39" t="s">
        <v>75</v>
      </c>
      <c r="I84" s="39" t="b">
        <v>0</v>
      </c>
      <c r="J84" s="39" t="s">
        <v>75</v>
      </c>
      <c r="K84" s="39" t="b">
        <v>0</v>
      </c>
      <c r="L84" s="39" t="s">
        <v>502</v>
      </c>
      <c r="M84" s="39"/>
      <c r="N84" t="s">
        <v>502</v>
      </c>
      <c r="O84" t="s">
        <v>503</v>
      </c>
      <c r="P84" t="s">
        <v>43</v>
      </c>
      <c r="Q84" s="39" t="s">
        <v>28</v>
      </c>
      <c r="R84" s="39" t="s">
        <v>45</v>
      </c>
      <c r="S84" s="39" t="s">
        <v>504</v>
      </c>
      <c r="T84" s="39"/>
      <c r="U84" s="39"/>
      <c r="V84" s="39"/>
      <c r="W84" s="39" t="s">
        <v>505</v>
      </c>
      <c r="X84" s="39" t="s">
        <v>506</v>
      </c>
      <c r="Y84" s="39" t="s">
        <v>68</v>
      </c>
      <c r="Z84" s="39" t="s">
        <v>32</v>
      </c>
      <c r="AA84" s="39"/>
      <c r="AB84" s="44">
        <v>6285604234396</v>
      </c>
      <c r="AC84" s="39"/>
      <c r="AD84" s="39"/>
      <c r="AE84" s="39" t="s">
        <v>507</v>
      </c>
      <c r="AF84" s="39"/>
      <c r="AG84" s="39" t="s">
        <v>500</v>
      </c>
      <c r="AH84" s="39" t="s">
        <v>1903</v>
      </c>
      <c r="AI84" s="39" t="s">
        <v>501</v>
      </c>
      <c r="AJ84" s="39" t="s">
        <v>1926</v>
      </c>
      <c r="AK84" t="b">
        <f t="shared" si="3"/>
        <v>1</v>
      </c>
      <c r="AL84" t="b">
        <f t="shared" si="4"/>
        <v>1</v>
      </c>
      <c r="AN84" t="e">
        <v>#N/A</v>
      </c>
      <c r="AP84" t="e">
        <f>_xlfn.XLOOKUP(F84,'Kolom info id dse &amp; part cd'!D:D,'Kolom info id dse &amp; part cd'!I:I)</f>
        <v>#N/A</v>
      </c>
      <c r="AQ84" t="e">
        <f t="shared" si="5"/>
        <v>#N/A</v>
      </c>
      <c r="AR84" t="str">
        <f>_xlfn.XLOOKUP($E84,'[1]Referensi New'!$D:$D,'[1]Referensi New'!$V:$V)</f>
        <v>CSOBUANAJKB06</v>
      </c>
    </row>
    <row r="85" spans="1:44" ht="16">
      <c r="A85" s="39" t="s">
        <v>20</v>
      </c>
      <c r="B85" s="39" t="s">
        <v>21</v>
      </c>
      <c r="C85" s="39" t="s">
        <v>22</v>
      </c>
      <c r="D85" s="39" t="s">
        <v>498</v>
      </c>
      <c r="E85" s="39" t="s">
        <v>499</v>
      </c>
      <c r="F85" s="39" t="s">
        <v>500</v>
      </c>
      <c r="G85" s="39" t="s">
        <v>501</v>
      </c>
      <c r="H85" s="39" t="s">
        <v>75</v>
      </c>
      <c r="I85" s="39" t="b">
        <v>0</v>
      </c>
      <c r="J85" s="39" t="s">
        <v>75</v>
      </c>
      <c r="K85" s="39" t="b">
        <v>0</v>
      </c>
      <c r="L85" s="39" t="s">
        <v>508</v>
      </c>
      <c r="M85" s="39"/>
      <c r="N85" t="s">
        <v>508</v>
      </c>
      <c r="O85" t="s">
        <v>509</v>
      </c>
      <c r="P85" t="s">
        <v>43</v>
      </c>
      <c r="Q85" s="39" t="s">
        <v>28</v>
      </c>
      <c r="R85" s="39" t="s">
        <v>45</v>
      </c>
      <c r="S85" s="39" t="s">
        <v>510</v>
      </c>
      <c r="T85" s="39"/>
      <c r="U85" s="39"/>
      <c r="V85" s="39"/>
      <c r="W85" s="39" t="s">
        <v>511</v>
      </c>
      <c r="X85" s="39" t="s">
        <v>512</v>
      </c>
      <c r="Y85" s="39" t="s">
        <v>68</v>
      </c>
      <c r="Z85" s="39" t="s">
        <v>32</v>
      </c>
      <c r="AA85" s="39"/>
      <c r="AB85" s="44">
        <v>6285718656667</v>
      </c>
      <c r="AC85" s="39"/>
      <c r="AD85" s="39"/>
      <c r="AE85" s="39" t="s">
        <v>513</v>
      </c>
      <c r="AF85" s="39"/>
      <c r="AG85" s="39" t="s">
        <v>500</v>
      </c>
      <c r="AH85" s="39" t="s">
        <v>1903</v>
      </c>
      <c r="AI85" s="39" t="s">
        <v>501</v>
      </c>
      <c r="AJ85" s="39" t="s">
        <v>1926</v>
      </c>
      <c r="AK85" t="b">
        <f t="shared" si="3"/>
        <v>1</v>
      </c>
      <c r="AL85" t="b">
        <f t="shared" si="4"/>
        <v>1</v>
      </c>
      <c r="AN85" t="e">
        <v>#N/A</v>
      </c>
      <c r="AP85" t="e">
        <f>_xlfn.XLOOKUP(F85,'Kolom info id dse &amp; part cd'!D:D,'Kolom info id dse &amp; part cd'!I:I)</f>
        <v>#N/A</v>
      </c>
      <c r="AQ85" t="e">
        <f t="shared" si="5"/>
        <v>#N/A</v>
      </c>
      <c r="AR85" t="str">
        <f>_xlfn.XLOOKUP($E85,'[1]Referensi New'!$D:$D,'[1]Referensi New'!$V:$V)</f>
        <v>CSOBUANAJKB06</v>
      </c>
    </row>
    <row r="86" spans="1:44" ht="16">
      <c r="A86" s="39" t="s">
        <v>20</v>
      </c>
      <c r="B86" s="39" t="s">
        <v>21</v>
      </c>
      <c r="C86" s="39" t="s">
        <v>22</v>
      </c>
      <c r="D86" s="39" t="s">
        <v>470</v>
      </c>
      <c r="E86" s="39" t="s">
        <v>471</v>
      </c>
      <c r="F86" s="39" t="s">
        <v>472</v>
      </c>
      <c r="G86" s="39" t="s">
        <v>473</v>
      </c>
      <c r="H86" s="39" t="s">
        <v>75</v>
      </c>
      <c r="I86" s="39" t="b">
        <v>0</v>
      </c>
      <c r="J86" s="39" t="s">
        <v>75</v>
      </c>
      <c r="K86" s="39" t="b">
        <v>0</v>
      </c>
      <c r="L86" s="39" t="s">
        <v>514</v>
      </c>
      <c r="M86" s="39"/>
      <c r="N86" t="s">
        <v>514</v>
      </c>
      <c r="O86" t="s">
        <v>515</v>
      </c>
      <c r="P86" t="s">
        <v>43</v>
      </c>
      <c r="Q86" s="39" t="s">
        <v>28</v>
      </c>
      <c r="R86" s="39" t="s">
        <v>45</v>
      </c>
      <c r="S86" s="39" t="s">
        <v>516</v>
      </c>
      <c r="T86" s="39" t="s">
        <v>516</v>
      </c>
      <c r="U86" s="39" t="s">
        <v>516</v>
      </c>
      <c r="V86" s="39" t="b">
        <v>0</v>
      </c>
      <c r="W86" s="39" t="s">
        <v>517</v>
      </c>
      <c r="X86" s="39">
        <v>3173011411800000</v>
      </c>
      <c r="Y86" s="39" t="s">
        <v>68</v>
      </c>
      <c r="Z86" s="39" t="s">
        <v>32</v>
      </c>
      <c r="AA86" s="39"/>
      <c r="AB86" s="44">
        <v>6285773788026</v>
      </c>
      <c r="AC86" s="39"/>
      <c r="AD86" s="39"/>
      <c r="AE86" s="39" t="s">
        <v>518</v>
      </c>
      <c r="AF86" s="39" t="s">
        <v>519</v>
      </c>
      <c r="AG86" s="39" t="s">
        <v>472</v>
      </c>
      <c r="AH86" s="39" t="s">
        <v>1903</v>
      </c>
      <c r="AI86" s="39" t="s">
        <v>473</v>
      </c>
      <c r="AJ86" s="39" t="s">
        <v>1927</v>
      </c>
      <c r="AK86" t="b">
        <f t="shared" si="3"/>
        <v>1</v>
      </c>
      <c r="AL86" t="b">
        <f t="shared" si="4"/>
        <v>1</v>
      </c>
      <c r="AN86" t="e">
        <v>#N/A</v>
      </c>
      <c r="AP86" t="e">
        <f>_xlfn.XLOOKUP(F86,'Kolom info id dse &amp; part cd'!D:D,'Kolom info id dse &amp; part cd'!I:I)</f>
        <v>#N/A</v>
      </c>
      <c r="AQ86" t="e">
        <f t="shared" si="5"/>
        <v>#N/A</v>
      </c>
      <c r="AR86">
        <f>_xlfn.XLOOKUP($E86,'[1]Referensi New'!$D:$D,'[1]Referensi New'!$V:$V)</f>
        <v>2613051407</v>
      </c>
    </row>
    <row r="87" spans="1:44" ht="16">
      <c r="A87" s="39" t="s">
        <v>20</v>
      </c>
      <c r="B87" s="39" t="s">
        <v>21</v>
      </c>
      <c r="C87" s="39" t="s">
        <v>22</v>
      </c>
      <c r="D87" s="39" t="s">
        <v>470</v>
      </c>
      <c r="E87" s="39" t="s">
        <v>471</v>
      </c>
      <c r="F87" s="39" t="s">
        <v>472</v>
      </c>
      <c r="G87" s="39" t="s">
        <v>473</v>
      </c>
      <c r="H87" s="39" t="s">
        <v>75</v>
      </c>
      <c r="I87" s="39" t="b">
        <v>0</v>
      </c>
      <c r="J87" s="39" t="s">
        <v>75</v>
      </c>
      <c r="K87" s="39" t="b">
        <v>0</v>
      </c>
      <c r="L87" s="39">
        <v>2613051407</v>
      </c>
      <c r="M87" s="39"/>
      <c r="N87">
        <v>2613051407</v>
      </c>
      <c r="O87" t="s">
        <v>520</v>
      </c>
      <c r="P87" t="s">
        <v>43</v>
      </c>
      <c r="Q87" s="39" t="s">
        <v>28</v>
      </c>
      <c r="R87" s="39" t="s">
        <v>44</v>
      </c>
      <c r="S87" s="39" t="s">
        <v>521</v>
      </c>
      <c r="T87" s="39"/>
      <c r="U87" s="39"/>
      <c r="V87" s="39"/>
      <c r="W87" s="39" t="s">
        <v>522</v>
      </c>
      <c r="X87" s="39" t="s">
        <v>523</v>
      </c>
      <c r="Y87" s="39" t="s">
        <v>524</v>
      </c>
      <c r="Z87" s="39" t="s">
        <v>32</v>
      </c>
      <c r="AA87" s="39">
        <v>6285776350018</v>
      </c>
      <c r="AB87" s="44">
        <v>6285776350018</v>
      </c>
      <c r="AC87" s="39"/>
      <c r="AD87" s="39"/>
      <c r="AE87" s="39" t="s">
        <v>525</v>
      </c>
      <c r="AF87" s="39"/>
      <c r="AG87" s="39" t="s">
        <v>472</v>
      </c>
      <c r="AH87" s="39" t="s">
        <v>1903</v>
      </c>
      <c r="AI87" s="39" t="s">
        <v>473</v>
      </c>
      <c r="AJ87" s="39" t="s">
        <v>1927</v>
      </c>
      <c r="AK87" t="b">
        <f t="shared" si="3"/>
        <v>1</v>
      </c>
      <c r="AL87" t="b">
        <f t="shared" si="4"/>
        <v>1</v>
      </c>
      <c r="AN87" t="e">
        <v>#N/A</v>
      </c>
      <c r="AP87" t="e">
        <f>_xlfn.XLOOKUP(F87,'Kolom info id dse &amp; part cd'!D:D,'Kolom info id dse &amp; part cd'!I:I)</f>
        <v>#N/A</v>
      </c>
      <c r="AQ87" t="e">
        <f t="shared" si="5"/>
        <v>#N/A</v>
      </c>
      <c r="AR87">
        <f>_xlfn.XLOOKUP($E87,'[1]Referensi New'!$D:$D,'[1]Referensi New'!$V:$V)</f>
        <v>2613051407</v>
      </c>
    </row>
    <row r="88" spans="1:44" ht="16">
      <c r="A88" s="39" t="s">
        <v>20</v>
      </c>
      <c r="B88" s="39" t="s">
        <v>21</v>
      </c>
      <c r="C88" s="39" t="s">
        <v>70</v>
      </c>
      <c r="D88" s="39" t="s">
        <v>526</v>
      </c>
      <c r="E88" s="39" t="s">
        <v>527</v>
      </c>
      <c r="F88" s="39" t="s">
        <v>528</v>
      </c>
      <c r="G88" s="39" t="s">
        <v>529</v>
      </c>
      <c r="H88" s="39" t="s">
        <v>75</v>
      </c>
      <c r="I88" s="39" t="b">
        <v>0</v>
      </c>
      <c r="J88" s="39" t="s">
        <v>75</v>
      </c>
      <c r="K88" s="39" t="b">
        <v>0</v>
      </c>
      <c r="L88" s="39" t="s">
        <v>530</v>
      </c>
      <c r="M88" s="39"/>
      <c r="N88" t="s">
        <v>530</v>
      </c>
      <c r="O88" t="s">
        <v>531</v>
      </c>
      <c r="P88" t="s">
        <v>43</v>
      </c>
      <c r="Q88" s="39" t="s">
        <v>28</v>
      </c>
      <c r="R88" s="39" t="s">
        <v>45</v>
      </c>
      <c r="S88" s="39" t="s">
        <v>532</v>
      </c>
      <c r="T88" s="39"/>
      <c r="U88" s="39"/>
      <c r="V88" s="39"/>
      <c r="W88" s="39" t="s">
        <v>533</v>
      </c>
      <c r="X88" s="39" t="s">
        <v>534</v>
      </c>
      <c r="Y88" s="39" t="s">
        <v>68</v>
      </c>
      <c r="Z88" s="39" t="s">
        <v>32</v>
      </c>
      <c r="AA88" s="39"/>
      <c r="AB88" s="44">
        <v>62857163999997</v>
      </c>
      <c r="AC88" s="39"/>
      <c r="AD88" s="39"/>
      <c r="AE88" s="39" t="s">
        <v>535</v>
      </c>
      <c r="AF88" s="39"/>
      <c r="AG88" s="39" t="s">
        <v>528</v>
      </c>
      <c r="AH88" s="39" t="s">
        <v>1903</v>
      </c>
      <c r="AI88" s="39" t="s">
        <v>529</v>
      </c>
      <c r="AJ88" s="39" t="s">
        <v>1915</v>
      </c>
      <c r="AK88" t="b">
        <f t="shared" si="3"/>
        <v>1</v>
      </c>
      <c r="AL88" t="b">
        <f t="shared" si="4"/>
        <v>1</v>
      </c>
      <c r="AN88" t="e">
        <v>#N/A</v>
      </c>
      <c r="AP88" t="e">
        <f>_xlfn.XLOOKUP(F88,'Kolom info id dse &amp; part cd'!D:D,'Kolom info id dse &amp; part cd'!I:I)</f>
        <v>#N/A</v>
      </c>
      <c r="AQ88" t="e">
        <f t="shared" si="5"/>
        <v>#N/A</v>
      </c>
      <c r="AR88" t="str">
        <f>_xlfn.XLOOKUP($E88,'[1]Referensi New'!$D:$D,'[1]Referensi New'!$V:$V)</f>
        <v>CSOBUANAJKP01</v>
      </c>
    </row>
    <row r="89" spans="1:44" ht="16">
      <c r="A89" s="39" t="s">
        <v>20</v>
      </c>
      <c r="B89" s="39" t="s">
        <v>21</v>
      </c>
      <c r="C89" s="39" t="s">
        <v>70</v>
      </c>
      <c r="D89" s="39" t="s">
        <v>526</v>
      </c>
      <c r="E89" s="39" t="s">
        <v>527</v>
      </c>
      <c r="F89" s="39" t="s">
        <v>528</v>
      </c>
      <c r="G89" s="39" t="s">
        <v>529</v>
      </c>
      <c r="H89" s="39" t="s">
        <v>75</v>
      </c>
      <c r="I89" s="39" t="b">
        <v>0</v>
      </c>
      <c r="J89" s="39" t="s">
        <v>75</v>
      </c>
      <c r="K89" s="39" t="b">
        <v>0</v>
      </c>
      <c r="L89" s="39" t="s">
        <v>536</v>
      </c>
      <c r="M89" s="39"/>
      <c r="N89" t="s">
        <v>536</v>
      </c>
      <c r="O89" t="s">
        <v>537</v>
      </c>
      <c r="P89" t="s">
        <v>43</v>
      </c>
      <c r="Q89" s="39" t="s">
        <v>28</v>
      </c>
      <c r="R89" s="39" t="s">
        <v>45</v>
      </c>
      <c r="S89" s="39" t="s">
        <v>538</v>
      </c>
      <c r="T89" s="39"/>
      <c r="U89" s="39"/>
      <c r="V89" s="39"/>
      <c r="W89" s="39" t="s">
        <v>539</v>
      </c>
      <c r="X89" s="39" t="s">
        <v>540</v>
      </c>
      <c r="Y89" s="39" t="s">
        <v>68</v>
      </c>
      <c r="Z89" s="39" t="s">
        <v>32</v>
      </c>
      <c r="AA89" s="39"/>
      <c r="AB89" s="44">
        <v>6285619745127</v>
      </c>
      <c r="AC89" s="39"/>
      <c r="AD89" s="39"/>
      <c r="AE89" s="39" t="s">
        <v>541</v>
      </c>
      <c r="AF89" s="39"/>
      <c r="AG89" s="39" t="s">
        <v>528</v>
      </c>
      <c r="AH89" s="39" t="s">
        <v>1903</v>
      </c>
      <c r="AI89" s="39" t="s">
        <v>529</v>
      </c>
      <c r="AJ89" s="39" t="s">
        <v>1915</v>
      </c>
      <c r="AK89" t="b">
        <f t="shared" si="3"/>
        <v>1</v>
      </c>
      <c r="AL89" t="b">
        <f t="shared" si="4"/>
        <v>1</v>
      </c>
      <c r="AN89" t="e">
        <v>#N/A</v>
      </c>
      <c r="AP89" t="e">
        <f>_xlfn.XLOOKUP(F89,'Kolom info id dse &amp; part cd'!D:D,'Kolom info id dse &amp; part cd'!I:I)</f>
        <v>#N/A</v>
      </c>
      <c r="AQ89" t="e">
        <f t="shared" si="5"/>
        <v>#N/A</v>
      </c>
      <c r="AR89" t="str">
        <f>_xlfn.XLOOKUP($E89,'[1]Referensi New'!$D:$D,'[1]Referensi New'!$V:$V)</f>
        <v>CSOBUANAJKP01</v>
      </c>
    </row>
    <row r="90" spans="1:44" ht="16">
      <c r="A90" s="39" t="s">
        <v>20</v>
      </c>
      <c r="B90" s="39" t="s">
        <v>21</v>
      </c>
      <c r="C90" s="39" t="s">
        <v>70</v>
      </c>
      <c r="D90" s="39" t="s">
        <v>526</v>
      </c>
      <c r="E90" s="39" t="s">
        <v>527</v>
      </c>
      <c r="F90" s="39" t="s">
        <v>528</v>
      </c>
      <c r="G90" s="39" t="s">
        <v>529</v>
      </c>
      <c r="H90" s="39" t="s">
        <v>75</v>
      </c>
      <c r="I90" s="39" t="b">
        <v>0</v>
      </c>
      <c r="J90" s="39" t="s">
        <v>75</v>
      </c>
      <c r="K90" s="39" t="b">
        <v>0</v>
      </c>
      <c r="L90" s="39" t="s">
        <v>542</v>
      </c>
      <c r="M90" s="39"/>
      <c r="N90" t="s">
        <v>542</v>
      </c>
      <c r="O90" t="s">
        <v>543</v>
      </c>
      <c r="P90" t="s">
        <v>43</v>
      </c>
      <c r="Q90" s="39" t="s">
        <v>28</v>
      </c>
      <c r="R90" s="39" t="s">
        <v>45</v>
      </c>
      <c r="S90" s="39" t="s">
        <v>544</v>
      </c>
      <c r="T90" s="39"/>
      <c r="U90" s="39"/>
      <c r="V90" s="39"/>
      <c r="W90" s="39" t="s">
        <v>545</v>
      </c>
      <c r="X90" s="39" t="s">
        <v>546</v>
      </c>
      <c r="Y90" s="39" t="s">
        <v>68</v>
      </c>
      <c r="Z90" s="39" t="s">
        <v>32</v>
      </c>
      <c r="AA90" s="39"/>
      <c r="AB90" s="44">
        <v>62858899994847</v>
      </c>
      <c r="AC90" s="39"/>
      <c r="AD90" s="39"/>
      <c r="AE90" s="39" t="s">
        <v>547</v>
      </c>
      <c r="AF90" s="39"/>
      <c r="AG90" s="39" t="s">
        <v>528</v>
      </c>
      <c r="AH90" s="39" t="s">
        <v>1903</v>
      </c>
      <c r="AI90" s="39" t="s">
        <v>529</v>
      </c>
      <c r="AJ90" s="39" t="s">
        <v>1915</v>
      </c>
      <c r="AK90" t="b">
        <f t="shared" si="3"/>
        <v>1</v>
      </c>
      <c r="AL90" t="b">
        <f t="shared" si="4"/>
        <v>1</v>
      </c>
      <c r="AN90" t="e">
        <v>#N/A</v>
      </c>
      <c r="AP90" t="e">
        <f>_xlfn.XLOOKUP(F90,'Kolom info id dse &amp; part cd'!D:D,'Kolom info id dse &amp; part cd'!I:I)</f>
        <v>#N/A</v>
      </c>
      <c r="AQ90" t="e">
        <f t="shared" si="5"/>
        <v>#N/A</v>
      </c>
      <c r="AR90" t="str">
        <f>_xlfn.XLOOKUP($E90,'[1]Referensi New'!$D:$D,'[1]Referensi New'!$V:$V)</f>
        <v>CSOBUANAJKP01</v>
      </c>
    </row>
    <row r="91" spans="1:44" ht="16">
      <c r="A91" s="39" t="s">
        <v>20</v>
      </c>
      <c r="B91" s="39" t="s">
        <v>21</v>
      </c>
      <c r="C91" s="39" t="s">
        <v>70</v>
      </c>
      <c r="D91" s="39" t="s">
        <v>121</v>
      </c>
      <c r="E91" s="39" t="s">
        <v>122</v>
      </c>
      <c r="F91" s="39" t="s">
        <v>123</v>
      </c>
      <c r="G91" s="39" t="s">
        <v>124</v>
      </c>
      <c r="H91" s="39" t="s">
        <v>75</v>
      </c>
      <c r="I91" s="39" t="b">
        <v>0</v>
      </c>
      <c r="J91" s="39" t="s">
        <v>75</v>
      </c>
      <c r="K91" s="39" t="b">
        <v>0</v>
      </c>
      <c r="L91" s="39" t="s">
        <v>548</v>
      </c>
      <c r="M91" s="39"/>
      <c r="N91" t="s">
        <v>548</v>
      </c>
      <c r="O91" t="s">
        <v>549</v>
      </c>
      <c r="P91" t="s">
        <v>43</v>
      </c>
      <c r="Q91" s="39" t="s">
        <v>28</v>
      </c>
      <c r="R91" s="39" t="s">
        <v>45</v>
      </c>
      <c r="S91" s="39" t="s">
        <v>550</v>
      </c>
      <c r="T91" s="39"/>
      <c r="U91" s="39"/>
      <c r="V91" s="39"/>
      <c r="W91" s="39" t="s">
        <v>551</v>
      </c>
      <c r="X91" s="39" t="s">
        <v>552</v>
      </c>
      <c r="Y91" s="39" t="s">
        <v>68</v>
      </c>
      <c r="Z91" s="39" t="s">
        <v>32</v>
      </c>
      <c r="AA91" s="39"/>
      <c r="AB91" s="44">
        <v>62857991691857</v>
      </c>
      <c r="AC91" s="39"/>
      <c r="AD91" s="39"/>
      <c r="AE91" s="39" t="s">
        <v>553</v>
      </c>
      <c r="AF91" s="39"/>
      <c r="AG91" s="39" t="s">
        <v>123</v>
      </c>
      <c r="AH91" s="39" t="s">
        <v>1903</v>
      </c>
      <c r="AI91" s="39" t="s">
        <v>124</v>
      </c>
      <c r="AJ91" s="39" t="s">
        <v>1915</v>
      </c>
      <c r="AK91" t="b">
        <f t="shared" si="3"/>
        <v>1</v>
      </c>
      <c r="AL91" t="b">
        <f t="shared" si="4"/>
        <v>1</v>
      </c>
      <c r="AN91" t="e">
        <v>#N/A</v>
      </c>
      <c r="AP91" t="e">
        <f>_xlfn.XLOOKUP(F91,'Kolom info id dse &amp; part cd'!D:D,'Kolom info id dse &amp; part cd'!I:I)</f>
        <v>#N/A</v>
      </c>
      <c r="AQ91" t="e">
        <f t="shared" si="5"/>
        <v>#N/A</v>
      </c>
      <c r="AR91">
        <f>_xlfn.XLOOKUP($E91,'[1]Referensi New'!$D:$D,'[1]Referensi New'!$V:$V)</f>
        <v>2613050977</v>
      </c>
    </row>
    <row r="92" spans="1:44" ht="16">
      <c r="A92" s="39" t="s">
        <v>20</v>
      </c>
      <c r="B92" s="39" t="s">
        <v>21</v>
      </c>
      <c r="C92" s="39" t="s">
        <v>70</v>
      </c>
      <c r="D92" s="39" t="s">
        <v>526</v>
      </c>
      <c r="E92" s="39" t="s">
        <v>527</v>
      </c>
      <c r="F92" s="39" t="s">
        <v>528</v>
      </c>
      <c r="G92" s="39" t="s">
        <v>529</v>
      </c>
      <c r="H92" s="39" t="s">
        <v>75</v>
      </c>
      <c r="I92" s="39" t="b">
        <v>0</v>
      </c>
      <c r="J92" s="39" t="s">
        <v>75</v>
      </c>
      <c r="K92" s="39" t="b">
        <v>0</v>
      </c>
      <c r="L92" s="39" t="s">
        <v>554</v>
      </c>
      <c r="M92" s="39"/>
      <c r="N92" t="s">
        <v>554</v>
      </c>
      <c r="O92" t="s">
        <v>555</v>
      </c>
      <c r="P92" t="s">
        <v>43</v>
      </c>
      <c r="Q92" s="39" t="s">
        <v>28</v>
      </c>
      <c r="R92" s="39" t="s">
        <v>45</v>
      </c>
      <c r="S92" s="39" t="s">
        <v>556</v>
      </c>
      <c r="T92" s="39"/>
      <c r="U92" s="39"/>
      <c r="V92" s="39"/>
      <c r="W92" s="39" t="s">
        <v>557</v>
      </c>
      <c r="X92" s="39" t="s">
        <v>558</v>
      </c>
      <c r="Y92" s="39" t="s">
        <v>68</v>
      </c>
      <c r="Z92" s="39" t="s">
        <v>32</v>
      </c>
      <c r="AA92" s="39"/>
      <c r="AB92" s="44">
        <v>62856943338887</v>
      </c>
      <c r="AC92" s="39"/>
      <c r="AD92" s="39"/>
      <c r="AE92" s="39" t="s">
        <v>559</v>
      </c>
      <c r="AF92" s="39"/>
      <c r="AG92" s="39" t="s">
        <v>528</v>
      </c>
      <c r="AH92" s="39" t="s">
        <v>1903</v>
      </c>
      <c r="AI92" s="39" t="s">
        <v>529</v>
      </c>
      <c r="AJ92" s="39" t="s">
        <v>1915</v>
      </c>
      <c r="AK92" t="b">
        <f t="shared" si="3"/>
        <v>1</v>
      </c>
      <c r="AL92" t="b">
        <f t="shared" si="4"/>
        <v>1</v>
      </c>
      <c r="AN92" t="e">
        <v>#N/A</v>
      </c>
      <c r="AP92" t="e">
        <f>_xlfn.XLOOKUP(F92,'Kolom info id dse &amp; part cd'!D:D,'Kolom info id dse &amp; part cd'!I:I)</f>
        <v>#N/A</v>
      </c>
      <c r="AQ92" t="e">
        <f t="shared" si="5"/>
        <v>#N/A</v>
      </c>
      <c r="AR92" t="str">
        <f>_xlfn.XLOOKUP($E92,'[1]Referensi New'!$D:$D,'[1]Referensi New'!$V:$V)</f>
        <v>CSOBUANAJKP01</v>
      </c>
    </row>
    <row r="93" spans="1:44" ht="16">
      <c r="A93" s="39" t="s">
        <v>20</v>
      </c>
      <c r="B93" s="39" t="s">
        <v>21</v>
      </c>
      <c r="C93" s="39" t="s">
        <v>70</v>
      </c>
      <c r="D93" s="39" t="s">
        <v>121</v>
      </c>
      <c r="E93" s="39" t="s">
        <v>122</v>
      </c>
      <c r="F93" s="39" t="s">
        <v>123</v>
      </c>
      <c r="G93" s="39" t="s">
        <v>124</v>
      </c>
      <c r="H93" s="39" t="s">
        <v>75</v>
      </c>
      <c r="I93" s="39" t="b">
        <v>0</v>
      </c>
      <c r="J93" s="39" t="s">
        <v>75</v>
      </c>
      <c r="K93" s="39" t="b">
        <v>0</v>
      </c>
      <c r="L93" s="39" t="s">
        <v>560</v>
      </c>
      <c r="M93" s="39"/>
      <c r="N93" t="s">
        <v>560</v>
      </c>
      <c r="O93" t="s">
        <v>561</v>
      </c>
      <c r="P93" t="s">
        <v>43</v>
      </c>
      <c r="Q93" s="39" t="s">
        <v>28</v>
      </c>
      <c r="R93" s="39" t="s">
        <v>45</v>
      </c>
      <c r="S93" s="39" t="s">
        <v>562</v>
      </c>
      <c r="T93" s="39"/>
      <c r="U93" s="39"/>
      <c r="V93" s="39"/>
      <c r="W93" s="39" t="s">
        <v>563</v>
      </c>
      <c r="X93" s="39" t="s">
        <v>564</v>
      </c>
      <c r="Y93" s="39" t="s">
        <v>68</v>
      </c>
      <c r="Z93" s="39" t="s">
        <v>32</v>
      </c>
      <c r="AA93" s="39"/>
      <c r="AB93" s="44">
        <v>62858606096957</v>
      </c>
      <c r="AC93" s="39"/>
      <c r="AD93" s="39"/>
      <c r="AE93" s="39" t="s">
        <v>565</v>
      </c>
      <c r="AF93" s="39"/>
      <c r="AG93" s="39" t="s">
        <v>123</v>
      </c>
      <c r="AH93" s="39" t="s">
        <v>1903</v>
      </c>
      <c r="AI93" s="39" t="s">
        <v>124</v>
      </c>
      <c r="AJ93" s="39" t="s">
        <v>1915</v>
      </c>
      <c r="AK93" t="b">
        <f t="shared" si="3"/>
        <v>1</v>
      </c>
      <c r="AL93" t="b">
        <f t="shared" si="4"/>
        <v>1</v>
      </c>
      <c r="AN93" t="e">
        <v>#N/A</v>
      </c>
      <c r="AP93" t="e">
        <f>_xlfn.XLOOKUP(F93,'Kolom info id dse &amp; part cd'!D:D,'Kolom info id dse &amp; part cd'!I:I)</f>
        <v>#N/A</v>
      </c>
      <c r="AQ93" t="e">
        <f t="shared" si="5"/>
        <v>#N/A</v>
      </c>
      <c r="AR93">
        <f>_xlfn.XLOOKUP($E93,'[1]Referensi New'!$D:$D,'[1]Referensi New'!$V:$V)</f>
        <v>2613050977</v>
      </c>
    </row>
    <row r="94" spans="1:44" ht="16">
      <c r="A94" s="39" t="s">
        <v>20</v>
      </c>
      <c r="B94" s="39" t="s">
        <v>21</v>
      </c>
      <c r="C94" s="39" t="s">
        <v>70</v>
      </c>
      <c r="D94" s="39" t="s">
        <v>121</v>
      </c>
      <c r="E94" s="39" t="s">
        <v>122</v>
      </c>
      <c r="F94" s="39" t="s">
        <v>123</v>
      </c>
      <c r="G94" s="39" t="s">
        <v>124</v>
      </c>
      <c r="H94" s="39" t="s">
        <v>75</v>
      </c>
      <c r="I94" s="39" t="b">
        <v>0</v>
      </c>
      <c r="J94" s="39" t="s">
        <v>75</v>
      </c>
      <c r="K94" s="39" t="b">
        <v>0</v>
      </c>
      <c r="L94" s="39" t="s">
        <v>566</v>
      </c>
      <c r="M94" s="39"/>
      <c r="N94" t="s">
        <v>566</v>
      </c>
      <c r="O94" t="s">
        <v>567</v>
      </c>
      <c r="P94" t="s">
        <v>43</v>
      </c>
      <c r="Q94" s="39" t="s">
        <v>28</v>
      </c>
      <c r="R94" s="39" t="s">
        <v>45</v>
      </c>
      <c r="S94" s="39" t="s">
        <v>568</v>
      </c>
      <c r="T94" s="39"/>
      <c r="U94" s="39"/>
      <c r="V94" s="39"/>
      <c r="W94" s="39" t="s">
        <v>569</v>
      </c>
      <c r="X94" s="39" t="s">
        <v>570</v>
      </c>
      <c r="Y94" s="39" t="s">
        <v>68</v>
      </c>
      <c r="Z94" s="39" t="s">
        <v>32</v>
      </c>
      <c r="AA94" s="39"/>
      <c r="AB94" s="44">
        <v>62857773555597</v>
      </c>
      <c r="AC94" s="39"/>
      <c r="AD94" s="39"/>
      <c r="AE94" s="39" t="s">
        <v>571</v>
      </c>
      <c r="AF94" s="39"/>
      <c r="AG94" s="39" t="s">
        <v>123</v>
      </c>
      <c r="AH94" s="39" t="s">
        <v>1903</v>
      </c>
      <c r="AI94" s="39" t="s">
        <v>124</v>
      </c>
      <c r="AJ94" s="39" t="s">
        <v>1915</v>
      </c>
      <c r="AK94" t="b">
        <f t="shared" si="3"/>
        <v>1</v>
      </c>
      <c r="AL94" t="b">
        <f t="shared" si="4"/>
        <v>1</v>
      </c>
      <c r="AN94" t="e">
        <v>#N/A</v>
      </c>
      <c r="AP94" t="e">
        <f>_xlfn.XLOOKUP(F94,'Kolom info id dse &amp; part cd'!D:D,'Kolom info id dse &amp; part cd'!I:I)</f>
        <v>#N/A</v>
      </c>
      <c r="AQ94" t="e">
        <f t="shared" si="5"/>
        <v>#N/A</v>
      </c>
      <c r="AR94">
        <f>_xlfn.XLOOKUP($E94,'[1]Referensi New'!$D:$D,'[1]Referensi New'!$V:$V)</f>
        <v>2613050977</v>
      </c>
    </row>
    <row r="95" spans="1:44" ht="16">
      <c r="A95" s="39" t="s">
        <v>20</v>
      </c>
      <c r="B95" s="39" t="s">
        <v>21</v>
      </c>
      <c r="C95" s="39" t="s">
        <v>70</v>
      </c>
      <c r="D95" s="39" t="s">
        <v>121</v>
      </c>
      <c r="E95" s="39" t="s">
        <v>122</v>
      </c>
      <c r="F95" s="39" t="s">
        <v>123</v>
      </c>
      <c r="G95" s="39" t="s">
        <v>124</v>
      </c>
      <c r="H95" s="39" t="s">
        <v>75</v>
      </c>
      <c r="I95" s="39" t="b">
        <v>0</v>
      </c>
      <c r="J95" s="39" t="s">
        <v>75</v>
      </c>
      <c r="K95" s="39" t="b">
        <v>0</v>
      </c>
      <c r="L95" s="39" t="s">
        <v>572</v>
      </c>
      <c r="M95" s="39"/>
      <c r="N95" t="s">
        <v>572</v>
      </c>
      <c r="O95" t="s">
        <v>573</v>
      </c>
      <c r="P95" t="s">
        <v>43</v>
      </c>
      <c r="Q95" s="39" t="s">
        <v>28</v>
      </c>
      <c r="R95" s="39" t="s">
        <v>45</v>
      </c>
      <c r="S95" s="39" t="s">
        <v>574</v>
      </c>
      <c r="T95" s="39"/>
      <c r="U95" s="39"/>
      <c r="V95" s="39"/>
      <c r="W95" s="39" t="s">
        <v>575</v>
      </c>
      <c r="X95" s="39" t="s">
        <v>576</v>
      </c>
      <c r="Y95" s="39" t="s">
        <v>68</v>
      </c>
      <c r="Z95" s="39" t="s">
        <v>32</v>
      </c>
      <c r="AA95" s="39"/>
      <c r="AB95" s="44">
        <v>62858131344137</v>
      </c>
      <c r="AC95" s="39"/>
      <c r="AD95" s="39"/>
      <c r="AE95" s="39" t="s">
        <v>577</v>
      </c>
      <c r="AF95" s="39"/>
      <c r="AG95" s="39" t="s">
        <v>123</v>
      </c>
      <c r="AH95" s="39" t="s">
        <v>1903</v>
      </c>
      <c r="AI95" s="39" t="s">
        <v>124</v>
      </c>
      <c r="AJ95" s="39" t="s">
        <v>1915</v>
      </c>
      <c r="AK95" t="b">
        <f t="shared" si="3"/>
        <v>1</v>
      </c>
      <c r="AL95" t="b">
        <f t="shared" si="4"/>
        <v>1</v>
      </c>
      <c r="AN95" t="e">
        <v>#N/A</v>
      </c>
      <c r="AP95" t="e">
        <f>_xlfn.XLOOKUP(F95,'Kolom info id dse &amp; part cd'!D:D,'Kolom info id dse &amp; part cd'!I:I)</f>
        <v>#N/A</v>
      </c>
      <c r="AQ95" t="e">
        <f t="shared" si="5"/>
        <v>#N/A</v>
      </c>
      <c r="AR95">
        <f>_xlfn.XLOOKUP($E95,'[1]Referensi New'!$D:$D,'[1]Referensi New'!$V:$V)</f>
        <v>2613050977</v>
      </c>
    </row>
    <row r="96" spans="1:44" ht="16">
      <c r="A96" s="39" t="s">
        <v>20</v>
      </c>
      <c r="B96" s="39" t="s">
        <v>21</v>
      </c>
      <c r="C96" s="39" t="s">
        <v>70</v>
      </c>
      <c r="D96" s="39" t="s">
        <v>121</v>
      </c>
      <c r="E96" s="39" t="s">
        <v>122</v>
      </c>
      <c r="F96" s="39" t="s">
        <v>123</v>
      </c>
      <c r="G96" s="39" t="s">
        <v>124</v>
      </c>
      <c r="H96" s="39" t="s">
        <v>75</v>
      </c>
      <c r="I96" s="39" t="b">
        <v>0</v>
      </c>
      <c r="J96" s="39" t="s">
        <v>75</v>
      </c>
      <c r="K96" s="39" t="b">
        <v>0</v>
      </c>
      <c r="L96" s="39" t="s">
        <v>578</v>
      </c>
      <c r="M96" s="39"/>
      <c r="N96" t="s">
        <v>578</v>
      </c>
      <c r="O96" t="s">
        <v>579</v>
      </c>
      <c r="P96" t="s">
        <v>43</v>
      </c>
      <c r="Q96" s="39" t="s">
        <v>28</v>
      </c>
      <c r="R96" s="39" t="s">
        <v>45</v>
      </c>
      <c r="S96" s="39" t="s">
        <v>580</v>
      </c>
      <c r="T96" s="39"/>
      <c r="U96" s="39"/>
      <c r="V96" s="39"/>
      <c r="W96" s="39" t="s">
        <v>581</v>
      </c>
      <c r="X96" s="39" t="s">
        <v>582</v>
      </c>
      <c r="Y96" s="39" t="s">
        <v>68</v>
      </c>
      <c r="Z96" s="39" t="s">
        <v>32</v>
      </c>
      <c r="AA96" s="39"/>
      <c r="AB96" s="44">
        <v>62858831083737</v>
      </c>
      <c r="AC96" s="39"/>
      <c r="AD96" s="39"/>
      <c r="AE96" s="39" t="s">
        <v>583</v>
      </c>
      <c r="AF96" s="39"/>
      <c r="AG96" s="39" t="s">
        <v>123</v>
      </c>
      <c r="AH96" s="39" t="s">
        <v>1903</v>
      </c>
      <c r="AI96" s="39" t="s">
        <v>124</v>
      </c>
      <c r="AJ96" s="39" t="s">
        <v>1915</v>
      </c>
      <c r="AK96" t="b">
        <f t="shared" si="3"/>
        <v>1</v>
      </c>
      <c r="AL96" t="b">
        <f t="shared" si="4"/>
        <v>1</v>
      </c>
      <c r="AN96" t="e">
        <v>#N/A</v>
      </c>
      <c r="AP96" t="e">
        <f>_xlfn.XLOOKUP(F96,'Kolom info id dse &amp; part cd'!D:D,'Kolom info id dse &amp; part cd'!I:I)</f>
        <v>#N/A</v>
      </c>
      <c r="AQ96" t="e">
        <f t="shared" si="5"/>
        <v>#N/A</v>
      </c>
      <c r="AR96">
        <f>_xlfn.XLOOKUP($E96,'[1]Referensi New'!$D:$D,'[1]Referensi New'!$V:$V)</f>
        <v>2613050977</v>
      </c>
    </row>
    <row r="97" spans="1:44" ht="16">
      <c r="A97" s="39" t="s">
        <v>20</v>
      </c>
      <c r="B97" s="39" t="s">
        <v>21</v>
      </c>
      <c r="C97" s="39" t="s">
        <v>70</v>
      </c>
      <c r="D97" s="39" t="s">
        <v>121</v>
      </c>
      <c r="E97" s="39" t="s">
        <v>122</v>
      </c>
      <c r="F97" s="39" t="s">
        <v>123</v>
      </c>
      <c r="G97" s="39" t="s">
        <v>124</v>
      </c>
      <c r="H97" s="39" t="s">
        <v>75</v>
      </c>
      <c r="I97" s="39" t="b">
        <v>0</v>
      </c>
      <c r="J97" s="39" t="s">
        <v>75</v>
      </c>
      <c r="K97" s="39" t="b">
        <v>0</v>
      </c>
      <c r="L97" s="39" t="s">
        <v>584</v>
      </c>
      <c r="M97" s="39"/>
      <c r="N97" t="s">
        <v>584</v>
      </c>
      <c r="O97" t="s">
        <v>585</v>
      </c>
      <c r="P97" t="s">
        <v>43</v>
      </c>
      <c r="Q97" s="39" t="s">
        <v>28</v>
      </c>
      <c r="R97" s="39" t="s">
        <v>45</v>
      </c>
      <c r="S97" s="39" t="s">
        <v>586</v>
      </c>
      <c r="T97" s="39"/>
      <c r="U97" s="39"/>
      <c r="V97" s="39"/>
      <c r="W97" s="39" t="s">
        <v>587</v>
      </c>
      <c r="X97" s="39" t="s">
        <v>588</v>
      </c>
      <c r="Y97" s="39" t="s">
        <v>68</v>
      </c>
      <c r="Z97" s="39" t="s">
        <v>32</v>
      </c>
      <c r="AA97" s="39"/>
      <c r="AB97" s="44">
        <v>62857765271617</v>
      </c>
      <c r="AC97" s="39"/>
      <c r="AD97" s="39"/>
      <c r="AE97" s="39" t="s">
        <v>589</v>
      </c>
      <c r="AF97" s="39"/>
      <c r="AG97" s="39" t="s">
        <v>123</v>
      </c>
      <c r="AH97" s="39" t="s">
        <v>1903</v>
      </c>
      <c r="AI97" s="39" t="s">
        <v>124</v>
      </c>
      <c r="AJ97" s="39" t="s">
        <v>1915</v>
      </c>
      <c r="AK97" t="b">
        <f t="shared" si="3"/>
        <v>1</v>
      </c>
      <c r="AL97" t="b">
        <f t="shared" si="4"/>
        <v>1</v>
      </c>
      <c r="AN97" t="e">
        <v>#N/A</v>
      </c>
      <c r="AP97" t="e">
        <f>_xlfn.XLOOKUP(F97,'Kolom info id dse &amp; part cd'!D:D,'Kolom info id dse &amp; part cd'!I:I)</f>
        <v>#N/A</v>
      </c>
      <c r="AQ97" t="e">
        <f t="shared" si="5"/>
        <v>#N/A</v>
      </c>
      <c r="AR97">
        <f>_xlfn.XLOOKUP($E97,'[1]Referensi New'!$D:$D,'[1]Referensi New'!$V:$V)</f>
        <v>2613050977</v>
      </c>
    </row>
    <row r="98" spans="1:44" ht="16">
      <c r="A98" s="39" t="s">
        <v>20</v>
      </c>
      <c r="B98" s="39" t="s">
        <v>21</v>
      </c>
      <c r="C98" s="39" t="s">
        <v>70</v>
      </c>
      <c r="D98" s="39" t="s">
        <v>526</v>
      </c>
      <c r="E98" s="39" t="s">
        <v>527</v>
      </c>
      <c r="F98" s="39" t="s">
        <v>528</v>
      </c>
      <c r="G98" s="39" t="s">
        <v>529</v>
      </c>
      <c r="H98" s="39" t="s">
        <v>75</v>
      </c>
      <c r="I98" s="39" t="b">
        <v>0</v>
      </c>
      <c r="J98" s="39" t="s">
        <v>75</v>
      </c>
      <c r="K98" s="39" t="b">
        <v>0</v>
      </c>
      <c r="L98" s="39" t="s">
        <v>590</v>
      </c>
      <c r="M98" s="39"/>
      <c r="N98" t="s">
        <v>590</v>
      </c>
      <c r="O98" t="s">
        <v>591</v>
      </c>
      <c r="P98" t="s">
        <v>43</v>
      </c>
      <c r="Q98" s="39" t="s">
        <v>28</v>
      </c>
      <c r="R98" s="39" t="s">
        <v>45</v>
      </c>
      <c r="S98" s="39" t="s">
        <v>592</v>
      </c>
      <c r="T98" s="39"/>
      <c r="U98" s="39"/>
      <c r="V98" s="39"/>
      <c r="W98" s="39" t="s">
        <v>593</v>
      </c>
      <c r="X98" s="39" t="s">
        <v>594</v>
      </c>
      <c r="Y98" s="39" t="s">
        <v>68</v>
      </c>
      <c r="Z98" s="39" t="s">
        <v>32</v>
      </c>
      <c r="AA98" s="39"/>
      <c r="AB98" s="44">
        <v>62857173737307</v>
      </c>
      <c r="AC98" s="39"/>
      <c r="AD98" s="39"/>
      <c r="AE98" s="39" t="s">
        <v>595</v>
      </c>
      <c r="AF98" s="39"/>
      <c r="AG98" s="39" t="s">
        <v>528</v>
      </c>
      <c r="AH98" s="39" t="s">
        <v>1903</v>
      </c>
      <c r="AI98" s="39" t="s">
        <v>529</v>
      </c>
      <c r="AJ98" s="39" t="s">
        <v>1915</v>
      </c>
      <c r="AK98" t="b">
        <f t="shared" si="3"/>
        <v>1</v>
      </c>
      <c r="AL98" t="b">
        <f t="shared" si="4"/>
        <v>1</v>
      </c>
      <c r="AN98" t="e">
        <v>#N/A</v>
      </c>
      <c r="AP98" t="e">
        <f>_xlfn.XLOOKUP(F98,'Kolom info id dse &amp; part cd'!D:D,'Kolom info id dse &amp; part cd'!I:I)</f>
        <v>#N/A</v>
      </c>
      <c r="AQ98" t="e">
        <f t="shared" si="5"/>
        <v>#N/A</v>
      </c>
      <c r="AR98" t="str">
        <f>_xlfn.XLOOKUP($E98,'[1]Referensi New'!$D:$D,'[1]Referensi New'!$V:$V)</f>
        <v>CSOBUANAJKP01</v>
      </c>
    </row>
    <row r="99" spans="1:44" ht="16">
      <c r="A99" s="39" t="s">
        <v>20</v>
      </c>
      <c r="B99" s="39" t="s">
        <v>21</v>
      </c>
      <c r="C99" s="39" t="s">
        <v>70</v>
      </c>
      <c r="D99" s="39" t="s">
        <v>121</v>
      </c>
      <c r="E99" s="39" t="s">
        <v>122</v>
      </c>
      <c r="F99" s="39" t="s">
        <v>123</v>
      </c>
      <c r="G99" s="39" t="s">
        <v>124</v>
      </c>
      <c r="H99" s="39" t="s">
        <v>75</v>
      </c>
      <c r="I99" s="39" t="b">
        <v>0</v>
      </c>
      <c r="J99" s="39" t="s">
        <v>75</v>
      </c>
      <c r="K99" s="39" t="b">
        <v>0</v>
      </c>
      <c r="L99" s="39" t="s">
        <v>596</v>
      </c>
      <c r="M99" s="39"/>
      <c r="N99" t="s">
        <v>596</v>
      </c>
      <c r="O99" t="s">
        <v>597</v>
      </c>
      <c r="P99" t="s">
        <v>43</v>
      </c>
      <c r="Q99" s="39" t="s">
        <v>28</v>
      </c>
      <c r="R99" s="39" t="s">
        <v>45</v>
      </c>
      <c r="S99" s="39" t="s">
        <v>598</v>
      </c>
      <c r="T99" s="39"/>
      <c r="U99" s="39"/>
      <c r="V99" s="39"/>
      <c r="W99" s="39" t="s">
        <v>599</v>
      </c>
      <c r="X99" s="39" t="s">
        <v>600</v>
      </c>
      <c r="Y99" s="39" t="s">
        <v>68</v>
      </c>
      <c r="Z99" s="39" t="s">
        <v>32</v>
      </c>
      <c r="AA99" s="39"/>
      <c r="AB99" s="44">
        <v>62858909225157</v>
      </c>
      <c r="AC99" s="39"/>
      <c r="AD99" s="39"/>
      <c r="AE99" s="39" t="s">
        <v>601</v>
      </c>
      <c r="AF99" s="39"/>
      <c r="AG99" s="39" t="s">
        <v>123</v>
      </c>
      <c r="AH99" s="39" t="s">
        <v>1903</v>
      </c>
      <c r="AI99" s="39" t="s">
        <v>124</v>
      </c>
      <c r="AJ99" s="39" t="s">
        <v>1915</v>
      </c>
      <c r="AK99" t="b">
        <f t="shared" si="3"/>
        <v>1</v>
      </c>
      <c r="AL99" t="b">
        <f t="shared" si="4"/>
        <v>1</v>
      </c>
      <c r="AN99" t="e">
        <v>#N/A</v>
      </c>
      <c r="AP99" t="e">
        <f>_xlfn.XLOOKUP(F99,'Kolom info id dse &amp; part cd'!D:D,'Kolom info id dse &amp; part cd'!I:I)</f>
        <v>#N/A</v>
      </c>
      <c r="AQ99" t="e">
        <f t="shared" si="5"/>
        <v>#N/A</v>
      </c>
      <c r="AR99">
        <f>_xlfn.XLOOKUP($E99,'[1]Referensi New'!$D:$D,'[1]Referensi New'!$V:$V)</f>
        <v>2613050977</v>
      </c>
    </row>
    <row r="100" spans="1:44" ht="16">
      <c r="A100" s="39" t="s">
        <v>20</v>
      </c>
      <c r="B100" s="39" t="s">
        <v>21</v>
      </c>
      <c r="C100" s="39" t="s">
        <v>130</v>
      </c>
      <c r="D100" s="39" t="s">
        <v>131</v>
      </c>
      <c r="E100" s="39" t="s">
        <v>132</v>
      </c>
      <c r="F100" s="39" t="s">
        <v>133</v>
      </c>
      <c r="G100" s="39" t="s">
        <v>134</v>
      </c>
      <c r="H100" s="39" t="s">
        <v>135</v>
      </c>
      <c r="I100" s="39" t="b">
        <v>0</v>
      </c>
      <c r="J100" s="39" t="s">
        <v>135</v>
      </c>
      <c r="K100" s="39" t="b">
        <v>0</v>
      </c>
      <c r="L100" s="39" t="s">
        <v>602</v>
      </c>
      <c r="M100" s="39"/>
      <c r="N100" t="s">
        <v>602</v>
      </c>
      <c r="O100" t="s">
        <v>603</v>
      </c>
      <c r="P100" t="s">
        <v>43</v>
      </c>
      <c r="Q100" s="39" t="s">
        <v>88</v>
      </c>
      <c r="R100" s="39" t="s">
        <v>45</v>
      </c>
      <c r="S100" s="39" t="s">
        <v>604</v>
      </c>
      <c r="T100" s="39" t="s">
        <v>604</v>
      </c>
      <c r="U100" s="39" t="s">
        <v>604</v>
      </c>
      <c r="V100" s="39" t="b">
        <v>0</v>
      </c>
      <c r="W100" s="39" t="s">
        <v>605</v>
      </c>
      <c r="X100" s="39" t="s">
        <v>606</v>
      </c>
      <c r="Y100" s="39" t="s">
        <v>310</v>
      </c>
      <c r="Z100" s="39" t="s">
        <v>32</v>
      </c>
      <c r="AA100" s="39"/>
      <c r="AB100" s="44">
        <v>6285882641933</v>
      </c>
      <c r="AC100" s="39" t="s">
        <v>607</v>
      </c>
      <c r="AD100" s="39" t="s">
        <v>312</v>
      </c>
      <c r="AE100" s="39" t="s">
        <v>608</v>
      </c>
      <c r="AF100" s="39" t="s">
        <v>609</v>
      </c>
      <c r="AG100" s="39" t="s">
        <v>133</v>
      </c>
      <c r="AH100" s="39" t="s">
        <v>1905</v>
      </c>
      <c r="AI100" s="39" t="s">
        <v>134</v>
      </c>
      <c r="AJ100" s="39" t="s">
        <v>1916</v>
      </c>
      <c r="AK100" t="b">
        <f t="shared" si="3"/>
        <v>1</v>
      </c>
      <c r="AL100" t="b">
        <f t="shared" si="4"/>
        <v>1</v>
      </c>
      <c r="AN100" t="e">
        <v>#N/A</v>
      </c>
      <c r="AP100" t="e">
        <f>_xlfn.XLOOKUP(F100,'Kolom info id dse &amp; part cd'!D:D,'Kolom info id dse &amp; part cd'!I:I)</f>
        <v>#N/A</v>
      </c>
      <c r="AQ100" t="e">
        <f t="shared" si="5"/>
        <v>#N/A</v>
      </c>
      <c r="AR100">
        <f>_xlfn.XLOOKUP($E100,'[1]Referensi New'!$D:$D,'[1]Referensi New'!$V:$V)</f>
        <v>2613050980</v>
      </c>
    </row>
    <row r="101" spans="1:44" ht="16">
      <c r="A101" s="39" t="s">
        <v>20</v>
      </c>
      <c r="B101" s="39" t="s">
        <v>21</v>
      </c>
      <c r="C101" s="39" t="s">
        <v>130</v>
      </c>
      <c r="D101" s="39" t="s">
        <v>151</v>
      </c>
      <c r="E101" s="39" t="s">
        <v>152</v>
      </c>
      <c r="F101" s="39" t="s">
        <v>153</v>
      </c>
      <c r="G101" s="39" t="s">
        <v>154</v>
      </c>
      <c r="H101" s="39" t="s">
        <v>135</v>
      </c>
      <c r="I101" s="39" t="b">
        <v>0</v>
      </c>
      <c r="J101" s="39" t="s">
        <v>135</v>
      </c>
      <c r="K101" s="39" t="b">
        <v>0</v>
      </c>
      <c r="L101" s="39" t="s">
        <v>610</v>
      </c>
      <c r="M101" s="39"/>
      <c r="N101" t="s">
        <v>610</v>
      </c>
      <c r="O101" t="s">
        <v>611</v>
      </c>
      <c r="P101" t="s">
        <v>43</v>
      </c>
      <c r="Q101" s="39" t="s">
        <v>88</v>
      </c>
      <c r="R101" s="39" t="s">
        <v>45</v>
      </c>
      <c r="S101" s="39" t="s">
        <v>612</v>
      </c>
      <c r="T101" s="39" t="s">
        <v>612</v>
      </c>
      <c r="U101" s="39" t="s">
        <v>612</v>
      </c>
      <c r="V101" s="39" t="b">
        <v>0</v>
      </c>
      <c r="W101" s="39" t="s">
        <v>613</v>
      </c>
      <c r="X101" s="39" t="s">
        <v>614</v>
      </c>
      <c r="Y101" s="39" t="s">
        <v>310</v>
      </c>
      <c r="Z101" s="39" t="s">
        <v>32</v>
      </c>
      <c r="AA101" s="39"/>
      <c r="AB101" s="44">
        <v>6285719720181</v>
      </c>
      <c r="AC101" s="39" t="s">
        <v>615</v>
      </c>
      <c r="AD101" s="39" t="s">
        <v>312</v>
      </c>
      <c r="AE101" s="39" t="s">
        <v>616</v>
      </c>
      <c r="AF101" s="39" t="s">
        <v>609</v>
      </c>
      <c r="AG101" s="39" t="s">
        <v>153</v>
      </c>
      <c r="AH101" s="39" t="s">
        <v>1905</v>
      </c>
      <c r="AI101" s="39" t="s">
        <v>154</v>
      </c>
      <c r="AJ101" s="39" t="s">
        <v>1917</v>
      </c>
      <c r="AK101" t="b">
        <f t="shared" si="3"/>
        <v>1</v>
      </c>
      <c r="AL101" t="b">
        <f t="shared" si="4"/>
        <v>1</v>
      </c>
      <c r="AN101" t="e">
        <v>#N/A</v>
      </c>
      <c r="AP101" t="e">
        <f>_xlfn.XLOOKUP(F101,'Kolom info id dse &amp; part cd'!D:D,'Kolom info id dse &amp; part cd'!I:I)</f>
        <v>#N/A</v>
      </c>
      <c r="AQ101" t="e">
        <f t="shared" si="5"/>
        <v>#N/A</v>
      </c>
      <c r="AR101">
        <f>_xlfn.XLOOKUP($E101,'[1]Referensi New'!$D:$D,'[1]Referensi New'!$V:$V)</f>
        <v>2613050983</v>
      </c>
    </row>
    <row r="102" spans="1:44" ht="16">
      <c r="A102" s="39" t="s">
        <v>20</v>
      </c>
      <c r="B102" s="39" t="s">
        <v>21</v>
      </c>
      <c r="C102" s="39" t="s">
        <v>130</v>
      </c>
      <c r="D102" s="39" t="s">
        <v>131</v>
      </c>
      <c r="E102" s="39" t="s">
        <v>132</v>
      </c>
      <c r="F102" s="39" t="s">
        <v>133</v>
      </c>
      <c r="G102" s="39" t="s">
        <v>134</v>
      </c>
      <c r="H102" s="39" t="s">
        <v>135</v>
      </c>
      <c r="I102" s="39" t="b">
        <v>0</v>
      </c>
      <c r="J102" s="39" t="s">
        <v>135</v>
      </c>
      <c r="K102" s="39" t="b">
        <v>0</v>
      </c>
      <c r="L102" s="39" t="s">
        <v>617</v>
      </c>
      <c r="M102" s="39"/>
      <c r="N102" t="s">
        <v>617</v>
      </c>
      <c r="O102" t="s">
        <v>618</v>
      </c>
      <c r="P102" t="s">
        <v>43</v>
      </c>
      <c r="Q102" s="39" t="s">
        <v>88</v>
      </c>
      <c r="R102" s="39" t="s">
        <v>45</v>
      </c>
      <c r="S102" s="39" t="s">
        <v>619</v>
      </c>
      <c r="T102" s="39" t="s">
        <v>619</v>
      </c>
      <c r="U102" s="39" t="s">
        <v>619</v>
      </c>
      <c r="V102" s="39" t="b">
        <v>0</v>
      </c>
      <c r="W102" s="39" t="s">
        <v>620</v>
      </c>
      <c r="X102" s="39" t="s">
        <v>621</v>
      </c>
      <c r="Y102" s="39" t="s">
        <v>310</v>
      </c>
      <c r="Z102" s="39" t="s">
        <v>32</v>
      </c>
      <c r="AA102" s="39"/>
      <c r="AB102" s="44">
        <v>6285773051597</v>
      </c>
      <c r="AC102" s="39" t="s">
        <v>622</v>
      </c>
      <c r="AD102" s="39" t="s">
        <v>312</v>
      </c>
      <c r="AE102" s="39" t="s">
        <v>623</v>
      </c>
      <c r="AF102" s="39" t="s">
        <v>609</v>
      </c>
      <c r="AG102" s="39" t="s">
        <v>133</v>
      </c>
      <c r="AH102" s="39" t="s">
        <v>1905</v>
      </c>
      <c r="AI102" s="39" t="s">
        <v>134</v>
      </c>
      <c r="AJ102" s="39" t="s">
        <v>1916</v>
      </c>
      <c r="AK102" t="b">
        <f t="shared" si="3"/>
        <v>1</v>
      </c>
      <c r="AL102" t="b">
        <f t="shared" si="4"/>
        <v>1</v>
      </c>
      <c r="AN102" t="e">
        <v>#N/A</v>
      </c>
      <c r="AP102" t="e">
        <f>_xlfn.XLOOKUP(F102,'Kolom info id dse &amp; part cd'!D:D,'Kolom info id dse &amp; part cd'!I:I)</f>
        <v>#N/A</v>
      </c>
      <c r="AQ102" t="e">
        <f t="shared" si="5"/>
        <v>#N/A</v>
      </c>
      <c r="AR102">
        <f>_xlfn.XLOOKUP($E102,'[1]Referensi New'!$D:$D,'[1]Referensi New'!$V:$V)</f>
        <v>2613050980</v>
      </c>
    </row>
    <row r="103" spans="1:44" ht="16">
      <c r="A103" s="39" t="s">
        <v>20</v>
      </c>
      <c r="B103" s="39" t="s">
        <v>21</v>
      </c>
      <c r="C103" s="39" t="s">
        <v>130</v>
      </c>
      <c r="D103" s="39" t="s">
        <v>151</v>
      </c>
      <c r="E103" s="39" t="s">
        <v>152</v>
      </c>
      <c r="F103" s="39" t="s">
        <v>153</v>
      </c>
      <c r="G103" s="39" t="s">
        <v>154</v>
      </c>
      <c r="H103" s="39" t="s">
        <v>135</v>
      </c>
      <c r="I103" s="39" t="b">
        <v>0</v>
      </c>
      <c r="J103" s="39" t="s">
        <v>135</v>
      </c>
      <c r="K103" s="39" t="b">
        <v>0</v>
      </c>
      <c r="L103" s="39" t="s">
        <v>624</v>
      </c>
      <c r="M103" s="39"/>
      <c r="N103" t="s">
        <v>624</v>
      </c>
      <c r="O103" t="s">
        <v>625</v>
      </c>
      <c r="P103" t="s">
        <v>43</v>
      </c>
      <c r="Q103" s="39" t="s">
        <v>88</v>
      </c>
      <c r="R103" s="39" t="s">
        <v>45</v>
      </c>
      <c r="S103" s="39" t="s">
        <v>626</v>
      </c>
      <c r="T103" s="39" t="s">
        <v>626</v>
      </c>
      <c r="U103" s="39" t="s">
        <v>626</v>
      </c>
      <c r="V103" s="39" t="b">
        <v>0</v>
      </c>
      <c r="W103" s="39" t="s">
        <v>627</v>
      </c>
      <c r="X103" s="39" t="s">
        <v>628</v>
      </c>
      <c r="Y103" s="39" t="s">
        <v>310</v>
      </c>
      <c r="Z103" s="39" t="s">
        <v>32</v>
      </c>
      <c r="AA103" s="39"/>
      <c r="AB103" s="44">
        <v>62981585552228</v>
      </c>
      <c r="AC103" s="39" t="s">
        <v>629</v>
      </c>
      <c r="AD103" s="39" t="s">
        <v>312</v>
      </c>
      <c r="AE103" s="39" t="s">
        <v>630</v>
      </c>
      <c r="AF103" s="39" t="s">
        <v>609</v>
      </c>
      <c r="AG103" s="39" t="s">
        <v>153</v>
      </c>
      <c r="AH103" s="39" t="s">
        <v>1905</v>
      </c>
      <c r="AI103" s="39" t="s">
        <v>154</v>
      </c>
      <c r="AJ103" s="39" t="s">
        <v>1917</v>
      </c>
      <c r="AK103" t="b">
        <f t="shared" si="3"/>
        <v>1</v>
      </c>
      <c r="AL103" t="b">
        <f t="shared" si="4"/>
        <v>1</v>
      </c>
      <c r="AN103" t="e">
        <v>#N/A</v>
      </c>
      <c r="AP103" t="e">
        <f>_xlfn.XLOOKUP(F103,'Kolom info id dse &amp; part cd'!D:D,'Kolom info id dse &amp; part cd'!I:I)</f>
        <v>#N/A</v>
      </c>
      <c r="AQ103" t="e">
        <f t="shared" si="5"/>
        <v>#N/A</v>
      </c>
      <c r="AR103">
        <f>_xlfn.XLOOKUP($E103,'[1]Referensi New'!$D:$D,'[1]Referensi New'!$V:$V)</f>
        <v>2613050983</v>
      </c>
    </row>
    <row r="104" spans="1:44" ht="16">
      <c r="A104" s="39" t="s">
        <v>20</v>
      </c>
      <c r="B104" s="39" t="s">
        <v>21</v>
      </c>
      <c r="C104" s="39" t="s">
        <v>281</v>
      </c>
      <c r="D104" s="39" t="s">
        <v>282</v>
      </c>
      <c r="E104" s="39" t="s">
        <v>283</v>
      </c>
      <c r="F104" s="39" t="s">
        <v>284</v>
      </c>
      <c r="G104" s="39" t="s">
        <v>285</v>
      </c>
      <c r="H104" s="39" t="s">
        <v>63</v>
      </c>
      <c r="I104" s="39" t="b">
        <v>0</v>
      </c>
      <c r="J104" s="39" t="s">
        <v>63</v>
      </c>
      <c r="K104" s="39" t="b">
        <v>0</v>
      </c>
      <c r="L104" s="39" t="s">
        <v>669</v>
      </c>
      <c r="M104" s="39"/>
      <c r="N104" t="s">
        <v>669</v>
      </c>
      <c r="O104" t="s">
        <v>670</v>
      </c>
      <c r="P104" t="s">
        <v>43</v>
      </c>
      <c r="Q104" s="39" t="s">
        <v>28</v>
      </c>
      <c r="R104" s="39" t="s">
        <v>45</v>
      </c>
      <c r="S104" s="39" t="s">
        <v>671</v>
      </c>
      <c r="T104" s="39"/>
      <c r="U104" s="39"/>
      <c r="V104" s="39"/>
      <c r="W104" s="39" t="s">
        <v>672</v>
      </c>
      <c r="X104" s="39" t="s">
        <v>673</v>
      </c>
      <c r="Y104" s="39" t="s">
        <v>68</v>
      </c>
      <c r="Z104" s="39" t="s">
        <v>32</v>
      </c>
      <c r="AA104" s="39"/>
      <c r="AB104" s="44">
        <v>6280086422501</v>
      </c>
      <c r="AC104" s="39"/>
      <c r="AD104" s="39"/>
      <c r="AE104" s="39" t="s">
        <v>674</v>
      </c>
      <c r="AF104" s="39"/>
      <c r="AG104" s="39" t="s">
        <v>284</v>
      </c>
      <c r="AH104" s="39" t="s">
        <v>1902</v>
      </c>
      <c r="AI104" s="39" t="s">
        <v>285</v>
      </c>
      <c r="AJ104" s="39" t="s">
        <v>1921</v>
      </c>
      <c r="AK104" t="b">
        <f t="shared" si="3"/>
        <v>1</v>
      </c>
      <c r="AL104" t="b">
        <f t="shared" si="4"/>
        <v>1</v>
      </c>
      <c r="AN104" t="e">
        <v>#N/A</v>
      </c>
      <c r="AP104" t="e">
        <f>_xlfn.XLOOKUP(F104,'Kolom info id dse &amp; part cd'!D:D,'Kolom info id dse &amp; part cd'!I:I)</f>
        <v>#N/A</v>
      </c>
      <c r="AQ104" t="e">
        <f t="shared" si="5"/>
        <v>#N/A</v>
      </c>
      <c r="AR104">
        <f>_xlfn.XLOOKUP($E104,'[1]Referensi New'!$D:$D,'[1]Referensi New'!$V:$V)</f>
        <v>2613052261</v>
      </c>
    </row>
    <row r="105" spans="1:44" ht="16">
      <c r="A105" s="39" t="s">
        <v>20</v>
      </c>
      <c r="B105" s="39" t="s">
        <v>21</v>
      </c>
      <c r="C105" s="39" t="s">
        <v>281</v>
      </c>
      <c r="D105" s="39" t="s">
        <v>691</v>
      </c>
      <c r="E105" s="39" t="s">
        <v>692</v>
      </c>
      <c r="F105" s="39" t="s">
        <v>693</v>
      </c>
      <c r="G105" s="39" t="s">
        <v>694</v>
      </c>
      <c r="H105" s="39" t="s">
        <v>695</v>
      </c>
      <c r="I105" s="39" t="b">
        <v>0</v>
      </c>
      <c r="J105" s="39" t="s">
        <v>695</v>
      </c>
      <c r="K105" s="39" t="b">
        <v>0</v>
      </c>
      <c r="L105" s="39" t="s">
        <v>696</v>
      </c>
      <c r="M105" s="39"/>
      <c r="N105" t="s">
        <v>696</v>
      </c>
      <c r="O105" t="s">
        <v>697</v>
      </c>
      <c r="P105" t="s">
        <v>43</v>
      </c>
      <c r="Q105" s="39" t="s">
        <v>28</v>
      </c>
      <c r="R105" s="39" t="s">
        <v>45</v>
      </c>
      <c r="S105" s="39" t="s">
        <v>698</v>
      </c>
      <c r="T105" s="39"/>
      <c r="U105" s="39"/>
      <c r="V105" s="39"/>
      <c r="W105" s="39" t="s">
        <v>699</v>
      </c>
      <c r="X105" s="39" t="s">
        <v>700</v>
      </c>
      <c r="Y105" s="39" t="s">
        <v>119</v>
      </c>
      <c r="Z105" s="39" t="s">
        <v>32</v>
      </c>
      <c r="AA105" s="39"/>
      <c r="AB105" s="44">
        <v>6280086422505</v>
      </c>
      <c r="AC105" s="39"/>
      <c r="AD105" s="39"/>
      <c r="AE105" s="39" t="s">
        <v>701</v>
      </c>
      <c r="AF105" s="39"/>
      <c r="AG105" s="39" t="s">
        <v>693</v>
      </c>
      <c r="AH105" s="39" t="s">
        <v>1909</v>
      </c>
      <c r="AI105" s="39" t="s">
        <v>694</v>
      </c>
      <c r="AJ105" s="39" t="s">
        <v>1929</v>
      </c>
      <c r="AK105" t="b">
        <f t="shared" si="3"/>
        <v>1</v>
      </c>
      <c r="AL105" t="b">
        <f t="shared" si="4"/>
        <v>1</v>
      </c>
      <c r="AN105" t="e">
        <v>#N/A</v>
      </c>
      <c r="AP105" t="e">
        <f>_xlfn.XLOOKUP(F105,'Kolom info id dse &amp; part cd'!D:D,'Kolom info id dse &amp; part cd'!I:I)</f>
        <v>#N/A</v>
      </c>
      <c r="AQ105" t="e">
        <f t="shared" si="5"/>
        <v>#N/A</v>
      </c>
      <c r="AR105" t="str">
        <f>_xlfn.XLOOKUP($E105,'[1]Referensi New'!$D:$D,'[1]Referensi New'!$V:$V)</f>
        <v>CSO-LOKADPK20</v>
      </c>
    </row>
    <row r="106" spans="1:44" ht="16">
      <c r="A106" s="39" t="s">
        <v>20</v>
      </c>
      <c r="B106" s="39" t="s">
        <v>21</v>
      </c>
      <c r="C106" s="39" t="s">
        <v>281</v>
      </c>
      <c r="D106" s="39" t="s">
        <v>702</v>
      </c>
      <c r="E106" s="39" t="s">
        <v>703</v>
      </c>
      <c r="F106" s="39" t="s">
        <v>704</v>
      </c>
      <c r="G106" s="39" t="s">
        <v>705</v>
      </c>
      <c r="H106" s="39" t="s">
        <v>695</v>
      </c>
      <c r="I106" s="39" t="b">
        <v>0</v>
      </c>
      <c r="J106" s="39" t="s">
        <v>695</v>
      </c>
      <c r="K106" s="39" t="b">
        <v>0</v>
      </c>
      <c r="L106" s="39" t="s">
        <v>706</v>
      </c>
      <c r="M106" s="39"/>
      <c r="N106" t="s">
        <v>706</v>
      </c>
      <c r="O106" t="s">
        <v>707</v>
      </c>
      <c r="P106" t="s">
        <v>43</v>
      </c>
      <c r="Q106" s="39" t="s">
        <v>28</v>
      </c>
      <c r="R106" s="39" t="s">
        <v>45</v>
      </c>
      <c r="S106" s="39" t="s">
        <v>708</v>
      </c>
      <c r="T106" s="39"/>
      <c r="U106" s="39"/>
      <c r="V106" s="39"/>
      <c r="W106" s="39" t="s">
        <v>709</v>
      </c>
      <c r="X106" s="39" t="s">
        <v>710</v>
      </c>
      <c r="Y106" s="39" t="s">
        <v>119</v>
      </c>
      <c r="Z106" s="39" t="s">
        <v>32</v>
      </c>
      <c r="AA106" s="39"/>
      <c r="AB106" s="44">
        <v>6280086422506</v>
      </c>
      <c r="AC106" s="39"/>
      <c r="AD106" s="39"/>
      <c r="AE106" s="39" t="s">
        <v>711</v>
      </c>
      <c r="AF106" s="39"/>
      <c r="AG106" s="39" t="s">
        <v>704</v>
      </c>
      <c r="AH106" s="39" t="s">
        <v>1909</v>
      </c>
      <c r="AI106" s="39" t="s">
        <v>705</v>
      </c>
      <c r="AJ106" s="39" t="s">
        <v>1929</v>
      </c>
      <c r="AK106" t="b">
        <f t="shared" si="3"/>
        <v>1</v>
      </c>
      <c r="AL106" t="b">
        <f t="shared" si="4"/>
        <v>1</v>
      </c>
      <c r="AN106" t="e">
        <v>#N/A</v>
      </c>
      <c r="AP106" t="e">
        <f>_xlfn.XLOOKUP(F106,'Kolom info id dse &amp; part cd'!D:D,'Kolom info id dse &amp; part cd'!I:I)</f>
        <v>#N/A</v>
      </c>
      <c r="AQ106" t="e">
        <f t="shared" si="5"/>
        <v>#N/A</v>
      </c>
      <c r="AR106" t="str">
        <f>_xlfn.XLOOKUP($E106,'[1]Referensi New'!$D:$D,'[1]Referensi New'!$V:$V)</f>
        <v>CSO-LOKADPK26</v>
      </c>
    </row>
    <row r="107" spans="1:44" ht="16">
      <c r="A107" s="39" t="s">
        <v>20</v>
      </c>
      <c r="B107" s="39" t="s">
        <v>21</v>
      </c>
      <c r="C107" s="39" t="s">
        <v>281</v>
      </c>
      <c r="D107" s="39" t="s">
        <v>702</v>
      </c>
      <c r="E107" s="39" t="s">
        <v>703</v>
      </c>
      <c r="F107" s="39" t="s">
        <v>704</v>
      </c>
      <c r="G107" s="39" t="s">
        <v>705</v>
      </c>
      <c r="H107" s="39" t="s">
        <v>695</v>
      </c>
      <c r="I107" s="39" t="b">
        <v>0</v>
      </c>
      <c r="J107" s="39" t="s">
        <v>695</v>
      </c>
      <c r="K107" s="39" t="b">
        <v>0</v>
      </c>
      <c r="L107" s="39" t="s">
        <v>712</v>
      </c>
      <c r="M107" s="39"/>
      <c r="N107" t="s">
        <v>712</v>
      </c>
      <c r="O107" t="s">
        <v>713</v>
      </c>
      <c r="P107" t="s">
        <v>43</v>
      </c>
      <c r="Q107" s="39" t="s">
        <v>28</v>
      </c>
      <c r="R107" s="39" t="s">
        <v>45</v>
      </c>
      <c r="S107" s="39" t="s">
        <v>714</v>
      </c>
      <c r="T107" s="39"/>
      <c r="U107" s="39"/>
      <c r="V107" s="39"/>
      <c r="W107" s="39" t="s">
        <v>715</v>
      </c>
      <c r="X107" s="39" t="s">
        <v>716</v>
      </c>
      <c r="Y107" s="39" t="s">
        <v>119</v>
      </c>
      <c r="Z107" s="39" t="s">
        <v>32</v>
      </c>
      <c r="AA107" s="39"/>
      <c r="AB107" s="44">
        <v>6280086422507</v>
      </c>
      <c r="AC107" s="39"/>
      <c r="AD107" s="39"/>
      <c r="AE107" s="39" t="s">
        <v>717</v>
      </c>
      <c r="AF107" s="39"/>
      <c r="AG107" s="39" t="s">
        <v>704</v>
      </c>
      <c r="AH107" s="39" t="s">
        <v>1909</v>
      </c>
      <c r="AI107" s="39" t="s">
        <v>705</v>
      </c>
      <c r="AJ107" s="39" t="s">
        <v>1929</v>
      </c>
      <c r="AK107" t="b">
        <f t="shared" si="3"/>
        <v>1</v>
      </c>
      <c r="AL107" t="b">
        <f t="shared" si="4"/>
        <v>1</v>
      </c>
      <c r="AN107" t="e">
        <v>#N/A</v>
      </c>
      <c r="AP107" t="e">
        <f>_xlfn.XLOOKUP(F107,'Kolom info id dse &amp; part cd'!D:D,'Kolom info id dse &amp; part cd'!I:I)</f>
        <v>#N/A</v>
      </c>
      <c r="AQ107" t="e">
        <f t="shared" si="5"/>
        <v>#N/A</v>
      </c>
      <c r="AR107" t="str">
        <f>_xlfn.XLOOKUP($E107,'[1]Referensi New'!$D:$D,'[1]Referensi New'!$V:$V)</f>
        <v>CSO-LOKADPK26</v>
      </c>
    </row>
    <row r="108" spans="1:44" ht="16">
      <c r="A108" s="39" t="s">
        <v>20</v>
      </c>
      <c r="B108" s="39" t="s">
        <v>21</v>
      </c>
      <c r="C108" s="39" t="s">
        <v>281</v>
      </c>
      <c r="D108" s="39" t="s">
        <v>282</v>
      </c>
      <c r="E108" s="39" t="s">
        <v>283</v>
      </c>
      <c r="F108" s="39" t="s">
        <v>284</v>
      </c>
      <c r="G108" s="39" t="s">
        <v>285</v>
      </c>
      <c r="H108" s="39" t="s">
        <v>63</v>
      </c>
      <c r="I108" s="39" t="b">
        <v>0</v>
      </c>
      <c r="J108" s="39" t="s">
        <v>63</v>
      </c>
      <c r="K108" s="39" t="b">
        <v>0</v>
      </c>
      <c r="L108" s="39" t="s">
        <v>718</v>
      </c>
      <c r="M108" s="39"/>
      <c r="N108" t="s">
        <v>718</v>
      </c>
      <c r="O108" t="s">
        <v>719</v>
      </c>
      <c r="P108" t="s">
        <v>43</v>
      </c>
      <c r="Q108" s="39" t="s">
        <v>28</v>
      </c>
      <c r="R108" s="39" t="s">
        <v>45</v>
      </c>
      <c r="S108" s="39" t="s">
        <v>720</v>
      </c>
      <c r="T108" s="39"/>
      <c r="U108" s="39"/>
      <c r="V108" s="39"/>
      <c r="W108" s="39" t="s">
        <v>721</v>
      </c>
      <c r="X108" s="39" t="s">
        <v>722</v>
      </c>
      <c r="Y108" s="39" t="s">
        <v>68</v>
      </c>
      <c r="Z108" s="39" t="s">
        <v>32</v>
      </c>
      <c r="AA108" s="39"/>
      <c r="AB108" s="44">
        <v>6285810001998</v>
      </c>
      <c r="AC108" s="39"/>
      <c r="AD108" s="39"/>
      <c r="AE108" s="39" t="s">
        <v>723</v>
      </c>
      <c r="AF108" s="39"/>
      <c r="AG108" s="39" t="s">
        <v>284</v>
      </c>
      <c r="AH108" s="39" t="s">
        <v>1902</v>
      </c>
      <c r="AI108" s="39" t="s">
        <v>285</v>
      </c>
      <c r="AJ108" s="39" t="s">
        <v>1921</v>
      </c>
      <c r="AK108" t="b">
        <f t="shared" si="3"/>
        <v>1</v>
      </c>
      <c r="AL108" t="b">
        <f t="shared" si="4"/>
        <v>1</v>
      </c>
      <c r="AN108" t="e">
        <v>#N/A</v>
      </c>
      <c r="AP108" t="e">
        <f>_xlfn.XLOOKUP(F108,'Kolom info id dse &amp; part cd'!D:D,'Kolom info id dse &amp; part cd'!I:I)</f>
        <v>#N/A</v>
      </c>
      <c r="AQ108" t="e">
        <f t="shared" si="5"/>
        <v>#N/A</v>
      </c>
      <c r="AR108">
        <f>_xlfn.XLOOKUP($E108,'[1]Referensi New'!$D:$D,'[1]Referensi New'!$V:$V)</f>
        <v>2613052261</v>
      </c>
    </row>
    <row r="109" spans="1:44" ht="16">
      <c r="A109" s="39" t="s">
        <v>20</v>
      </c>
      <c r="B109" s="39" t="s">
        <v>21</v>
      </c>
      <c r="C109" s="39" t="s">
        <v>281</v>
      </c>
      <c r="D109" s="39" t="s">
        <v>691</v>
      </c>
      <c r="E109" s="39" t="s">
        <v>692</v>
      </c>
      <c r="F109" s="39" t="s">
        <v>693</v>
      </c>
      <c r="G109" s="39" t="s">
        <v>694</v>
      </c>
      <c r="H109" s="39" t="s">
        <v>695</v>
      </c>
      <c r="I109" s="39" t="b">
        <v>0</v>
      </c>
      <c r="J109" s="39" t="s">
        <v>695</v>
      </c>
      <c r="K109" s="39" t="b">
        <v>0</v>
      </c>
      <c r="L109" s="39" t="s">
        <v>724</v>
      </c>
      <c r="M109" s="39"/>
      <c r="N109" t="s">
        <v>724</v>
      </c>
      <c r="O109" t="s">
        <v>725</v>
      </c>
      <c r="P109" t="s">
        <v>43</v>
      </c>
      <c r="Q109" s="39" t="s">
        <v>28</v>
      </c>
      <c r="R109" s="39" t="s">
        <v>45</v>
      </c>
      <c r="S109" s="39" t="s">
        <v>726</v>
      </c>
      <c r="T109" s="39"/>
      <c r="U109" s="39"/>
      <c r="V109" s="39"/>
      <c r="W109" s="39" t="s">
        <v>727</v>
      </c>
      <c r="X109" s="39" t="s">
        <v>728</v>
      </c>
      <c r="Y109" s="39" t="s">
        <v>68</v>
      </c>
      <c r="Z109" s="39" t="s">
        <v>32</v>
      </c>
      <c r="AA109" s="39"/>
      <c r="AB109" s="44">
        <v>6285717020316</v>
      </c>
      <c r="AC109" s="39"/>
      <c r="AD109" s="39"/>
      <c r="AE109" s="39" t="s">
        <v>729</v>
      </c>
      <c r="AF109" s="39"/>
      <c r="AG109" s="39" t="s">
        <v>693</v>
      </c>
      <c r="AH109" s="39" t="s">
        <v>1909</v>
      </c>
      <c r="AI109" s="39" t="s">
        <v>694</v>
      </c>
      <c r="AJ109" s="39" t="s">
        <v>1929</v>
      </c>
      <c r="AK109" t="b">
        <f t="shared" si="3"/>
        <v>1</v>
      </c>
      <c r="AL109" t="b">
        <f t="shared" si="4"/>
        <v>1</v>
      </c>
      <c r="AN109" t="e">
        <v>#N/A</v>
      </c>
      <c r="AP109" t="e">
        <f>_xlfn.XLOOKUP(F109,'Kolom info id dse &amp; part cd'!D:D,'Kolom info id dse &amp; part cd'!I:I)</f>
        <v>#N/A</v>
      </c>
      <c r="AQ109" t="e">
        <f t="shared" si="5"/>
        <v>#N/A</v>
      </c>
      <c r="AR109" t="str">
        <f>_xlfn.XLOOKUP($E109,'[1]Referensi New'!$D:$D,'[1]Referensi New'!$V:$V)</f>
        <v>CSO-LOKADPK20</v>
      </c>
    </row>
    <row r="110" spans="1:44" ht="16">
      <c r="A110" s="39" t="s">
        <v>20</v>
      </c>
      <c r="B110" s="39" t="s">
        <v>21</v>
      </c>
      <c r="C110" s="39" t="s">
        <v>281</v>
      </c>
      <c r="D110" s="39" t="s">
        <v>702</v>
      </c>
      <c r="E110" s="39" t="s">
        <v>703</v>
      </c>
      <c r="F110" s="39" t="s">
        <v>704</v>
      </c>
      <c r="G110" s="39" t="s">
        <v>705</v>
      </c>
      <c r="H110" s="39" t="s">
        <v>695</v>
      </c>
      <c r="I110" s="39" t="b">
        <v>0</v>
      </c>
      <c r="J110" s="39" t="s">
        <v>695</v>
      </c>
      <c r="K110" s="39" t="b">
        <v>0</v>
      </c>
      <c r="L110" s="39" t="s">
        <v>730</v>
      </c>
      <c r="M110" s="39"/>
      <c r="N110" t="s">
        <v>730</v>
      </c>
      <c r="O110" t="s">
        <v>731</v>
      </c>
      <c r="P110" t="s">
        <v>43</v>
      </c>
      <c r="Q110" s="39" t="s">
        <v>28</v>
      </c>
      <c r="R110" s="39" t="s">
        <v>45</v>
      </c>
      <c r="S110" s="39" t="s">
        <v>732</v>
      </c>
      <c r="T110" s="39"/>
      <c r="U110" s="39"/>
      <c r="V110" s="39"/>
      <c r="W110" s="39" t="s">
        <v>733</v>
      </c>
      <c r="X110" s="39" t="s">
        <v>734</v>
      </c>
      <c r="Y110" s="39" t="s">
        <v>119</v>
      </c>
      <c r="Z110" s="39" t="s">
        <v>32</v>
      </c>
      <c r="AA110" s="39"/>
      <c r="AB110" s="44">
        <v>6285779999546</v>
      </c>
      <c r="AC110" s="39"/>
      <c r="AD110" s="39"/>
      <c r="AE110" s="39" t="s">
        <v>735</v>
      </c>
      <c r="AF110" s="39"/>
      <c r="AG110" s="39" t="s">
        <v>704</v>
      </c>
      <c r="AH110" s="39" t="s">
        <v>1909</v>
      </c>
      <c r="AI110" s="39" t="s">
        <v>705</v>
      </c>
      <c r="AJ110" s="39" t="s">
        <v>1929</v>
      </c>
      <c r="AK110" t="b">
        <f t="shared" si="3"/>
        <v>1</v>
      </c>
      <c r="AL110" t="b">
        <f t="shared" si="4"/>
        <v>1</v>
      </c>
      <c r="AN110" t="e">
        <v>#N/A</v>
      </c>
      <c r="AP110" t="e">
        <f>_xlfn.XLOOKUP(F110,'Kolom info id dse &amp; part cd'!D:D,'Kolom info id dse &amp; part cd'!I:I)</f>
        <v>#N/A</v>
      </c>
      <c r="AQ110" t="e">
        <f t="shared" si="5"/>
        <v>#N/A</v>
      </c>
      <c r="AR110" t="str">
        <f>_xlfn.XLOOKUP($E110,'[1]Referensi New'!$D:$D,'[1]Referensi New'!$V:$V)</f>
        <v>CSO-LOKADPK26</v>
      </c>
    </row>
    <row r="111" spans="1:44" ht="16">
      <c r="A111" s="39" t="s">
        <v>20</v>
      </c>
      <c r="B111" s="39" t="s">
        <v>21</v>
      </c>
      <c r="C111" s="39" t="s">
        <v>281</v>
      </c>
      <c r="D111" s="39" t="s">
        <v>691</v>
      </c>
      <c r="E111" s="39" t="s">
        <v>692</v>
      </c>
      <c r="F111" s="39" t="s">
        <v>693</v>
      </c>
      <c r="G111" s="39" t="s">
        <v>694</v>
      </c>
      <c r="H111" s="39" t="s">
        <v>695</v>
      </c>
      <c r="I111" s="39" t="b">
        <v>0</v>
      </c>
      <c r="J111" s="39" t="s">
        <v>695</v>
      </c>
      <c r="K111" s="39" t="b">
        <v>0</v>
      </c>
      <c r="L111" s="39" t="s">
        <v>736</v>
      </c>
      <c r="M111" s="39"/>
      <c r="N111" t="s">
        <v>736</v>
      </c>
      <c r="O111" t="s">
        <v>737</v>
      </c>
      <c r="P111" t="s">
        <v>43</v>
      </c>
      <c r="Q111" s="39" t="s">
        <v>28</v>
      </c>
      <c r="R111" s="39" t="s">
        <v>45</v>
      </c>
      <c r="S111" s="39" t="s">
        <v>738</v>
      </c>
      <c r="T111" s="39"/>
      <c r="U111" s="39"/>
      <c r="V111" s="39"/>
      <c r="W111" s="39" t="s">
        <v>739</v>
      </c>
      <c r="X111" s="39" t="s">
        <v>740</v>
      </c>
      <c r="Y111" s="39" t="s">
        <v>68</v>
      </c>
      <c r="Z111" s="39" t="s">
        <v>32</v>
      </c>
      <c r="AA111" s="39"/>
      <c r="AB111" s="44">
        <v>6285782385678</v>
      </c>
      <c r="AC111" s="39"/>
      <c r="AD111" s="39"/>
      <c r="AE111" s="39" t="s">
        <v>741</v>
      </c>
      <c r="AF111" s="39"/>
      <c r="AG111" s="39" t="s">
        <v>693</v>
      </c>
      <c r="AH111" s="39" t="s">
        <v>1909</v>
      </c>
      <c r="AI111" s="39" t="s">
        <v>694</v>
      </c>
      <c r="AJ111" s="39" t="s">
        <v>1929</v>
      </c>
      <c r="AK111" t="b">
        <f t="shared" si="3"/>
        <v>1</v>
      </c>
      <c r="AL111" t="b">
        <f t="shared" si="4"/>
        <v>1</v>
      </c>
      <c r="AN111" t="e">
        <v>#N/A</v>
      </c>
      <c r="AP111" t="e">
        <f>_xlfn.XLOOKUP(F111,'Kolom info id dse &amp; part cd'!D:D,'Kolom info id dse &amp; part cd'!I:I)</f>
        <v>#N/A</v>
      </c>
      <c r="AQ111" t="e">
        <f t="shared" si="5"/>
        <v>#N/A</v>
      </c>
      <c r="AR111" t="str">
        <f>_xlfn.XLOOKUP($E111,'[1]Referensi New'!$D:$D,'[1]Referensi New'!$V:$V)</f>
        <v>CSO-LOKADPK20</v>
      </c>
    </row>
    <row r="112" spans="1:44" ht="16">
      <c r="A112" s="39" t="s">
        <v>20</v>
      </c>
      <c r="B112" s="39" t="s">
        <v>21</v>
      </c>
      <c r="C112" s="39" t="s">
        <v>281</v>
      </c>
      <c r="D112" s="39" t="s">
        <v>702</v>
      </c>
      <c r="E112" s="39" t="s">
        <v>703</v>
      </c>
      <c r="F112" s="39" t="s">
        <v>704</v>
      </c>
      <c r="G112" s="39" t="s">
        <v>705</v>
      </c>
      <c r="H112" s="39" t="s">
        <v>695</v>
      </c>
      <c r="I112" s="39" t="b">
        <v>0</v>
      </c>
      <c r="J112" s="39" t="s">
        <v>695</v>
      </c>
      <c r="K112" s="39" t="b">
        <v>0</v>
      </c>
      <c r="L112" s="39" t="s">
        <v>742</v>
      </c>
      <c r="M112" s="39"/>
      <c r="N112" t="s">
        <v>742</v>
      </c>
      <c r="O112" t="s">
        <v>743</v>
      </c>
      <c r="P112" t="s">
        <v>43</v>
      </c>
      <c r="Q112" s="39" t="s">
        <v>28</v>
      </c>
      <c r="R112" s="39" t="s">
        <v>45</v>
      </c>
      <c r="S112" s="39" t="s">
        <v>744</v>
      </c>
      <c r="T112" s="39"/>
      <c r="U112" s="39"/>
      <c r="V112" s="39"/>
      <c r="W112" s="39" t="s">
        <v>745</v>
      </c>
      <c r="X112" s="39" t="s">
        <v>746</v>
      </c>
      <c r="Y112" s="39" t="s">
        <v>68</v>
      </c>
      <c r="Z112" s="39" t="s">
        <v>32</v>
      </c>
      <c r="AA112" s="39"/>
      <c r="AB112" s="44">
        <v>62856956664997</v>
      </c>
      <c r="AC112" s="39"/>
      <c r="AD112" s="39"/>
      <c r="AE112" s="39" t="s">
        <v>747</v>
      </c>
      <c r="AF112" s="39"/>
      <c r="AG112" s="39" t="s">
        <v>704</v>
      </c>
      <c r="AH112" s="39" t="s">
        <v>1909</v>
      </c>
      <c r="AI112" s="39" t="s">
        <v>705</v>
      </c>
      <c r="AJ112" s="39" t="s">
        <v>1929</v>
      </c>
      <c r="AK112" t="b">
        <f t="shared" si="3"/>
        <v>1</v>
      </c>
      <c r="AL112" t="b">
        <f t="shared" si="4"/>
        <v>1</v>
      </c>
      <c r="AN112" t="e">
        <v>#N/A</v>
      </c>
      <c r="AP112" t="e">
        <f>_xlfn.XLOOKUP(F112,'Kolom info id dse &amp; part cd'!D:D,'Kolom info id dse &amp; part cd'!I:I)</f>
        <v>#N/A</v>
      </c>
      <c r="AQ112" t="e">
        <f t="shared" si="5"/>
        <v>#N/A</v>
      </c>
      <c r="AR112" t="str">
        <f>_xlfn.XLOOKUP($E112,'[1]Referensi New'!$D:$D,'[1]Referensi New'!$V:$V)</f>
        <v>CSO-LOKADPK26</v>
      </c>
    </row>
    <row r="113" spans="1:44" ht="16">
      <c r="A113" s="39" t="s">
        <v>20</v>
      </c>
      <c r="B113" s="39" t="s">
        <v>21</v>
      </c>
      <c r="C113" s="39" t="s">
        <v>281</v>
      </c>
      <c r="D113" s="39" t="s">
        <v>691</v>
      </c>
      <c r="E113" s="39" t="s">
        <v>692</v>
      </c>
      <c r="F113" s="39" t="s">
        <v>693</v>
      </c>
      <c r="G113" s="39" t="s">
        <v>694</v>
      </c>
      <c r="H113" s="39" t="s">
        <v>695</v>
      </c>
      <c r="I113" s="39" t="b">
        <v>0</v>
      </c>
      <c r="J113" s="39" t="s">
        <v>695</v>
      </c>
      <c r="K113" s="39" t="b">
        <v>0</v>
      </c>
      <c r="L113" s="39" t="s">
        <v>748</v>
      </c>
      <c r="M113" s="39"/>
      <c r="N113" t="s">
        <v>748</v>
      </c>
      <c r="O113" t="s">
        <v>749</v>
      </c>
      <c r="P113" t="s">
        <v>43</v>
      </c>
      <c r="Q113" s="39" t="s">
        <v>28</v>
      </c>
      <c r="R113" s="39" t="s">
        <v>45</v>
      </c>
      <c r="S113" s="39" t="s">
        <v>750</v>
      </c>
      <c r="T113" s="39"/>
      <c r="U113" s="39"/>
      <c r="V113" s="39"/>
      <c r="W113" s="39" t="s">
        <v>751</v>
      </c>
      <c r="X113" s="39" t="s">
        <v>752</v>
      </c>
      <c r="Y113" s="39" t="s">
        <v>119</v>
      </c>
      <c r="Z113" s="39" t="s">
        <v>32</v>
      </c>
      <c r="AA113" s="39"/>
      <c r="AB113" s="44">
        <v>62857160357947</v>
      </c>
      <c r="AC113" s="39"/>
      <c r="AD113" s="39"/>
      <c r="AE113" s="39" t="s">
        <v>753</v>
      </c>
      <c r="AF113" s="39"/>
      <c r="AG113" s="39" t="s">
        <v>693</v>
      </c>
      <c r="AH113" s="39" t="s">
        <v>1909</v>
      </c>
      <c r="AI113" s="39" t="s">
        <v>694</v>
      </c>
      <c r="AJ113" s="39" t="s">
        <v>1929</v>
      </c>
      <c r="AK113" t="b">
        <f t="shared" si="3"/>
        <v>1</v>
      </c>
      <c r="AL113" t="b">
        <f t="shared" si="4"/>
        <v>1</v>
      </c>
      <c r="AN113" t="e">
        <v>#N/A</v>
      </c>
      <c r="AP113" t="e">
        <f>_xlfn.XLOOKUP(F113,'Kolom info id dse &amp; part cd'!D:D,'Kolom info id dse &amp; part cd'!I:I)</f>
        <v>#N/A</v>
      </c>
      <c r="AQ113" t="e">
        <f t="shared" si="5"/>
        <v>#N/A</v>
      </c>
      <c r="AR113" t="str">
        <f>_xlfn.XLOOKUP($E113,'[1]Referensi New'!$D:$D,'[1]Referensi New'!$V:$V)</f>
        <v>CSO-LOKADPK20</v>
      </c>
    </row>
    <row r="114" spans="1:44" ht="16">
      <c r="A114" s="39" t="s">
        <v>20</v>
      </c>
      <c r="B114" s="39" t="s">
        <v>21</v>
      </c>
      <c r="C114" s="39" t="s">
        <v>281</v>
      </c>
      <c r="D114" s="39" t="s">
        <v>691</v>
      </c>
      <c r="E114" s="39" t="s">
        <v>692</v>
      </c>
      <c r="F114" s="39" t="s">
        <v>693</v>
      </c>
      <c r="G114" s="39" t="s">
        <v>694</v>
      </c>
      <c r="H114" s="39" t="s">
        <v>695</v>
      </c>
      <c r="I114" s="39" t="b">
        <v>0</v>
      </c>
      <c r="J114" s="39" t="s">
        <v>695</v>
      </c>
      <c r="K114" s="39" t="b">
        <v>0</v>
      </c>
      <c r="L114" s="39" t="s">
        <v>754</v>
      </c>
      <c r="M114" s="39"/>
      <c r="N114" t="s">
        <v>754</v>
      </c>
      <c r="O114" t="s">
        <v>755</v>
      </c>
      <c r="P114" t="s">
        <v>43</v>
      </c>
      <c r="Q114" s="39" t="s">
        <v>28</v>
      </c>
      <c r="R114" s="39" t="s">
        <v>45</v>
      </c>
      <c r="S114" s="39" t="s">
        <v>756</v>
      </c>
      <c r="T114" s="39"/>
      <c r="U114" s="39"/>
      <c r="V114" s="39"/>
      <c r="W114" s="39" t="s">
        <v>757</v>
      </c>
      <c r="X114" s="39" t="s">
        <v>758</v>
      </c>
      <c r="Y114" s="39" t="s">
        <v>119</v>
      </c>
      <c r="Z114" s="39" t="s">
        <v>32</v>
      </c>
      <c r="AA114" s="39"/>
      <c r="AB114" s="44">
        <v>6281574929262</v>
      </c>
      <c r="AC114" s="39"/>
      <c r="AD114" s="39"/>
      <c r="AE114" s="39" t="s">
        <v>759</v>
      </c>
      <c r="AF114" s="39"/>
      <c r="AG114" s="39" t="s">
        <v>693</v>
      </c>
      <c r="AH114" s="39" t="s">
        <v>1909</v>
      </c>
      <c r="AI114" s="39" t="s">
        <v>694</v>
      </c>
      <c r="AJ114" s="39" t="s">
        <v>1929</v>
      </c>
      <c r="AK114" t="b">
        <f t="shared" si="3"/>
        <v>1</v>
      </c>
      <c r="AL114" t="b">
        <f t="shared" si="4"/>
        <v>1</v>
      </c>
      <c r="AN114" t="e">
        <v>#N/A</v>
      </c>
      <c r="AP114" t="e">
        <f>_xlfn.XLOOKUP(F114,'Kolom info id dse &amp; part cd'!D:D,'Kolom info id dse &amp; part cd'!I:I)</f>
        <v>#N/A</v>
      </c>
      <c r="AQ114" t="e">
        <f t="shared" si="5"/>
        <v>#N/A</v>
      </c>
      <c r="AR114" t="str">
        <f>_xlfn.XLOOKUP($E114,'[1]Referensi New'!$D:$D,'[1]Referensi New'!$V:$V)</f>
        <v>CSO-LOKADPK20</v>
      </c>
    </row>
    <row r="115" spans="1:44" ht="16">
      <c r="A115" s="39" t="s">
        <v>20</v>
      </c>
      <c r="B115" s="39" t="s">
        <v>21</v>
      </c>
      <c r="C115" s="39" t="s">
        <v>281</v>
      </c>
      <c r="D115" s="39" t="s">
        <v>702</v>
      </c>
      <c r="E115" s="39" t="s">
        <v>703</v>
      </c>
      <c r="F115" s="39" t="s">
        <v>704</v>
      </c>
      <c r="G115" s="39" t="s">
        <v>705</v>
      </c>
      <c r="H115" s="39" t="s">
        <v>695</v>
      </c>
      <c r="I115" s="39" t="b">
        <v>0</v>
      </c>
      <c r="J115" s="39" t="s">
        <v>695</v>
      </c>
      <c r="K115" s="39" t="b">
        <v>0</v>
      </c>
      <c r="L115" s="39" t="s">
        <v>760</v>
      </c>
      <c r="M115" s="39"/>
      <c r="N115" t="s">
        <v>760</v>
      </c>
      <c r="O115" t="s">
        <v>761</v>
      </c>
      <c r="P115" t="s">
        <v>43</v>
      </c>
      <c r="Q115" s="39" t="s">
        <v>28</v>
      </c>
      <c r="R115" s="39" t="s">
        <v>45</v>
      </c>
      <c r="S115" s="39" t="s">
        <v>762</v>
      </c>
      <c r="T115" s="39"/>
      <c r="U115" s="39"/>
      <c r="V115" s="39"/>
      <c r="W115" s="39" t="s">
        <v>763</v>
      </c>
      <c r="X115" s="39" t="s">
        <v>764</v>
      </c>
      <c r="Y115" s="39" t="s">
        <v>119</v>
      </c>
      <c r="Z115" s="39" t="s">
        <v>32</v>
      </c>
      <c r="AA115" s="39"/>
      <c r="AB115" s="44">
        <v>6285781633357</v>
      </c>
      <c r="AC115" s="39"/>
      <c r="AD115" s="39"/>
      <c r="AE115" s="39" t="s">
        <v>765</v>
      </c>
      <c r="AF115" s="39"/>
      <c r="AG115" s="39" t="s">
        <v>704</v>
      </c>
      <c r="AH115" s="39" t="s">
        <v>1909</v>
      </c>
      <c r="AI115" s="39" t="s">
        <v>705</v>
      </c>
      <c r="AJ115" s="39" t="s">
        <v>1929</v>
      </c>
      <c r="AK115" t="b">
        <f t="shared" si="3"/>
        <v>1</v>
      </c>
      <c r="AL115" t="b">
        <f t="shared" si="4"/>
        <v>1</v>
      </c>
      <c r="AN115" t="e">
        <v>#N/A</v>
      </c>
      <c r="AP115" t="e">
        <f>_xlfn.XLOOKUP(F115,'Kolom info id dse &amp; part cd'!D:D,'Kolom info id dse &amp; part cd'!I:I)</f>
        <v>#N/A</v>
      </c>
      <c r="AQ115" t="e">
        <f t="shared" si="5"/>
        <v>#N/A</v>
      </c>
      <c r="AR115" t="str">
        <f>_xlfn.XLOOKUP($E115,'[1]Referensi New'!$D:$D,'[1]Referensi New'!$V:$V)</f>
        <v>CSO-LOKADPK26</v>
      </c>
    </row>
    <row r="116" spans="1:44" ht="16">
      <c r="A116" s="39" t="s">
        <v>20</v>
      </c>
      <c r="B116" s="39" t="s">
        <v>21</v>
      </c>
      <c r="C116" s="39" t="s">
        <v>281</v>
      </c>
      <c r="D116" s="39" t="s">
        <v>691</v>
      </c>
      <c r="E116" s="39" t="s">
        <v>692</v>
      </c>
      <c r="F116" s="39" t="s">
        <v>693</v>
      </c>
      <c r="G116" s="39" t="s">
        <v>694</v>
      </c>
      <c r="H116" s="39" t="s">
        <v>695</v>
      </c>
      <c r="I116" s="39" t="b">
        <v>0</v>
      </c>
      <c r="J116" s="39" t="s">
        <v>695</v>
      </c>
      <c r="K116" s="39" t="b">
        <v>0</v>
      </c>
      <c r="L116" s="39" t="s">
        <v>766</v>
      </c>
      <c r="M116" s="39"/>
      <c r="N116" t="s">
        <v>766</v>
      </c>
      <c r="O116" t="s">
        <v>767</v>
      </c>
      <c r="P116" t="s">
        <v>43</v>
      </c>
      <c r="Q116" s="39" t="s">
        <v>28</v>
      </c>
      <c r="R116" s="39" t="s">
        <v>45</v>
      </c>
      <c r="S116" s="39" t="s">
        <v>328</v>
      </c>
      <c r="T116" s="39"/>
      <c r="U116" s="39"/>
      <c r="V116" s="39"/>
      <c r="W116" s="39" t="s">
        <v>768</v>
      </c>
      <c r="X116" s="39" t="s">
        <v>769</v>
      </c>
      <c r="Y116" s="39" t="s">
        <v>68</v>
      </c>
      <c r="Z116" s="39" t="s">
        <v>32</v>
      </c>
      <c r="AA116" s="39"/>
      <c r="AB116" s="44">
        <v>6285719252307</v>
      </c>
      <c r="AC116" s="39"/>
      <c r="AD116" s="39"/>
      <c r="AE116" s="39" t="s">
        <v>770</v>
      </c>
      <c r="AF116" s="39"/>
      <c r="AG116" s="39" t="s">
        <v>693</v>
      </c>
      <c r="AH116" s="39" t="s">
        <v>1909</v>
      </c>
      <c r="AI116" s="39" t="s">
        <v>694</v>
      </c>
      <c r="AJ116" s="39" t="s">
        <v>1929</v>
      </c>
      <c r="AK116" t="b">
        <f t="shared" si="3"/>
        <v>1</v>
      </c>
      <c r="AL116" t="b">
        <f t="shared" si="4"/>
        <v>1</v>
      </c>
      <c r="AN116" t="e">
        <v>#N/A</v>
      </c>
      <c r="AP116" t="e">
        <f>_xlfn.XLOOKUP(F116,'Kolom info id dse &amp; part cd'!D:D,'Kolom info id dse &amp; part cd'!I:I)</f>
        <v>#N/A</v>
      </c>
      <c r="AQ116" t="e">
        <f t="shared" si="5"/>
        <v>#N/A</v>
      </c>
      <c r="AR116" t="str">
        <f>_xlfn.XLOOKUP($E116,'[1]Referensi New'!$D:$D,'[1]Referensi New'!$V:$V)</f>
        <v>CSO-LOKADPK20</v>
      </c>
    </row>
    <row r="117" spans="1:44" ht="16">
      <c r="A117" s="39" t="s">
        <v>20</v>
      </c>
      <c r="B117" s="39" t="s">
        <v>21</v>
      </c>
      <c r="C117" s="39" t="s">
        <v>281</v>
      </c>
      <c r="D117" s="39" t="s">
        <v>702</v>
      </c>
      <c r="E117" s="39" t="s">
        <v>703</v>
      </c>
      <c r="F117" s="39" t="s">
        <v>704</v>
      </c>
      <c r="G117" s="39" t="s">
        <v>705</v>
      </c>
      <c r="H117" s="39" t="s">
        <v>695</v>
      </c>
      <c r="I117" s="39" t="b">
        <v>0</v>
      </c>
      <c r="J117" s="39" t="s">
        <v>695</v>
      </c>
      <c r="K117" s="39" t="b">
        <v>0</v>
      </c>
      <c r="L117" s="39" t="s">
        <v>771</v>
      </c>
      <c r="M117" s="39"/>
      <c r="N117" t="s">
        <v>771</v>
      </c>
      <c r="O117" t="s">
        <v>772</v>
      </c>
      <c r="P117" t="s">
        <v>43</v>
      </c>
      <c r="Q117" s="39" t="s">
        <v>28</v>
      </c>
      <c r="R117" s="39" t="s">
        <v>45</v>
      </c>
      <c r="S117" s="39" t="s">
        <v>773</v>
      </c>
      <c r="T117" s="39"/>
      <c r="U117" s="39"/>
      <c r="V117" s="39"/>
      <c r="W117" s="39" t="s">
        <v>774</v>
      </c>
      <c r="X117" s="39" t="s">
        <v>775</v>
      </c>
      <c r="Y117" s="39" t="s">
        <v>68</v>
      </c>
      <c r="Z117" s="39" t="s">
        <v>32</v>
      </c>
      <c r="AA117" s="39"/>
      <c r="AB117" s="44">
        <v>6289507348390</v>
      </c>
      <c r="AC117" s="39"/>
      <c r="AD117" s="39"/>
      <c r="AE117" s="39" t="s">
        <v>776</v>
      </c>
      <c r="AF117" s="39"/>
      <c r="AG117" s="39" t="s">
        <v>704</v>
      </c>
      <c r="AH117" s="39" t="s">
        <v>1909</v>
      </c>
      <c r="AI117" s="39" t="s">
        <v>705</v>
      </c>
      <c r="AJ117" s="39" t="s">
        <v>1929</v>
      </c>
      <c r="AK117" t="b">
        <f t="shared" si="3"/>
        <v>1</v>
      </c>
      <c r="AL117" t="b">
        <f t="shared" si="4"/>
        <v>1</v>
      </c>
      <c r="AN117" t="e">
        <v>#N/A</v>
      </c>
      <c r="AP117" t="e">
        <f>_xlfn.XLOOKUP(F117,'Kolom info id dse &amp; part cd'!D:D,'Kolom info id dse &amp; part cd'!I:I)</f>
        <v>#N/A</v>
      </c>
      <c r="AQ117" t="e">
        <f t="shared" si="5"/>
        <v>#N/A</v>
      </c>
      <c r="AR117" t="str">
        <f>_xlfn.XLOOKUP($E117,'[1]Referensi New'!$D:$D,'[1]Referensi New'!$V:$V)</f>
        <v>CSO-LOKADPK26</v>
      </c>
    </row>
    <row r="118" spans="1:44" ht="16">
      <c r="A118" s="39" t="s">
        <v>20</v>
      </c>
      <c r="B118" s="39" t="s">
        <v>21</v>
      </c>
      <c r="C118" s="39" t="s">
        <v>281</v>
      </c>
      <c r="D118" s="39" t="s">
        <v>702</v>
      </c>
      <c r="E118" s="39" t="s">
        <v>703</v>
      </c>
      <c r="F118" s="39" t="s">
        <v>704</v>
      </c>
      <c r="G118" s="39" t="s">
        <v>705</v>
      </c>
      <c r="H118" s="39" t="s">
        <v>695</v>
      </c>
      <c r="I118" s="39" t="b">
        <v>0</v>
      </c>
      <c r="J118" s="39" t="s">
        <v>695</v>
      </c>
      <c r="K118" s="39" t="b">
        <v>0</v>
      </c>
      <c r="L118" s="39" t="s">
        <v>777</v>
      </c>
      <c r="M118" s="39"/>
      <c r="N118" t="s">
        <v>777</v>
      </c>
      <c r="O118" t="s">
        <v>778</v>
      </c>
      <c r="P118" t="s">
        <v>43</v>
      </c>
      <c r="Q118" s="39" t="s">
        <v>28</v>
      </c>
      <c r="R118" s="39" t="s">
        <v>45</v>
      </c>
      <c r="S118" s="39" t="s">
        <v>779</v>
      </c>
      <c r="T118" s="39"/>
      <c r="U118" s="39"/>
      <c r="V118" s="39"/>
      <c r="W118" s="39" t="s">
        <v>780</v>
      </c>
      <c r="X118" s="39" t="s">
        <v>781</v>
      </c>
      <c r="Y118" s="39" t="s">
        <v>119</v>
      </c>
      <c r="Z118" s="39" t="s">
        <v>32</v>
      </c>
      <c r="AA118" s="39"/>
      <c r="AB118" s="44">
        <v>62857743726347</v>
      </c>
      <c r="AC118" s="39"/>
      <c r="AD118" s="39"/>
      <c r="AE118" s="39" t="s">
        <v>782</v>
      </c>
      <c r="AF118" s="39"/>
      <c r="AG118" s="39" t="s">
        <v>704</v>
      </c>
      <c r="AH118" s="39" t="s">
        <v>1909</v>
      </c>
      <c r="AI118" s="39" t="s">
        <v>705</v>
      </c>
      <c r="AJ118" s="39" t="s">
        <v>1929</v>
      </c>
      <c r="AK118" t="b">
        <f t="shared" si="3"/>
        <v>1</v>
      </c>
      <c r="AL118" t="b">
        <f t="shared" si="4"/>
        <v>1</v>
      </c>
      <c r="AN118" t="e">
        <v>#N/A</v>
      </c>
      <c r="AP118" t="e">
        <f>_xlfn.XLOOKUP(F118,'Kolom info id dse &amp; part cd'!D:D,'Kolom info id dse &amp; part cd'!I:I)</f>
        <v>#N/A</v>
      </c>
      <c r="AQ118" t="e">
        <f t="shared" si="5"/>
        <v>#N/A</v>
      </c>
      <c r="AR118" t="str">
        <f>_xlfn.XLOOKUP($E118,'[1]Referensi New'!$D:$D,'[1]Referensi New'!$V:$V)</f>
        <v>CSO-LOKADPK26</v>
      </c>
    </row>
    <row r="119" spans="1:44" ht="16">
      <c r="A119" s="39" t="s">
        <v>20</v>
      </c>
      <c r="B119" s="39" t="s">
        <v>21</v>
      </c>
      <c r="C119" s="39" t="s">
        <v>70</v>
      </c>
      <c r="D119" s="39" t="s">
        <v>111</v>
      </c>
      <c r="E119" s="39" t="s">
        <v>112</v>
      </c>
      <c r="F119" s="39" t="s">
        <v>113</v>
      </c>
      <c r="G119" s="39" t="s">
        <v>114</v>
      </c>
      <c r="H119" s="39" t="s">
        <v>75</v>
      </c>
      <c r="I119" s="39" t="b">
        <v>0</v>
      </c>
      <c r="J119" s="39" t="s">
        <v>75</v>
      </c>
      <c r="K119" s="39" t="b">
        <v>0</v>
      </c>
      <c r="L119" s="39" t="s">
        <v>783</v>
      </c>
      <c r="M119" s="39"/>
      <c r="N119" t="s">
        <v>783</v>
      </c>
      <c r="O119" t="s">
        <v>784</v>
      </c>
      <c r="P119" t="s">
        <v>43</v>
      </c>
      <c r="Q119" s="39" t="s">
        <v>28</v>
      </c>
      <c r="R119" s="39" t="s">
        <v>45</v>
      </c>
      <c r="S119" s="39" t="s">
        <v>785</v>
      </c>
      <c r="T119" s="39"/>
      <c r="U119" s="39"/>
      <c r="V119" s="39"/>
      <c r="W119" s="39" t="s">
        <v>786</v>
      </c>
      <c r="X119" s="39" t="s">
        <v>787</v>
      </c>
      <c r="Y119" s="39" t="s">
        <v>68</v>
      </c>
      <c r="Z119" s="39" t="s">
        <v>32</v>
      </c>
      <c r="AA119" s="39"/>
      <c r="AB119" s="44">
        <v>6285716260216</v>
      </c>
      <c r="AC119" s="39"/>
      <c r="AD119" s="39"/>
      <c r="AE119" s="39" t="s">
        <v>788</v>
      </c>
      <c r="AF119" s="39"/>
      <c r="AG119" s="39" t="s">
        <v>113</v>
      </c>
      <c r="AH119" s="39" t="s">
        <v>1903</v>
      </c>
      <c r="AI119" s="39" t="s">
        <v>114</v>
      </c>
      <c r="AJ119" s="39" t="s">
        <v>1914</v>
      </c>
      <c r="AK119" t="b">
        <f t="shared" si="3"/>
        <v>1</v>
      </c>
      <c r="AL119" t="b">
        <f t="shared" si="4"/>
        <v>1</v>
      </c>
      <c r="AN119" t="e">
        <v>#N/A</v>
      </c>
      <c r="AP119" t="e">
        <f>_xlfn.XLOOKUP(F119,'Kolom info id dse &amp; part cd'!D:D,'Kolom info id dse &amp; part cd'!I:I)</f>
        <v>#N/A</v>
      </c>
      <c r="AQ119" t="e">
        <f t="shared" si="5"/>
        <v>#N/A</v>
      </c>
      <c r="AR119">
        <f>_xlfn.XLOOKUP($E119,'[1]Referensi New'!$D:$D,'[1]Referensi New'!$V:$V)</f>
        <v>2613050954</v>
      </c>
    </row>
    <row r="120" spans="1:44" ht="16">
      <c r="A120" s="39" t="s">
        <v>20</v>
      </c>
      <c r="B120" s="39" t="s">
        <v>21</v>
      </c>
      <c r="C120" s="39" t="s">
        <v>81</v>
      </c>
      <c r="D120" s="39" t="s">
        <v>292</v>
      </c>
      <c r="E120" s="39" t="s">
        <v>789</v>
      </c>
      <c r="F120" s="39" t="s">
        <v>790</v>
      </c>
      <c r="G120" s="39" t="s">
        <v>791</v>
      </c>
      <c r="H120" s="39" t="s">
        <v>792</v>
      </c>
      <c r="I120" s="39" t="b">
        <v>0</v>
      </c>
      <c r="J120" s="39" t="s">
        <v>792</v>
      </c>
      <c r="K120" s="39" t="b">
        <v>0</v>
      </c>
      <c r="L120" s="39" t="s">
        <v>793</v>
      </c>
      <c r="M120" s="39"/>
      <c r="N120" t="s">
        <v>793</v>
      </c>
      <c r="O120" t="s">
        <v>794</v>
      </c>
      <c r="P120" t="s">
        <v>43</v>
      </c>
      <c r="Q120" s="39" t="s">
        <v>88</v>
      </c>
      <c r="R120" s="39" t="s">
        <v>45</v>
      </c>
      <c r="S120" s="39" t="s">
        <v>795</v>
      </c>
      <c r="T120" s="39" t="s">
        <v>795</v>
      </c>
      <c r="U120" s="39" t="s">
        <v>796</v>
      </c>
      <c r="V120" s="39"/>
      <c r="W120" s="39" t="s">
        <v>797</v>
      </c>
      <c r="X120" s="39" t="s">
        <v>798</v>
      </c>
      <c r="Y120" s="39" t="s">
        <v>119</v>
      </c>
      <c r="Z120" s="39" t="s">
        <v>32</v>
      </c>
      <c r="AA120" s="39"/>
      <c r="AB120" s="44">
        <v>62857710477771</v>
      </c>
      <c r="AC120" s="39"/>
      <c r="AD120" s="39"/>
      <c r="AE120" s="39" t="s">
        <v>799</v>
      </c>
      <c r="AF120" s="39" t="s">
        <v>373</v>
      </c>
      <c r="AG120" s="39" t="s">
        <v>790</v>
      </c>
      <c r="AH120" s="39" t="s">
        <v>792</v>
      </c>
      <c r="AI120" s="39" t="s">
        <v>791</v>
      </c>
      <c r="AJ120" s="39" t="s">
        <v>1930</v>
      </c>
      <c r="AK120" t="b">
        <f t="shared" si="3"/>
        <v>1</v>
      </c>
      <c r="AL120" t="b">
        <f t="shared" si="4"/>
        <v>1</v>
      </c>
      <c r="AN120" t="e">
        <v>#N/A</v>
      </c>
      <c r="AP120" t="e">
        <f>_xlfn.XLOOKUP(F120,'Kolom info id dse &amp; part cd'!D:D,'Kolom info id dse &amp; part cd'!I:I)</f>
        <v>#N/A</v>
      </c>
      <c r="AQ120" t="e">
        <f t="shared" si="5"/>
        <v>#N/A</v>
      </c>
      <c r="AR120" t="str">
        <f>_xlfn.XLOOKUP($E120,'[1]Referensi New'!$D:$D,'[1]Referensi New'!$V:$V)</f>
        <v>CSOSDP301712</v>
      </c>
    </row>
    <row r="121" spans="1:44" ht="16">
      <c r="A121" s="39" t="s">
        <v>20</v>
      </c>
      <c r="B121" s="39" t="s">
        <v>21</v>
      </c>
      <c r="C121" s="39" t="s">
        <v>81</v>
      </c>
      <c r="D121" s="39" t="s">
        <v>292</v>
      </c>
      <c r="E121" s="39" t="s">
        <v>789</v>
      </c>
      <c r="F121" s="39" t="s">
        <v>790</v>
      </c>
      <c r="G121" s="39" t="s">
        <v>791</v>
      </c>
      <c r="H121" s="39" t="s">
        <v>792</v>
      </c>
      <c r="I121" s="39" t="b">
        <v>0</v>
      </c>
      <c r="J121" s="39" t="s">
        <v>792</v>
      </c>
      <c r="K121" s="39" t="b">
        <v>0</v>
      </c>
      <c r="L121" s="39" t="s">
        <v>800</v>
      </c>
      <c r="M121" s="39"/>
      <c r="N121" t="s">
        <v>800</v>
      </c>
      <c r="O121" t="s">
        <v>801</v>
      </c>
      <c r="P121" t="s">
        <v>43</v>
      </c>
      <c r="Q121" s="39" t="s">
        <v>88</v>
      </c>
      <c r="R121" s="39" t="s">
        <v>45</v>
      </c>
      <c r="S121" s="39" t="s">
        <v>802</v>
      </c>
      <c r="T121" s="39" t="s">
        <v>802</v>
      </c>
      <c r="U121" s="39" t="s">
        <v>803</v>
      </c>
      <c r="V121" s="39"/>
      <c r="W121" s="39" t="s">
        <v>238</v>
      </c>
      <c r="X121" s="39" t="s">
        <v>238</v>
      </c>
      <c r="Y121" s="39" t="s">
        <v>119</v>
      </c>
      <c r="Z121" s="39" t="s">
        <v>32</v>
      </c>
      <c r="AA121" s="39"/>
      <c r="AB121" s="44">
        <v>6285771710764</v>
      </c>
      <c r="AC121" s="39"/>
      <c r="AD121" s="39"/>
      <c r="AE121" s="39" t="s">
        <v>804</v>
      </c>
      <c r="AF121" s="39" t="s">
        <v>373</v>
      </c>
      <c r="AG121" s="39" t="s">
        <v>790</v>
      </c>
      <c r="AH121" s="39" t="s">
        <v>792</v>
      </c>
      <c r="AI121" s="39" t="s">
        <v>791</v>
      </c>
      <c r="AJ121" s="39" t="s">
        <v>1930</v>
      </c>
      <c r="AK121" t="b">
        <f t="shared" si="3"/>
        <v>1</v>
      </c>
      <c r="AL121" t="b">
        <f t="shared" si="4"/>
        <v>1</v>
      </c>
      <c r="AN121" t="e">
        <v>#N/A</v>
      </c>
      <c r="AP121" t="e">
        <f>_xlfn.XLOOKUP(F121,'Kolom info id dse &amp; part cd'!D:D,'Kolom info id dse &amp; part cd'!I:I)</f>
        <v>#N/A</v>
      </c>
      <c r="AQ121" t="e">
        <f t="shared" si="5"/>
        <v>#N/A</v>
      </c>
      <c r="AR121" t="str">
        <f>_xlfn.XLOOKUP($E121,'[1]Referensi New'!$D:$D,'[1]Referensi New'!$V:$V)</f>
        <v>CSOSDP301712</v>
      </c>
    </row>
    <row r="122" spans="1:44" ht="16">
      <c r="A122" s="39" t="s">
        <v>20</v>
      </c>
      <c r="B122" s="39" t="s">
        <v>21</v>
      </c>
      <c r="C122" s="39" t="s">
        <v>805</v>
      </c>
      <c r="D122" s="39" t="s">
        <v>806</v>
      </c>
      <c r="E122" s="39" t="s">
        <v>807</v>
      </c>
      <c r="F122" s="39" t="s">
        <v>808</v>
      </c>
      <c r="G122" s="39" t="s">
        <v>809</v>
      </c>
      <c r="H122" s="39" t="s">
        <v>635</v>
      </c>
      <c r="I122" s="39" t="b">
        <v>0</v>
      </c>
      <c r="J122" s="39" t="s">
        <v>635</v>
      </c>
      <c r="K122" s="39" t="b">
        <v>0</v>
      </c>
      <c r="L122" s="39" t="s">
        <v>810</v>
      </c>
      <c r="M122" s="39"/>
      <c r="N122" t="s">
        <v>810</v>
      </c>
      <c r="O122" t="s">
        <v>811</v>
      </c>
      <c r="P122" t="s">
        <v>43</v>
      </c>
      <c r="Q122" s="39" t="s">
        <v>88</v>
      </c>
      <c r="R122" s="39" t="s">
        <v>44</v>
      </c>
      <c r="S122" s="39" t="s">
        <v>812</v>
      </c>
      <c r="T122" s="39" t="s">
        <v>812</v>
      </c>
      <c r="U122" s="39" t="s">
        <v>813</v>
      </c>
      <c r="V122" s="39" t="b">
        <v>0</v>
      </c>
      <c r="W122" s="39" t="s">
        <v>814</v>
      </c>
      <c r="X122" s="39" t="s">
        <v>815</v>
      </c>
      <c r="Y122" s="39" t="s">
        <v>68</v>
      </c>
      <c r="Z122" s="39" t="s">
        <v>816</v>
      </c>
      <c r="AA122" s="39" t="s">
        <v>817</v>
      </c>
      <c r="AB122" s="44">
        <v>6285857123456</v>
      </c>
      <c r="AC122" s="39" t="s">
        <v>818</v>
      </c>
      <c r="AD122" s="39"/>
      <c r="AE122" s="39" t="s">
        <v>819</v>
      </c>
      <c r="AF122" s="39" t="s">
        <v>373</v>
      </c>
      <c r="AG122" s="39" t="s">
        <v>808</v>
      </c>
      <c r="AH122" s="39" t="s">
        <v>1908</v>
      </c>
      <c r="AI122" s="39" t="s">
        <v>809</v>
      </c>
      <c r="AJ122" s="39" t="s">
        <v>1931</v>
      </c>
      <c r="AK122" t="b">
        <f t="shared" si="3"/>
        <v>1</v>
      </c>
      <c r="AL122" t="b">
        <f t="shared" si="4"/>
        <v>1</v>
      </c>
      <c r="AN122" t="e">
        <v>#N/A</v>
      </c>
      <c r="AP122" t="e">
        <f>_xlfn.XLOOKUP(F122,'Kolom info id dse &amp; part cd'!D:D,'Kolom info id dse &amp; part cd'!I:I)</f>
        <v>#N/A</v>
      </c>
      <c r="AQ122" t="e">
        <f t="shared" si="5"/>
        <v>#N/A</v>
      </c>
      <c r="AR122" t="str">
        <f>_xlfn.XLOOKUP($E122,'[1]Referensi New'!$D:$D,'[1]Referensi New'!$V:$V)</f>
        <v>CSO-SELATAN-01</v>
      </c>
    </row>
    <row r="123" spans="1:44" ht="16">
      <c r="A123" s="39" t="s">
        <v>20</v>
      </c>
      <c r="B123" s="39" t="s">
        <v>21</v>
      </c>
      <c r="C123" s="39" t="s">
        <v>805</v>
      </c>
      <c r="D123" s="39" t="s">
        <v>820</v>
      </c>
      <c r="E123" s="39" t="s">
        <v>821</v>
      </c>
      <c r="F123" s="39" t="s">
        <v>822</v>
      </c>
      <c r="G123" s="39" t="s">
        <v>823</v>
      </c>
      <c r="H123" s="39" t="s">
        <v>635</v>
      </c>
      <c r="I123" s="39" t="b">
        <v>0</v>
      </c>
      <c r="J123" s="39" t="s">
        <v>635</v>
      </c>
      <c r="K123" s="39" t="b">
        <v>0</v>
      </c>
      <c r="L123" s="39" t="s">
        <v>824</v>
      </c>
      <c r="M123" s="39"/>
      <c r="N123" t="s">
        <v>824</v>
      </c>
      <c r="O123" t="s">
        <v>825</v>
      </c>
      <c r="P123" t="s">
        <v>43</v>
      </c>
      <c r="Q123" s="39" t="s">
        <v>88</v>
      </c>
      <c r="R123" s="39" t="s">
        <v>44</v>
      </c>
      <c r="S123" s="39" t="s">
        <v>826</v>
      </c>
      <c r="T123" s="39" t="s">
        <v>826</v>
      </c>
      <c r="U123" s="39" t="s">
        <v>826</v>
      </c>
      <c r="V123" s="39" t="b">
        <v>0</v>
      </c>
      <c r="W123" s="39" t="s">
        <v>827</v>
      </c>
      <c r="X123" s="39" t="s">
        <v>828</v>
      </c>
      <c r="Y123" s="39" t="s">
        <v>68</v>
      </c>
      <c r="Z123" s="39" t="s">
        <v>816</v>
      </c>
      <c r="AA123" s="39" t="s">
        <v>829</v>
      </c>
      <c r="AB123" s="44">
        <v>6285880078885</v>
      </c>
      <c r="AC123" s="39" t="s">
        <v>830</v>
      </c>
      <c r="AD123" s="39"/>
      <c r="AE123" s="39" t="s">
        <v>831</v>
      </c>
      <c r="AF123" s="39" t="s">
        <v>373</v>
      </c>
      <c r="AG123" s="39" t="s">
        <v>822</v>
      </c>
      <c r="AH123" s="39" t="s">
        <v>1908</v>
      </c>
      <c r="AI123" s="39" t="s">
        <v>823</v>
      </c>
      <c r="AJ123" s="39" t="s">
        <v>1931</v>
      </c>
      <c r="AK123" t="b">
        <f t="shared" si="3"/>
        <v>1</v>
      </c>
      <c r="AL123" t="b">
        <f t="shared" si="4"/>
        <v>1</v>
      </c>
      <c r="AN123" t="e">
        <v>#N/A</v>
      </c>
      <c r="AP123" t="e">
        <f>_xlfn.XLOOKUP(F123,'Kolom info id dse &amp; part cd'!D:D,'Kolom info id dse &amp; part cd'!I:I)</f>
        <v>#N/A</v>
      </c>
      <c r="AQ123" t="e">
        <f t="shared" si="5"/>
        <v>#N/A</v>
      </c>
      <c r="AR123" t="str">
        <f>_xlfn.XLOOKUP($E123,'[1]Referensi New'!$D:$D,'[1]Referensi New'!$V:$V)</f>
        <v>CSO-SELATAN-03</v>
      </c>
    </row>
    <row r="124" spans="1:44" ht="16">
      <c r="A124" s="39" t="s">
        <v>20</v>
      </c>
      <c r="B124" s="39" t="s">
        <v>21</v>
      </c>
      <c r="C124" s="39" t="s">
        <v>805</v>
      </c>
      <c r="D124" s="39" t="s">
        <v>806</v>
      </c>
      <c r="E124" s="39" t="s">
        <v>807</v>
      </c>
      <c r="F124" s="39" t="s">
        <v>808</v>
      </c>
      <c r="G124" s="39" t="s">
        <v>809</v>
      </c>
      <c r="H124" s="39" t="s">
        <v>635</v>
      </c>
      <c r="I124" s="39" t="b">
        <v>0</v>
      </c>
      <c r="J124" s="39" t="s">
        <v>635</v>
      </c>
      <c r="K124" s="39" t="b">
        <v>0</v>
      </c>
      <c r="L124" s="39" t="s">
        <v>832</v>
      </c>
      <c r="M124" s="39"/>
      <c r="N124" t="s">
        <v>832</v>
      </c>
      <c r="O124" t="s">
        <v>833</v>
      </c>
      <c r="P124" t="s">
        <v>43</v>
      </c>
      <c r="Q124" s="39" t="s">
        <v>88</v>
      </c>
      <c r="R124" s="39" t="s">
        <v>45</v>
      </c>
      <c r="S124" s="39" t="s">
        <v>834</v>
      </c>
      <c r="T124" s="39" t="s">
        <v>834</v>
      </c>
      <c r="U124" s="39" t="s">
        <v>834</v>
      </c>
      <c r="V124" s="39"/>
      <c r="W124" s="39" t="s">
        <v>835</v>
      </c>
      <c r="X124" s="39" t="s">
        <v>836</v>
      </c>
      <c r="Y124" s="39" t="s">
        <v>68</v>
      </c>
      <c r="Z124" s="39"/>
      <c r="AA124" s="39"/>
      <c r="AB124" s="44">
        <v>6281400762344</v>
      </c>
      <c r="AC124" s="39"/>
      <c r="AD124" s="39"/>
      <c r="AE124" s="39" t="s">
        <v>837</v>
      </c>
      <c r="AF124" s="39"/>
      <c r="AG124" s="39" t="s">
        <v>808</v>
      </c>
      <c r="AH124" s="39" t="s">
        <v>1908</v>
      </c>
      <c r="AI124" s="39" t="s">
        <v>809</v>
      </c>
      <c r="AJ124" s="39" t="s">
        <v>1931</v>
      </c>
      <c r="AK124" t="b">
        <f t="shared" si="3"/>
        <v>1</v>
      </c>
      <c r="AL124" t="b">
        <f t="shared" si="4"/>
        <v>1</v>
      </c>
      <c r="AN124" t="e">
        <v>#N/A</v>
      </c>
      <c r="AP124" t="e">
        <f>_xlfn.XLOOKUP(F124,'Kolom info id dse &amp; part cd'!D:D,'Kolom info id dse &amp; part cd'!I:I)</f>
        <v>#N/A</v>
      </c>
      <c r="AQ124" t="e">
        <f t="shared" si="5"/>
        <v>#N/A</v>
      </c>
      <c r="AR124" t="str">
        <f>_xlfn.XLOOKUP($E124,'[1]Referensi New'!$D:$D,'[1]Referensi New'!$V:$V)</f>
        <v>CSO-SELATAN-01</v>
      </c>
    </row>
    <row r="125" spans="1:44" ht="16">
      <c r="A125" s="39" t="s">
        <v>20</v>
      </c>
      <c r="B125" s="39" t="s">
        <v>21</v>
      </c>
      <c r="C125" s="39" t="s">
        <v>805</v>
      </c>
      <c r="D125" s="39" t="s">
        <v>838</v>
      </c>
      <c r="E125" s="39" t="s">
        <v>839</v>
      </c>
      <c r="F125" s="39" t="s">
        <v>840</v>
      </c>
      <c r="G125" s="39" t="s">
        <v>841</v>
      </c>
      <c r="H125" s="39" t="s">
        <v>635</v>
      </c>
      <c r="I125" s="39" t="b">
        <v>0</v>
      </c>
      <c r="J125" s="39" t="s">
        <v>635</v>
      </c>
      <c r="K125" s="39" t="b">
        <v>0</v>
      </c>
      <c r="L125" s="39" t="s">
        <v>842</v>
      </c>
      <c r="M125" s="39"/>
      <c r="N125" t="s">
        <v>842</v>
      </c>
      <c r="O125" t="s">
        <v>843</v>
      </c>
      <c r="P125" t="s">
        <v>43</v>
      </c>
      <c r="Q125" s="39" t="s">
        <v>88</v>
      </c>
      <c r="R125" s="39" t="s">
        <v>44</v>
      </c>
      <c r="S125" s="39" t="s">
        <v>844</v>
      </c>
      <c r="T125" s="39" t="s">
        <v>844</v>
      </c>
      <c r="U125" s="39" t="s">
        <v>845</v>
      </c>
      <c r="V125" s="39" t="b">
        <v>0</v>
      </c>
      <c r="W125" s="39" t="s">
        <v>846</v>
      </c>
      <c r="X125" s="39" t="s">
        <v>847</v>
      </c>
      <c r="Y125" s="39" t="s">
        <v>68</v>
      </c>
      <c r="Z125" s="39" t="s">
        <v>816</v>
      </c>
      <c r="AA125" s="39" t="s">
        <v>848</v>
      </c>
      <c r="AB125" s="44">
        <v>6285882632792</v>
      </c>
      <c r="AC125" s="39" t="s">
        <v>849</v>
      </c>
      <c r="AD125" s="39"/>
      <c r="AE125" s="39" t="s">
        <v>850</v>
      </c>
      <c r="AF125" s="39" t="s">
        <v>373</v>
      </c>
      <c r="AG125" s="39" t="s">
        <v>840</v>
      </c>
      <c r="AH125" s="39" t="s">
        <v>1908</v>
      </c>
      <c r="AI125" s="39" t="s">
        <v>841</v>
      </c>
      <c r="AJ125" s="39" t="s">
        <v>1931</v>
      </c>
      <c r="AK125" t="b">
        <f t="shared" si="3"/>
        <v>1</v>
      </c>
      <c r="AL125" t="b">
        <f t="shared" si="4"/>
        <v>1</v>
      </c>
      <c r="AN125" t="e">
        <v>#N/A</v>
      </c>
      <c r="AP125" t="e">
        <f>_xlfn.XLOOKUP(F125,'Kolom info id dse &amp; part cd'!D:D,'Kolom info id dse &amp; part cd'!I:I)</f>
        <v>#N/A</v>
      </c>
      <c r="AQ125" t="e">
        <f t="shared" si="5"/>
        <v>#N/A</v>
      </c>
      <c r="AR125" t="str">
        <f>_xlfn.XLOOKUP($E125,'[1]Referensi New'!$D:$D,'[1]Referensi New'!$V:$V)</f>
        <v>CSO-SELATAN-07</v>
      </c>
    </row>
    <row r="126" spans="1:44" ht="16">
      <c r="A126" s="39" t="s">
        <v>20</v>
      </c>
      <c r="B126" s="39" t="s">
        <v>21</v>
      </c>
      <c r="C126" s="39" t="s">
        <v>805</v>
      </c>
      <c r="D126" s="39" t="s">
        <v>806</v>
      </c>
      <c r="E126" s="39" t="s">
        <v>807</v>
      </c>
      <c r="F126" s="39" t="s">
        <v>808</v>
      </c>
      <c r="G126" s="39" t="s">
        <v>809</v>
      </c>
      <c r="H126" s="39" t="s">
        <v>635</v>
      </c>
      <c r="I126" s="39" t="b">
        <v>0</v>
      </c>
      <c r="J126" s="39" t="s">
        <v>635</v>
      </c>
      <c r="K126" s="39" t="b">
        <v>0</v>
      </c>
      <c r="L126" s="39" t="s">
        <v>851</v>
      </c>
      <c r="M126" s="39"/>
      <c r="N126" t="s">
        <v>851</v>
      </c>
      <c r="O126" t="s">
        <v>852</v>
      </c>
      <c r="P126" t="s">
        <v>43</v>
      </c>
      <c r="Q126" s="39" t="s">
        <v>88</v>
      </c>
      <c r="R126" s="39" t="s">
        <v>44</v>
      </c>
      <c r="S126" s="39" t="s">
        <v>853</v>
      </c>
      <c r="T126" s="39" t="s">
        <v>853</v>
      </c>
      <c r="U126" s="39" t="s">
        <v>854</v>
      </c>
      <c r="V126" s="39" t="b">
        <v>0</v>
      </c>
      <c r="W126" s="39" t="s">
        <v>855</v>
      </c>
      <c r="X126" s="39" t="s">
        <v>856</v>
      </c>
      <c r="Y126" s="39" t="s">
        <v>68</v>
      </c>
      <c r="Z126" s="39" t="s">
        <v>816</v>
      </c>
      <c r="AA126" s="39" t="s">
        <v>857</v>
      </c>
      <c r="AB126" s="44">
        <v>6285813033710</v>
      </c>
      <c r="AC126" s="39" t="s">
        <v>858</v>
      </c>
      <c r="AD126" s="39"/>
      <c r="AE126" s="39" t="s">
        <v>859</v>
      </c>
      <c r="AF126" s="39" t="s">
        <v>373</v>
      </c>
      <c r="AG126" s="39" t="s">
        <v>808</v>
      </c>
      <c r="AH126" s="39" t="s">
        <v>1908</v>
      </c>
      <c r="AI126" s="39" t="s">
        <v>809</v>
      </c>
      <c r="AJ126" s="39" t="s">
        <v>1931</v>
      </c>
      <c r="AK126" t="b">
        <f t="shared" si="3"/>
        <v>1</v>
      </c>
      <c r="AL126" t="b">
        <f t="shared" si="4"/>
        <v>1</v>
      </c>
      <c r="AN126" t="e">
        <v>#N/A</v>
      </c>
      <c r="AP126" t="e">
        <f>_xlfn.XLOOKUP(F126,'Kolom info id dse &amp; part cd'!D:D,'Kolom info id dse &amp; part cd'!I:I)</f>
        <v>#N/A</v>
      </c>
      <c r="AQ126" t="e">
        <f t="shared" si="5"/>
        <v>#N/A</v>
      </c>
      <c r="AR126" t="str">
        <f>_xlfn.XLOOKUP($E126,'[1]Referensi New'!$D:$D,'[1]Referensi New'!$V:$V)</f>
        <v>CSO-SELATAN-01</v>
      </c>
    </row>
    <row r="127" spans="1:44" ht="16">
      <c r="A127" s="39" t="s">
        <v>20</v>
      </c>
      <c r="B127" s="39" t="s">
        <v>21</v>
      </c>
      <c r="C127" s="39" t="s">
        <v>805</v>
      </c>
      <c r="D127" s="39" t="s">
        <v>820</v>
      </c>
      <c r="E127" s="39" t="s">
        <v>821</v>
      </c>
      <c r="F127" s="39" t="s">
        <v>822</v>
      </c>
      <c r="G127" s="39" t="s">
        <v>823</v>
      </c>
      <c r="H127" s="39" t="s">
        <v>635</v>
      </c>
      <c r="I127" s="39" t="b">
        <v>0</v>
      </c>
      <c r="J127" s="39" t="s">
        <v>635</v>
      </c>
      <c r="K127" s="39" t="b">
        <v>0</v>
      </c>
      <c r="L127" s="39" t="s">
        <v>860</v>
      </c>
      <c r="M127" s="39"/>
      <c r="N127" t="s">
        <v>860</v>
      </c>
      <c r="O127" t="s">
        <v>861</v>
      </c>
      <c r="P127" t="s">
        <v>43</v>
      </c>
      <c r="Q127" s="39" t="s">
        <v>88</v>
      </c>
      <c r="R127" s="39" t="s">
        <v>45</v>
      </c>
      <c r="S127" s="39" t="s">
        <v>862</v>
      </c>
      <c r="T127" s="39" t="s">
        <v>862</v>
      </c>
      <c r="U127" s="39" t="s">
        <v>862</v>
      </c>
      <c r="V127" s="39"/>
      <c r="W127" s="39" t="s">
        <v>863</v>
      </c>
      <c r="X127" s="39" t="s">
        <v>864</v>
      </c>
      <c r="Y127" s="39" t="s">
        <v>68</v>
      </c>
      <c r="Z127" s="39"/>
      <c r="AA127" s="39"/>
      <c r="AB127" s="44">
        <v>6285811023192</v>
      </c>
      <c r="AC127" s="39"/>
      <c r="AD127" s="39"/>
      <c r="AE127" s="39" t="s">
        <v>865</v>
      </c>
      <c r="AF127" s="39"/>
      <c r="AG127" s="39" t="s">
        <v>822</v>
      </c>
      <c r="AH127" s="39" t="s">
        <v>1908</v>
      </c>
      <c r="AI127" s="39" t="s">
        <v>823</v>
      </c>
      <c r="AJ127" s="39" t="s">
        <v>1931</v>
      </c>
      <c r="AK127" t="b">
        <f t="shared" si="3"/>
        <v>1</v>
      </c>
      <c r="AL127" t="b">
        <f t="shared" si="4"/>
        <v>1</v>
      </c>
      <c r="AN127" t="e">
        <v>#N/A</v>
      </c>
      <c r="AP127" t="e">
        <f>_xlfn.XLOOKUP(F127,'Kolom info id dse &amp; part cd'!D:D,'Kolom info id dse &amp; part cd'!I:I)</f>
        <v>#N/A</v>
      </c>
      <c r="AQ127" t="e">
        <f t="shared" si="5"/>
        <v>#N/A</v>
      </c>
      <c r="AR127" t="str">
        <f>_xlfn.XLOOKUP($E127,'[1]Referensi New'!$D:$D,'[1]Referensi New'!$V:$V)</f>
        <v>CSO-SELATAN-03</v>
      </c>
    </row>
    <row r="128" spans="1:44" ht="16">
      <c r="A128" s="39" t="s">
        <v>20</v>
      </c>
      <c r="B128" s="39" t="s">
        <v>21</v>
      </c>
      <c r="C128" s="39" t="s">
        <v>805</v>
      </c>
      <c r="D128" s="39" t="s">
        <v>866</v>
      </c>
      <c r="E128" s="39" t="s">
        <v>867</v>
      </c>
      <c r="F128" s="39" t="s">
        <v>868</v>
      </c>
      <c r="G128" s="39" t="s">
        <v>869</v>
      </c>
      <c r="H128" s="39" t="s">
        <v>319</v>
      </c>
      <c r="I128" s="39" t="b">
        <v>0</v>
      </c>
      <c r="J128" s="39" t="s">
        <v>319</v>
      </c>
      <c r="K128" s="39" t="b">
        <v>0</v>
      </c>
      <c r="L128" s="39" t="s">
        <v>870</v>
      </c>
      <c r="M128" s="39"/>
      <c r="N128" t="s">
        <v>870</v>
      </c>
      <c r="O128" t="s">
        <v>871</v>
      </c>
      <c r="P128" t="s">
        <v>43</v>
      </c>
      <c r="Q128" s="39" t="s">
        <v>88</v>
      </c>
      <c r="R128" s="39" t="s">
        <v>44</v>
      </c>
      <c r="S128" s="39" t="s">
        <v>872</v>
      </c>
      <c r="T128" s="39" t="s">
        <v>872</v>
      </c>
      <c r="U128" s="39" t="s">
        <v>872</v>
      </c>
      <c r="V128" s="39" t="b">
        <v>0</v>
      </c>
      <c r="W128" s="39" t="s">
        <v>873</v>
      </c>
      <c r="X128" s="39" t="s">
        <v>874</v>
      </c>
      <c r="Y128" s="39" t="s">
        <v>68</v>
      </c>
      <c r="Z128" s="39" t="s">
        <v>32</v>
      </c>
      <c r="AA128" s="39" t="s">
        <v>875</v>
      </c>
      <c r="AB128" s="44">
        <v>6285777813959</v>
      </c>
      <c r="AC128" s="39" t="s">
        <v>876</v>
      </c>
      <c r="AD128" s="39"/>
      <c r="AE128" s="39" t="s">
        <v>877</v>
      </c>
      <c r="AF128" s="39" t="s">
        <v>373</v>
      </c>
      <c r="AG128" s="39" t="s">
        <v>868</v>
      </c>
      <c r="AH128" s="39" t="s">
        <v>1907</v>
      </c>
      <c r="AI128" s="39" t="s">
        <v>869</v>
      </c>
      <c r="AJ128" s="39" t="s">
        <v>1932</v>
      </c>
      <c r="AK128" t="b">
        <f t="shared" si="3"/>
        <v>1</v>
      </c>
      <c r="AL128" t="b">
        <f t="shared" si="4"/>
        <v>1</v>
      </c>
      <c r="AN128" t="e">
        <v>#N/A</v>
      </c>
      <c r="AP128" t="e">
        <f>_xlfn.XLOOKUP(F128,'Kolom info id dse &amp; part cd'!D:D,'Kolom info id dse &amp; part cd'!I:I)</f>
        <v>#N/A</v>
      </c>
      <c r="AQ128" t="e">
        <f t="shared" si="5"/>
        <v>#N/A</v>
      </c>
      <c r="AR128" t="str">
        <f>_xlfn.XLOOKUP($E128,'[1]Referensi New'!$D:$D,'[1]Referensi New'!$V:$V)</f>
        <v>CSO-UTARA-02</v>
      </c>
    </row>
    <row r="129" spans="1:44" ht="16">
      <c r="A129" s="39" t="s">
        <v>20</v>
      </c>
      <c r="B129" s="39" t="s">
        <v>21</v>
      </c>
      <c r="C129" s="39" t="s">
        <v>805</v>
      </c>
      <c r="D129" s="39" t="s">
        <v>878</v>
      </c>
      <c r="E129" s="39" t="s">
        <v>879</v>
      </c>
      <c r="F129" s="39" t="s">
        <v>880</v>
      </c>
      <c r="G129" s="39" t="s">
        <v>881</v>
      </c>
      <c r="H129" s="39" t="s">
        <v>319</v>
      </c>
      <c r="I129" s="39" t="b">
        <v>0</v>
      </c>
      <c r="J129" s="39" t="s">
        <v>319</v>
      </c>
      <c r="K129" s="39" t="b">
        <v>0</v>
      </c>
      <c r="L129" s="39" t="s">
        <v>882</v>
      </c>
      <c r="M129" s="39"/>
      <c r="N129" t="s">
        <v>882</v>
      </c>
      <c r="O129" t="s">
        <v>883</v>
      </c>
      <c r="P129" t="s">
        <v>43</v>
      </c>
      <c r="Q129" s="39" t="s">
        <v>88</v>
      </c>
      <c r="R129" s="39" t="s">
        <v>45</v>
      </c>
      <c r="S129" s="39" t="s">
        <v>884</v>
      </c>
      <c r="T129" s="39" t="s">
        <v>884</v>
      </c>
      <c r="U129" s="39" t="s">
        <v>884</v>
      </c>
      <c r="V129" s="39"/>
      <c r="W129" s="39" t="s">
        <v>885</v>
      </c>
      <c r="X129" s="39" t="s">
        <v>886</v>
      </c>
      <c r="Y129" s="39" t="s">
        <v>68</v>
      </c>
      <c r="Z129" s="39"/>
      <c r="AA129" s="39"/>
      <c r="AB129" s="44">
        <v>6280086422475</v>
      </c>
      <c r="AC129" s="39"/>
      <c r="AD129" s="39"/>
      <c r="AE129" s="39" t="s">
        <v>887</v>
      </c>
      <c r="AF129" s="39"/>
      <c r="AG129" s="39" t="s">
        <v>880</v>
      </c>
      <c r="AH129" s="39" t="s">
        <v>1907</v>
      </c>
      <c r="AI129" s="39" t="s">
        <v>881</v>
      </c>
      <c r="AJ129" s="39" t="s">
        <v>1932</v>
      </c>
      <c r="AK129" t="b">
        <f t="shared" si="3"/>
        <v>1</v>
      </c>
      <c r="AL129" t="b">
        <f t="shared" si="4"/>
        <v>1</v>
      </c>
      <c r="AN129" t="e">
        <v>#N/A</v>
      </c>
      <c r="AP129" t="e">
        <f>_xlfn.XLOOKUP(F129,'Kolom info id dse &amp; part cd'!D:D,'Kolom info id dse &amp; part cd'!I:I)</f>
        <v>#N/A</v>
      </c>
      <c r="AQ129" t="e">
        <f t="shared" si="5"/>
        <v>#N/A</v>
      </c>
      <c r="AR129" t="str">
        <f>_xlfn.XLOOKUP($E129,'[1]Referensi New'!$D:$D,'[1]Referensi New'!$V:$V)</f>
        <v>CSO-UTARA-03</v>
      </c>
    </row>
    <row r="130" spans="1:44" ht="16">
      <c r="A130" s="39" t="s">
        <v>20</v>
      </c>
      <c r="B130" s="39" t="s">
        <v>21</v>
      </c>
      <c r="C130" s="39" t="s">
        <v>805</v>
      </c>
      <c r="D130" s="39" t="s">
        <v>866</v>
      </c>
      <c r="E130" s="39" t="s">
        <v>867</v>
      </c>
      <c r="F130" s="39" t="s">
        <v>868</v>
      </c>
      <c r="G130" s="39" t="s">
        <v>869</v>
      </c>
      <c r="H130" s="39" t="s">
        <v>319</v>
      </c>
      <c r="I130" s="39" t="b">
        <v>0</v>
      </c>
      <c r="J130" s="39" t="s">
        <v>319</v>
      </c>
      <c r="K130" s="39" t="b">
        <v>0</v>
      </c>
      <c r="L130" s="39" t="s">
        <v>888</v>
      </c>
      <c r="M130" s="39"/>
      <c r="N130" t="s">
        <v>888</v>
      </c>
      <c r="O130" t="s">
        <v>889</v>
      </c>
      <c r="P130" t="s">
        <v>43</v>
      </c>
      <c r="Q130" s="39" t="s">
        <v>88</v>
      </c>
      <c r="R130" s="39" t="s">
        <v>45</v>
      </c>
      <c r="S130" s="39" t="s">
        <v>890</v>
      </c>
      <c r="T130" s="39" t="s">
        <v>890</v>
      </c>
      <c r="U130" s="39" t="s">
        <v>890</v>
      </c>
      <c r="V130" s="39"/>
      <c r="W130" s="39" t="s">
        <v>891</v>
      </c>
      <c r="X130" s="39" t="s">
        <v>892</v>
      </c>
      <c r="Y130" s="39" t="s">
        <v>68</v>
      </c>
      <c r="Z130" s="39"/>
      <c r="AA130" s="39"/>
      <c r="AB130" s="44">
        <v>6280086422476</v>
      </c>
      <c r="AC130" s="39"/>
      <c r="AD130" s="39"/>
      <c r="AE130" s="39" t="s">
        <v>893</v>
      </c>
      <c r="AF130" s="39"/>
      <c r="AG130" s="39" t="s">
        <v>868</v>
      </c>
      <c r="AH130" s="39" t="s">
        <v>1907</v>
      </c>
      <c r="AI130" s="39" t="s">
        <v>869</v>
      </c>
      <c r="AJ130" s="39" t="s">
        <v>1932</v>
      </c>
      <c r="AK130" t="b">
        <f t="shared" ref="AK130:AK193" si="6">AG130=F130</f>
        <v>1</v>
      </c>
      <c r="AL130" t="b">
        <f t="shared" ref="AL130:AL193" si="7">AI130=G130</f>
        <v>1</v>
      </c>
      <c r="AN130" t="e">
        <v>#N/A</v>
      </c>
      <c r="AP130" t="e">
        <f>_xlfn.XLOOKUP(F130,'Kolom info id dse &amp; part cd'!D:D,'Kolom info id dse &amp; part cd'!I:I)</f>
        <v>#N/A</v>
      </c>
      <c r="AQ130" t="e">
        <f t="shared" si="5"/>
        <v>#N/A</v>
      </c>
      <c r="AR130" t="str">
        <f>_xlfn.XLOOKUP($E130,'[1]Referensi New'!$D:$D,'[1]Referensi New'!$V:$V)</f>
        <v>CSO-UTARA-02</v>
      </c>
    </row>
    <row r="131" spans="1:44" ht="16">
      <c r="A131" s="39" t="s">
        <v>20</v>
      </c>
      <c r="B131" s="39" t="s">
        <v>21</v>
      </c>
      <c r="C131" s="39" t="s">
        <v>805</v>
      </c>
      <c r="D131" s="39" t="s">
        <v>866</v>
      </c>
      <c r="E131" s="39" t="s">
        <v>867</v>
      </c>
      <c r="F131" s="39" t="s">
        <v>868</v>
      </c>
      <c r="G131" s="39" t="s">
        <v>869</v>
      </c>
      <c r="H131" s="39" t="s">
        <v>319</v>
      </c>
      <c r="I131" s="39" t="b">
        <v>0</v>
      </c>
      <c r="J131" s="39" t="s">
        <v>319</v>
      </c>
      <c r="K131" s="39" t="b">
        <v>0</v>
      </c>
      <c r="L131" s="39" t="s">
        <v>894</v>
      </c>
      <c r="M131" s="39"/>
      <c r="N131" t="s">
        <v>894</v>
      </c>
      <c r="O131" t="s">
        <v>895</v>
      </c>
      <c r="P131" t="s">
        <v>43</v>
      </c>
      <c r="Q131" s="39" t="s">
        <v>88</v>
      </c>
      <c r="R131" s="39" t="s">
        <v>45</v>
      </c>
      <c r="S131" s="39" t="s">
        <v>896</v>
      </c>
      <c r="T131" s="39" t="s">
        <v>896</v>
      </c>
      <c r="U131" s="39" t="s">
        <v>896</v>
      </c>
      <c r="V131" s="39"/>
      <c r="W131" s="39" t="s">
        <v>897</v>
      </c>
      <c r="X131" s="39" t="s">
        <v>898</v>
      </c>
      <c r="Y131" s="39" t="s">
        <v>68</v>
      </c>
      <c r="Z131" s="39"/>
      <c r="AA131" s="39"/>
      <c r="AB131" s="44">
        <v>6280086422481</v>
      </c>
      <c r="AC131" s="39"/>
      <c r="AD131" s="39"/>
      <c r="AE131" s="39" t="s">
        <v>899</v>
      </c>
      <c r="AF131" s="39"/>
      <c r="AG131" s="39" t="s">
        <v>868</v>
      </c>
      <c r="AH131" s="39" t="s">
        <v>1907</v>
      </c>
      <c r="AI131" s="39" t="s">
        <v>869</v>
      </c>
      <c r="AJ131" s="39" t="s">
        <v>1932</v>
      </c>
      <c r="AK131" t="b">
        <f t="shared" si="6"/>
        <v>1</v>
      </c>
      <c r="AL131" t="b">
        <f t="shared" si="7"/>
        <v>1</v>
      </c>
      <c r="AN131" t="e">
        <v>#N/A</v>
      </c>
      <c r="AP131" t="e">
        <f>_xlfn.XLOOKUP(F131,'Kolom info id dse &amp; part cd'!D:D,'Kolom info id dse &amp; part cd'!I:I)</f>
        <v>#N/A</v>
      </c>
      <c r="AQ131" t="e">
        <f t="shared" ref="AQ131:AQ194" si="8">AP131=D131</f>
        <v>#N/A</v>
      </c>
      <c r="AR131" t="str">
        <f>_xlfn.XLOOKUP($E131,'[1]Referensi New'!$D:$D,'[1]Referensi New'!$V:$V)</f>
        <v>CSO-UTARA-02</v>
      </c>
    </row>
    <row r="132" spans="1:44" ht="16">
      <c r="A132" s="39" t="s">
        <v>20</v>
      </c>
      <c r="B132" s="39" t="s">
        <v>21</v>
      </c>
      <c r="C132" s="39" t="s">
        <v>805</v>
      </c>
      <c r="D132" s="39" t="s">
        <v>878</v>
      </c>
      <c r="E132" s="39" t="s">
        <v>879</v>
      </c>
      <c r="F132" s="39" t="s">
        <v>880</v>
      </c>
      <c r="G132" s="39" t="s">
        <v>881</v>
      </c>
      <c r="H132" s="39" t="s">
        <v>319</v>
      </c>
      <c r="I132" s="39" t="b">
        <v>0</v>
      </c>
      <c r="J132" s="39" t="s">
        <v>319</v>
      </c>
      <c r="K132" s="39" t="b">
        <v>0</v>
      </c>
      <c r="L132" s="39" t="s">
        <v>900</v>
      </c>
      <c r="M132" s="39"/>
      <c r="N132" t="s">
        <v>900</v>
      </c>
      <c r="O132" t="s">
        <v>901</v>
      </c>
      <c r="P132" t="s">
        <v>43</v>
      </c>
      <c r="Q132" s="39" t="s">
        <v>88</v>
      </c>
      <c r="R132" s="39" t="s">
        <v>44</v>
      </c>
      <c r="S132" s="39" t="s">
        <v>902</v>
      </c>
      <c r="T132" s="39" t="s">
        <v>902</v>
      </c>
      <c r="U132" s="39" t="s">
        <v>902</v>
      </c>
      <c r="V132" s="39" t="b">
        <v>0</v>
      </c>
      <c r="W132" s="39" t="s">
        <v>903</v>
      </c>
      <c r="X132" s="39" t="s">
        <v>904</v>
      </c>
      <c r="Y132" s="39" t="s">
        <v>68</v>
      </c>
      <c r="Z132" s="39" t="s">
        <v>32</v>
      </c>
      <c r="AA132" s="39" t="s">
        <v>905</v>
      </c>
      <c r="AB132" s="44">
        <v>6285664975358</v>
      </c>
      <c r="AC132" s="39" t="s">
        <v>906</v>
      </c>
      <c r="AD132" s="39"/>
      <c r="AE132" s="39" t="s">
        <v>907</v>
      </c>
      <c r="AF132" s="39" t="s">
        <v>373</v>
      </c>
      <c r="AG132" s="39" t="s">
        <v>880</v>
      </c>
      <c r="AH132" s="39" t="s">
        <v>1907</v>
      </c>
      <c r="AI132" s="39" t="s">
        <v>881</v>
      </c>
      <c r="AJ132" s="39" t="s">
        <v>1932</v>
      </c>
      <c r="AK132" t="b">
        <f t="shared" si="6"/>
        <v>1</v>
      </c>
      <c r="AL132" t="b">
        <f t="shared" si="7"/>
        <v>1</v>
      </c>
      <c r="AN132" t="e">
        <v>#N/A</v>
      </c>
      <c r="AP132" t="e">
        <f>_xlfn.XLOOKUP(F132,'Kolom info id dse &amp; part cd'!D:D,'Kolom info id dse &amp; part cd'!I:I)</f>
        <v>#N/A</v>
      </c>
      <c r="AQ132" t="e">
        <f t="shared" si="8"/>
        <v>#N/A</v>
      </c>
      <c r="AR132" t="str">
        <f>_xlfn.XLOOKUP($E132,'[1]Referensi New'!$D:$D,'[1]Referensi New'!$V:$V)</f>
        <v>CSO-UTARA-03</v>
      </c>
    </row>
    <row r="133" spans="1:44" ht="16">
      <c r="A133" s="39" t="s">
        <v>20</v>
      </c>
      <c r="B133" s="39" t="s">
        <v>21</v>
      </c>
      <c r="C133" s="39" t="s">
        <v>805</v>
      </c>
      <c r="D133" s="39" t="s">
        <v>878</v>
      </c>
      <c r="E133" s="39" t="s">
        <v>879</v>
      </c>
      <c r="F133" s="39" t="s">
        <v>880</v>
      </c>
      <c r="G133" s="39" t="s">
        <v>881</v>
      </c>
      <c r="H133" s="39" t="s">
        <v>319</v>
      </c>
      <c r="I133" s="39" t="b">
        <v>0</v>
      </c>
      <c r="J133" s="39" t="s">
        <v>319</v>
      </c>
      <c r="K133" s="39" t="b">
        <v>0</v>
      </c>
      <c r="L133" s="39" t="s">
        <v>908</v>
      </c>
      <c r="M133" s="39"/>
      <c r="N133" t="s">
        <v>908</v>
      </c>
      <c r="O133" t="s">
        <v>909</v>
      </c>
      <c r="P133" t="s">
        <v>43</v>
      </c>
      <c r="Q133" s="39" t="s">
        <v>88</v>
      </c>
      <c r="R133" s="39" t="s">
        <v>45</v>
      </c>
      <c r="S133" s="39" t="s">
        <v>910</v>
      </c>
      <c r="T133" s="39" t="s">
        <v>910</v>
      </c>
      <c r="U133" s="39" t="s">
        <v>910</v>
      </c>
      <c r="V133" s="39"/>
      <c r="W133" s="39" t="s">
        <v>911</v>
      </c>
      <c r="X133" s="39" t="s">
        <v>912</v>
      </c>
      <c r="Y133" s="39" t="s">
        <v>68</v>
      </c>
      <c r="Z133" s="39"/>
      <c r="AA133" s="39"/>
      <c r="AB133" s="44">
        <v>6285774654948</v>
      </c>
      <c r="AC133" s="39"/>
      <c r="AD133" s="39"/>
      <c r="AE133" s="39" t="s">
        <v>913</v>
      </c>
      <c r="AF133" s="39"/>
      <c r="AG133" s="39" t="s">
        <v>880</v>
      </c>
      <c r="AH133" s="39" t="s">
        <v>1907</v>
      </c>
      <c r="AI133" s="39" t="s">
        <v>881</v>
      </c>
      <c r="AJ133" s="39" t="s">
        <v>1932</v>
      </c>
      <c r="AK133" t="b">
        <f t="shared" si="6"/>
        <v>1</v>
      </c>
      <c r="AL133" t="b">
        <f t="shared" si="7"/>
        <v>1</v>
      </c>
      <c r="AN133" t="e">
        <v>#N/A</v>
      </c>
      <c r="AP133" t="e">
        <f>_xlfn.XLOOKUP(F133,'Kolom info id dse &amp; part cd'!D:D,'Kolom info id dse &amp; part cd'!I:I)</f>
        <v>#N/A</v>
      </c>
      <c r="AQ133" t="e">
        <f t="shared" si="8"/>
        <v>#N/A</v>
      </c>
      <c r="AR133" t="str">
        <f>_xlfn.XLOOKUP($E133,'[1]Referensi New'!$D:$D,'[1]Referensi New'!$V:$V)</f>
        <v>CSO-UTARA-03</v>
      </c>
    </row>
    <row r="134" spans="1:44" ht="16">
      <c r="A134" s="39" t="s">
        <v>20</v>
      </c>
      <c r="B134" s="39" t="s">
        <v>21</v>
      </c>
      <c r="C134" s="39" t="s">
        <v>805</v>
      </c>
      <c r="D134" s="39" t="s">
        <v>866</v>
      </c>
      <c r="E134" s="39" t="s">
        <v>920</v>
      </c>
      <c r="F134" s="39" t="s">
        <v>921</v>
      </c>
      <c r="G134" s="39" t="s">
        <v>922</v>
      </c>
      <c r="H134" s="39" t="s">
        <v>923</v>
      </c>
      <c r="I134" s="39" t="b">
        <v>0</v>
      </c>
      <c r="J134" s="39" t="s">
        <v>923</v>
      </c>
      <c r="K134" s="39" t="b">
        <v>0</v>
      </c>
      <c r="L134" s="39" t="s">
        <v>924</v>
      </c>
      <c r="M134" s="39"/>
      <c r="N134" t="s">
        <v>924</v>
      </c>
      <c r="O134" t="s">
        <v>925</v>
      </c>
      <c r="P134" t="s">
        <v>43</v>
      </c>
      <c r="Q134" s="39" t="s">
        <v>88</v>
      </c>
      <c r="R134" s="39" t="s">
        <v>44</v>
      </c>
      <c r="S134" s="39" t="s">
        <v>926</v>
      </c>
      <c r="T134" s="39" t="s">
        <v>926</v>
      </c>
      <c r="U134" s="39" t="s">
        <v>926</v>
      </c>
      <c r="V134" s="39" t="b">
        <v>0</v>
      </c>
      <c r="W134" s="39" t="s">
        <v>927</v>
      </c>
      <c r="X134" s="39" t="s">
        <v>928</v>
      </c>
      <c r="Y134" s="39" t="s">
        <v>68</v>
      </c>
      <c r="Z134" s="39" t="s">
        <v>32</v>
      </c>
      <c r="AA134" s="39" t="s">
        <v>929</v>
      </c>
      <c r="AB134" s="44">
        <v>6285813655932</v>
      </c>
      <c r="AC134" s="39" t="s">
        <v>930</v>
      </c>
      <c r="AD134" s="39"/>
      <c r="AE134" s="39" t="s">
        <v>931</v>
      </c>
      <c r="AF134" s="39" t="s">
        <v>373</v>
      </c>
      <c r="AG134" s="39" t="s">
        <v>921</v>
      </c>
      <c r="AH134" s="39" t="s">
        <v>923</v>
      </c>
      <c r="AI134" s="39" t="s">
        <v>922</v>
      </c>
      <c r="AJ134" s="39" t="s">
        <v>1933</v>
      </c>
      <c r="AK134" t="b">
        <f t="shared" si="6"/>
        <v>1</v>
      </c>
      <c r="AL134" t="b">
        <f t="shared" si="7"/>
        <v>1</v>
      </c>
      <c r="AN134" t="e">
        <v>#N/A</v>
      </c>
      <c r="AP134" t="e">
        <f>_xlfn.XLOOKUP(F134,'Kolom info id dse &amp; part cd'!D:D,'Kolom info id dse &amp; part cd'!I:I)</f>
        <v>#N/A</v>
      </c>
      <c r="AQ134" t="e">
        <f t="shared" si="8"/>
        <v>#N/A</v>
      </c>
      <c r="AR134" t="str">
        <f>_xlfn.XLOOKUP($E134,'[1]Referensi New'!$D:$D,'[1]Referensi New'!$V:$V)</f>
        <v>DSE1807</v>
      </c>
    </row>
    <row r="135" spans="1:44" ht="16">
      <c r="A135" s="39" t="s">
        <v>20</v>
      </c>
      <c r="B135" s="39" t="s">
        <v>21</v>
      </c>
      <c r="C135" s="39" t="s">
        <v>130</v>
      </c>
      <c r="D135" s="39" t="s">
        <v>151</v>
      </c>
      <c r="E135" s="39" t="s">
        <v>932</v>
      </c>
      <c r="F135" s="39" t="s">
        <v>25</v>
      </c>
      <c r="G135" s="39" t="s">
        <v>26</v>
      </c>
      <c r="H135" s="39" t="s">
        <v>933</v>
      </c>
      <c r="I135" s="39" t="b">
        <v>0</v>
      </c>
      <c r="J135" s="39" t="s">
        <v>933</v>
      </c>
      <c r="K135" s="39" t="b">
        <v>0</v>
      </c>
      <c r="L135" s="39" t="s">
        <v>934</v>
      </c>
      <c r="M135" s="39"/>
      <c r="N135" t="s">
        <v>934</v>
      </c>
      <c r="O135" t="s">
        <v>935</v>
      </c>
      <c r="P135" t="s">
        <v>43</v>
      </c>
      <c r="Q135" s="39" t="s">
        <v>88</v>
      </c>
      <c r="R135" s="39" t="s">
        <v>45</v>
      </c>
      <c r="S135" s="39" t="s">
        <v>936</v>
      </c>
      <c r="T135" s="39" t="s">
        <v>936</v>
      </c>
      <c r="U135" s="39" t="s">
        <v>936</v>
      </c>
      <c r="V135" s="39" t="b">
        <v>0</v>
      </c>
      <c r="W135" s="39" t="s">
        <v>937</v>
      </c>
      <c r="X135" s="39" t="s">
        <v>938</v>
      </c>
      <c r="Y135" s="39" t="s">
        <v>310</v>
      </c>
      <c r="Z135" s="39" t="s">
        <v>32</v>
      </c>
      <c r="AA135" s="39"/>
      <c r="AB135" s="44">
        <v>6285710632634</v>
      </c>
      <c r="AC135" s="39" t="s">
        <v>939</v>
      </c>
      <c r="AD135" s="39" t="s">
        <v>312</v>
      </c>
      <c r="AE135" s="39" t="s">
        <v>940</v>
      </c>
      <c r="AF135" s="39" t="s">
        <v>373</v>
      </c>
      <c r="AG135" s="39" t="s">
        <v>25</v>
      </c>
      <c r="AH135" s="39" t="s">
        <v>933</v>
      </c>
      <c r="AI135" s="39" t="s">
        <v>26</v>
      </c>
      <c r="AJ135" s="39" t="s">
        <v>1934</v>
      </c>
      <c r="AK135" t="b">
        <f t="shared" si="6"/>
        <v>1</v>
      </c>
      <c r="AL135" t="b">
        <f t="shared" si="7"/>
        <v>1</v>
      </c>
      <c r="AN135" t="e">
        <v>#N/A</v>
      </c>
      <c r="AP135" t="e">
        <f>_xlfn.XLOOKUP(F135,'Kolom info id dse &amp; part cd'!D:D,'Kolom info id dse &amp; part cd'!I:I)</f>
        <v>#N/A</v>
      </c>
      <c r="AQ135" t="e">
        <f t="shared" si="8"/>
        <v>#N/A</v>
      </c>
      <c r="AR135" t="str">
        <f>_xlfn.XLOOKUP($E135,'[1]Referensi New'!$D:$D,'[1]Referensi New'!$V:$V)</f>
        <v>DSE22310006</v>
      </c>
    </row>
    <row r="136" spans="1:44" ht="16">
      <c r="A136" s="39" t="s">
        <v>20</v>
      </c>
      <c r="B136" s="39" t="s">
        <v>21</v>
      </c>
      <c r="C136" s="39" t="s">
        <v>70</v>
      </c>
      <c r="D136" s="39" t="s">
        <v>71</v>
      </c>
      <c r="E136" s="39" t="s">
        <v>72</v>
      </c>
      <c r="F136" s="39" t="s">
        <v>73</v>
      </c>
      <c r="G136" s="39" t="s">
        <v>74</v>
      </c>
      <c r="H136" s="39" t="s">
        <v>75</v>
      </c>
      <c r="I136" s="39" t="b">
        <v>0</v>
      </c>
      <c r="J136" s="39" t="s">
        <v>75</v>
      </c>
      <c r="K136" s="39" t="b">
        <v>0</v>
      </c>
      <c r="L136" s="39" t="s">
        <v>941</v>
      </c>
      <c r="M136" s="39"/>
      <c r="N136" t="s">
        <v>941</v>
      </c>
      <c r="O136" t="s">
        <v>942</v>
      </c>
      <c r="P136" t="s">
        <v>43</v>
      </c>
      <c r="Q136" s="39" t="s">
        <v>28</v>
      </c>
      <c r="R136" s="39" t="s">
        <v>45</v>
      </c>
      <c r="S136" s="39" t="s">
        <v>943</v>
      </c>
      <c r="T136" s="39"/>
      <c r="U136" s="39"/>
      <c r="V136" s="39"/>
      <c r="W136" s="39" t="s">
        <v>944</v>
      </c>
      <c r="X136" s="39" t="s">
        <v>945</v>
      </c>
      <c r="Y136" s="39" t="s">
        <v>68</v>
      </c>
      <c r="Z136" s="39" t="s">
        <v>32</v>
      </c>
      <c r="AA136" s="39"/>
      <c r="AB136" s="44">
        <v>6285692700649</v>
      </c>
      <c r="AC136" s="39"/>
      <c r="AD136" s="39"/>
      <c r="AE136" s="39" t="s">
        <v>946</v>
      </c>
      <c r="AF136" s="39"/>
      <c r="AG136" s="39" t="s">
        <v>73</v>
      </c>
      <c r="AH136" s="39" t="s">
        <v>1903</v>
      </c>
      <c r="AI136" s="39" t="s">
        <v>74</v>
      </c>
      <c r="AJ136" s="39" t="s">
        <v>1912</v>
      </c>
      <c r="AK136" t="b">
        <f t="shared" si="6"/>
        <v>1</v>
      </c>
      <c r="AL136" t="b">
        <f t="shared" si="7"/>
        <v>1</v>
      </c>
      <c r="AN136" t="e">
        <v>#N/A</v>
      </c>
      <c r="AP136" t="e">
        <f>_xlfn.XLOOKUP(F136,'Kolom info id dse &amp; part cd'!D:D,'Kolom info id dse &amp; part cd'!I:I)</f>
        <v>#N/A</v>
      </c>
      <c r="AQ136" t="e">
        <f t="shared" si="8"/>
        <v>#N/A</v>
      </c>
      <c r="AR136">
        <f>_xlfn.XLOOKUP($E136,'[1]Referensi New'!$D:$D,'[1]Referensi New'!$V:$V)</f>
        <v>2613050474</v>
      </c>
    </row>
    <row r="137" spans="1:44" ht="16">
      <c r="A137" s="39" t="s">
        <v>20</v>
      </c>
      <c r="B137" s="39" t="s">
        <v>21</v>
      </c>
      <c r="C137" s="39" t="s">
        <v>70</v>
      </c>
      <c r="D137" s="39" t="s">
        <v>71</v>
      </c>
      <c r="E137" s="39" t="s">
        <v>72</v>
      </c>
      <c r="F137" s="39" t="s">
        <v>73</v>
      </c>
      <c r="G137" s="39" t="s">
        <v>74</v>
      </c>
      <c r="H137" s="39" t="s">
        <v>75</v>
      </c>
      <c r="I137" s="39" t="b">
        <v>0</v>
      </c>
      <c r="J137" s="39" t="s">
        <v>75</v>
      </c>
      <c r="K137" s="39" t="b">
        <v>0</v>
      </c>
      <c r="L137" s="39" t="s">
        <v>947</v>
      </c>
      <c r="M137" s="39"/>
      <c r="N137" t="s">
        <v>947</v>
      </c>
      <c r="O137" t="s">
        <v>948</v>
      </c>
      <c r="P137" t="s">
        <v>43</v>
      </c>
      <c r="Q137" s="39" t="s">
        <v>28</v>
      </c>
      <c r="R137" s="39" t="s">
        <v>45</v>
      </c>
      <c r="S137" s="39" t="s">
        <v>949</v>
      </c>
      <c r="T137" s="39"/>
      <c r="U137" s="39"/>
      <c r="V137" s="39"/>
      <c r="W137" s="39" t="s">
        <v>950</v>
      </c>
      <c r="X137" s="39" t="s">
        <v>951</v>
      </c>
      <c r="Y137" s="39" t="s">
        <v>68</v>
      </c>
      <c r="Z137" s="39" t="s">
        <v>32</v>
      </c>
      <c r="AA137" s="39"/>
      <c r="AB137" s="44">
        <v>6285692700656</v>
      </c>
      <c r="AC137" s="39"/>
      <c r="AD137" s="39"/>
      <c r="AE137" s="39" t="s">
        <v>952</v>
      </c>
      <c r="AF137" s="39"/>
      <c r="AG137" s="39" t="s">
        <v>73</v>
      </c>
      <c r="AH137" s="39" t="s">
        <v>1903</v>
      </c>
      <c r="AI137" s="39" t="s">
        <v>74</v>
      </c>
      <c r="AJ137" s="39" t="s">
        <v>1912</v>
      </c>
      <c r="AK137" t="b">
        <f t="shared" si="6"/>
        <v>1</v>
      </c>
      <c r="AL137" t="b">
        <f t="shared" si="7"/>
        <v>1</v>
      </c>
      <c r="AN137" t="e">
        <v>#N/A</v>
      </c>
      <c r="AP137" t="e">
        <f>_xlfn.XLOOKUP(F137,'Kolom info id dse &amp; part cd'!D:D,'Kolom info id dse &amp; part cd'!I:I)</f>
        <v>#N/A</v>
      </c>
      <c r="AQ137" t="e">
        <f t="shared" si="8"/>
        <v>#N/A</v>
      </c>
      <c r="AR137">
        <f>_xlfn.XLOOKUP($E137,'[1]Referensi New'!$D:$D,'[1]Referensi New'!$V:$V)</f>
        <v>2613050474</v>
      </c>
    </row>
    <row r="138" spans="1:44" ht="16">
      <c r="A138" s="39" t="s">
        <v>20</v>
      </c>
      <c r="B138" s="39" t="s">
        <v>21</v>
      </c>
      <c r="C138" s="39" t="s">
        <v>70</v>
      </c>
      <c r="D138" s="39" t="s">
        <v>71</v>
      </c>
      <c r="E138" s="39" t="s">
        <v>72</v>
      </c>
      <c r="F138" s="39" t="s">
        <v>73</v>
      </c>
      <c r="G138" s="39" t="s">
        <v>74</v>
      </c>
      <c r="H138" s="39" t="s">
        <v>75</v>
      </c>
      <c r="I138" s="39" t="b">
        <v>0</v>
      </c>
      <c r="J138" s="39" t="s">
        <v>75</v>
      </c>
      <c r="K138" s="39" t="b">
        <v>0</v>
      </c>
      <c r="L138" s="39" t="s">
        <v>953</v>
      </c>
      <c r="M138" s="39"/>
      <c r="N138" t="s">
        <v>953</v>
      </c>
      <c r="O138" t="s">
        <v>954</v>
      </c>
      <c r="P138" t="s">
        <v>43</v>
      </c>
      <c r="Q138" s="39" t="s">
        <v>28</v>
      </c>
      <c r="R138" s="39" t="s">
        <v>45</v>
      </c>
      <c r="S138" s="39" t="s">
        <v>955</v>
      </c>
      <c r="T138" s="39"/>
      <c r="U138" s="39"/>
      <c r="V138" s="39"/>
      <c r="W138" s="39" t="s">
        <v>956</v>
      </c>
      <c r="X138" s="39" t="s">
        <v>957</v>
      </c>
      <c r="Y138" s="39" t="s">
        <v>68</v>
      </c>
      <c r="Z138" s="39" t="s">
        <v>32</v>
      </c>
      <c r="AA138" s="39"/>
      <c r="AB138" s="44">
        <v>6285692700657</v>
      </c>
      <c r="AC138" s="39"/>
      <c r="AD138" s="39"/>
      <c r="AE138" s="39" t="s">
        <v>958</v>
      </c>
      <c r="AF138" s="39"/>
      <c r="AG138" s="39" t="s">
        <v>73</v>
      </c>
      <c r="AH138" s="39" t="s">
        <v>1903</v>
      </c>
      <c r="AI138" s="39" t="s">
        <v>74</v>
      </c>
      <c r="AJ138" s="39" t="s">
        <v>1912</v>
      </c>
      <c r="AK138" t="b">
        <f t="shared" si="6"/>
        <v>1</v>
      </c>
      <c r="AL138" t="b">
        <f t="shared" si="7"/>
        <v>1</v>
      </c>
      <c r="AN138" t="e">
        <v>#N/A</v>
      </c>
      <c r="AP138" t="e">
        <f>_xlfn.XLOOKUP(F138,'Kolom info id dse &amp; part cd'!D:D,'Kolom info id dse &amp; part cd'!I:I)</f>
        <v>#N/A</v>
      </c>
      <c r="AQ138" t="e">
        <f t="shared" si="8"/>
        <v>#N/A</v>
      </c>
      <c r="AR138">
        <f>_xlfn.XLOOKUP($E138,'[1]Referensi New'!$D:$D,'[1]Referensi New'!$V:$V)</f>
        <v>2613050474</v>
      </c>
    </row>
    <row r="139" spans="1:44" ht="16">
      <c r="A139" s="39" t="s">
        <v>20</v>
      </c>
      <c r="B139" s="39" t="s">
        <v>21</v>
      </c>
      <c r="C139" s="39" t="s">
        <v>70</v>
      </c>
      <c r="D139" s="39" t="s">
        <v>102</v>
      </c>
      <c r="E139" s="39" t="s">
        <v>103</v>
      </c>
      <c r="F139" s="39" t="s">
        <v>104</v>
      </c>
      <c r="G139" s="39" t="s">
        <v>105</v>
      </c>
      <c r="H139" s="39" t="s">
        <v>75</v>
      </c>
      <c r="I139" s="39" t="b">
        <v>0</v>
      </c>
      <c r="J139" s="39" t="s">
        <v>75</v>
      </c>
      <c r="K139" s="39" t="b">
        <v>0</v>
      </c>
      <c r="L139" s="39" t="s">
        <v>959</v>
      </c>
      <c r="M139" s="39"/>
      <c r="N139" t="s">
        <v>959</v>
      </c>
      <c r="O139" t="s">
        <v>960</v>
      </c>
      <c r="P139" t="s">
        <v>43</v>
      </c>
      <c r="Q139" s="39" t="s">
        <v>28</v>
      </c>
      <c r="R139" s="39" t="s">
        <v>45</v>
      </c>
      <c r="S139" s="39" t="s">
        <v>961</v>
      </c>
      <c r="T139" s="39"/>
      <c r="U139" s="39"/>
      <c r="V139" s="39"/>
      <c r="W139" s="39" t="s">
        <v>962</v>
      </c>
      <c r="X139" s="39" t="s">
        <v>963</v>
      </c>
      <c r="Y139" s="39" t="s">
        <v>68</v>
      </c>
      <c r="Z139" s="39" t="s">
        <v>32</v>
      </c>
      <c r="AA139" s="39"/>
      <c r="AB139" s="44">
        <v>62856815404</v>
      </c>
      <c r="AC139" s="39"/>
      <c r="AD139" s="39"/>
      <c r="AE139" s="39" t="s">
        <v>964</v>
      </c>
      <c r="AF139" s="39"/>
      <c r="AG139" s="39" t="s">
        <v>104</v>
      </c>
      <c r="AH139" s="39" t="s">
        <v>1903</v>
      </c>
      <c r="AI139" s="39" t="s">
        <v>105</v>
      </c>
      <c r="AJ139" s="39" t="s">
        <v>1912</v>
      </c>
      <c r="AK139" t="b">
        <f t="shared" si="6"/>
        <v>1</v>
      </c>
      <c r="AL139" t="b">
        <f t="shared" si="7"/>
        <v>1</v>
      </c>
      <c r="AN139" t="e">
        <v>#N/A</v>
      </c>
      <c r="AP139" t="e">
        <f>_xlfn.XLOOKUP(F139,'Kolom info id dse &amp; part cd'!D:D,'Kolom info id dse &amp; part cd'!I:I)</f>
        <v>#N/A</v>
      </c>
      <c r="AQ139" t="e">
        <f t="shared" si="8"/>
        <v>#N/A</v>
      </c>
      <c r="AR139">
        <f>_xlfn.XLOOKUP($E139,'[1]Referensi New'!$D:$D,'[1]Referensi New'!$V:$V)</f>
        <v>2613051093</v>
      </c>
    </row>
    <row r="140" spans="1:44" ht="16">
      <c r="A140" s="39" t="s">
        <v>20</v>
      </c>
      <c r="B140" s="39" t="s">
        <v>21</v>
      </c>
      <c r="C140" s="39" t="s">
        <v>70</v>
      </c>
      <c r="D140" s="39" t="s">
        <v>102</v>
      </c>
      <c r="E140" s="39" t="s">
        <v>103</v>
      </c>
      <c r="F140" s="39" t="s">
        <v>104</v>
      </c>
      <c r="G140" s="39" t="s">
        <v>105</v>
      </c>
      <c r="H140" s="39" t="s">
        <v>75</v>
      </c>
      <c r="I140" s="39" t="b">
        <v>0</v>
      </c>
      <c r="J140" s="39" t="s">
        <v>75</v>
      </c>
      <c r="K140" s="39" t="b">
        <v>0</v>
      </c>
      <c r="L140" s="39" t="s">
        <v>965</v>
      </c>
      <c r="M140" s="39"/>
      <c r="N140" t="s">
        <v>965</v>
      </c>
      <c r="O140" t="s">
        <v>966</v>
      </c>
      <c r="P140" t="s">
        <v>43</v>
      </c>
      <c r="Q140" s="39" t="s">
        <v>28</v>
      </c>
      <c r="R140" s="39" t="s">
        <v>45</v>
      </c>
      <c r="S140" s="39" t="s">
        <v>967</v>
      </c>
      <c r="T140" s="39"/>
      <c r="U140" s="39"/>
      <c r="V140" s="39"/>
      <c r="W140" s="39" t="s">
        <v>968</v>
      </c>
      <c r="X140" s="39" t="s">
        <v>969</v>
      </c>
      <c r="Y140" s="39" t="s">
        <v>68</v>
      </c>
      <c r="Z140" s="39" t="s">
        <v>32</v>
      </c>
      <c r="AA140" s="39"/>
      <c r="AB140" s="44">
        <v>6285692700661</v>
      </c>
      <c r="AC140" s="39"/>
      <c r="AD140" s="39"/>
      <c r="AE140" s="39" t="s">
        <v>970</v>
      </c>
      <c r="AF140" s="39"/>
      <c r="AG140" s="39" t="s">
        <v>104</v>
      </c>
      <c r="AH140" s="39" t="s">
        <v>1903</v>
      </c>
      <c r="AI140" s="39" t="s">
        <v>105</v>
      </c>
      <c r="AJ140" s="39" t="s">
        <v>1912</v>
      </c>
      <c r="AK140" t="b">
        <f t="shared" si="6"/>
        <v>1</v>
      </c>
      <c r="AL140" t="b">
        <f t="shared" si="7"/>
        <v>1</v>
      </c>
      <c r="AN140" t="e">
        <v>#N/A</v>
      </c>
      <c r="AP140" t="e">
        <f>_xlfn.XLOOKUP(F140,'Kolom info id dse &amp; part cd'!D:D,'Kolom info id dse &amp; part cd'!I:I)</f>
        <v>#N/A</v>
      </c>
      <c r="AQ140" t="e">
        <f t="shared" si="8"/>
        <v>#N/A</v>
      </c>
      <c r="AR140">
        <f>_xlfn.XLOOKUP($E140,'[1]Referensi New'!$D:$D,'[1]Referensi New'!$V:$V)</f>
        <v>2613051093</v>
      </c>
    </row>
    <row r="141" spans="1:44" ht="16">
      <c r="A141" s="39" t="s">
        <v>20</v>
      </c>
      <c r="B141" s="39" t="s">
        <v>21</v>
      </c>
      <c r="C141" s="39" t="s">
        <v>70</v>
      </c>
      <c r="D141" s="39" t="s">
        <v>71</v>
      </c>
      <c r="E141" s="39" t="s">
        <v>72</v>
      </c>
      <c r="F141" s="39" t="s">
        <v>73</v>
      </c>
      <c r="G141" s="39" t="s">
        <v>74</v>
      </c>
      <c r="H141" s="39" t="s">
        <v>75</v>
      </c>
      <c r="I141" s="39" t="b">
        <v>0</v>
      </c>
      <c r="J141" s="39" t="s">
        <v>75</v>
      </c>
      <c r="K141" s="39" t="b">
        <v>0</v>
      </c>
      <c r="L141" s="39" t="s">
        <v>971</v>
      </c>
      <c r="M141" s="39"/>
      <c r="N141" t="s">
        <v>971</v>
      </c>
      <c r="O141" t="s">
        <v>972</v>
      </c>
      <c r="P141" t="s">
        <v>43</v>
      </c>
      <c r="Q141" s="39" t="s">
        <v>28</v>
      </c>
      <c r="R141" s="39" t="s">
        <v>45</v>
      </c>
      <c r="S141" s="39" t="s">
        <v>973</v>
      </c>
      <c r="T141" s="39"/>
      <c r="U141" s="39"/>
      <c r="V141" s="39"/>
      <c r="W141" s="39" t="s">
        <v>974</v>
      </c>
      <c r="X141" s="39" t="s">
        <v>975</v>
      </c>
      <c r="Y141" s="39" t="s">
        <v>68</v>
      </c>
      <c r="Z141" s="39" t="s">
        <v>32</v>
      </c>
      <c r="AA141" s="39"/>
      <c r="AB141" s="44">
        <v>6285692700662</v>
      </c>
      <c r="AC141" s="39"/>
      <c r="AD141" s="39"/>
      <c r="AE141" s="39" t="s">
        <v>976</v>
      </c>
      <c r="AF141" s="39"/>
      <c r="AG141" s="39" t="s">
        <v>73</v>
      </c>
      <c r="AH141" s="39" t="s">
        <v>1903</v>
      </c>
      <c r="AI141" s="39" t="s">
        <v>74</v>
      </c>
      <c r="AJ141" s="39" t="s">
        <v>1912</v>
      </c>
      <c r="AK141" t="b">
        <f t="shared" si="6"/>
        <v>1</v>
      </c>
      <c r="AL141" t="b">
        <f t="shared" si="7"/>
        <v>1</v>
      </c>
      <c r="AN141" t="e">
        <v>#N/A</v>
      </c>
      <c r="AP141" t="e">
        <f>_xlfn.XLOOKUP(F141,'Kolom info id dse &amp; part cd'!D:D,'Kolom info id dse &amp; part cd'!I:I)</f>
        <v>#N/A</v>
      </c>
      <c r="AQ141" t="e">
        <f t="shared" si="8"/>
        <v>#N/A</v>
      </c>
      <c r="AR141">
        <f>_xlfn.XLOOKUP($E141,'[1]Referensi New'!$D:$D,'[1]Referensi New'!$V:$V)</f>
        <v>2613050474</v>
      </c>
    </row>
    <row r="142" spans="1:44" ht="16">
      <c r="A142" s="39" t="s">
        <v>20</v>
      </c>
      <c r="B142" s="39" t="s">
        <v>21</v>
      </c>
      <c r="C142" s="39" t="s">
        <v>70</v>
      </c>
      <c r="D142" s="39" t="s">
        <v>102</v>
      </c>
      <c r="E142" s="39" t="s">
        <v>103</v>
      </c>
      <c r="F142" s="39" t="s">
        <v>104</v>
      </c>
      <c r="G142" s="39" t="s">
        <v>105</v>
      </c>
      <c r="H142" s="39" t="s">
        <v>75</v>
      </c>
      <c r="I142" s="39" t="b">
        <v>0</v>
      </c>
      <c r="J142" s="39" t="s">
        <v>75</v>
      </c>
      <c r="K142" s="39" t="b">
        <v>0</v>
      </c>
      <c r="L142" s="39" t="s">
        <v>977</v>
      </c>
      <c r="M142" s="39"/>
      <c r="N142" t="s">
        <v>977</v>
      </c>
      <c r="O142" t="s">
        <v>978</v>
      </c>
      <c r="P142" t="s">
        <v>43</v>
      </c>
      <c r="Q142" s="39" t="s">
        <v>28</v>
      </c>
      <c r="R142" s="39" t="s">
        <v>45</v>
      </c>
      <c r="S142" s="39" t="s">
        <v>979</v>
      </c>
      <c r="T142" s="39"/>
      <c r="U142" s="39"/>
      <c r="V142" s="39"/>
      <c r="W142" s="39" t="s">
        <v>980</v>
      </c>
      <c r="X142" s="39" t="s">
        <v>981</v>
      </c>
      <c r="Y142" s="39" t="s">
        <v>68</v>
      </c>
      <c r="Z142" s="39" t="s">
        <v>32</v>
      </c>
      <c r="AA142" s="39"/>
      <c r="AB142" s="44">
        <v>6285692700647</v>
      </c>
      <c r="AC142" s="39"/>
      <c r="AD142" s="39"/>
      <c r="AE142" s="39" t="s">
        <v>982</v>
      </c>
      <c r="AF142" s="39"/>
      <c r="AG142" s="39" t="s">
        <v>104</v>
      </c>
      <c r="AH142" s="39" t="s">
        <v>1903</v>
      </c>
      <c r="AI142" s="39" t="s">
        <v>105</v>
      </c>
      <c r="AJ142" s="39" t="s">
        <v>1912</v>
      </c>
      <c r="AK142" t="b">
        <f t="shared" si="6"/>
        <v>1</v>
      </c>
      <c r="AL142" t="b">
        <f t="shared" si="7"/>
        <v>1</v>
      </c>
      <c r="AN142" t="e">
        <v>#N/A</v>
      </c>
      <c r="AP142" t="e">
        <f>_xlfn.XLOOKUP(F142,'Kolom info id dse &amp; part cd'!D:D,'Kolom info id dse &amp; part cd'!I:I)</f>
        <v>#N/A</v>
      </c>
      <c r="AQ142" t="e">
        <f t="shared" si="8"/>
        <v>#N/A</v>
      </c>
      <c r="AR142">
        <f>_xlfn.XLOOKUP($E142,'[1]Referensi New'!$D:$D,'[1]Referensi New'!$V:$V)</f>
        <v>2613051093</v>
      </c>
    </row>
    <row r="143" spans="1:44" ht="16">
      <c r="A143" s="39" t="s">
        <v>20</v>
      </c>
      <c r="B143" s="39" t="s">
        <v>21</v>
      </c>
      <c r="C143" s="39" t="s">
        <v>70</v>
      </c>
      <c r="D143" s="39" t="s">
        <v>111</v>
      </c>
      <c r="E143" s="39" t="s">
        <v>112</v>
      </c>
      <c r="F143" s="39" t="s">
        <v>113</v>
      </c>
      <c r="G143" s="39" t="s">
        <v>114</v>
      </c>
      <c r="H143" s="39" t="s">
        <v>75</v>
      </c>
      <c r="I143" s="39" t="b">
        <v>0</v>
      </c>
      <c r="J143" s="39" t="s">
        <v>75</v>
      </c>
      <c r="K143" s="39" t="b">
        <v>0</v>
      </c>
      <c r="L143" s="39" t="s">
        <v>983</v>
      </c>
      <c r="M143" s="39"/>
      <c r="N143" t="s">
        <v>983</v>
      </c>
      <c r="O143" t="s">
        <v>984</v>
      </c>
      <c r="P143" t="s">
        <v>43</v>
      </c>
      <c r="Q143" s="39" t="s">
        <v>28</v>
      </c>
      <c r="R143" s="39" t="s">
        <v>45</v>
      </c>
      <c r="S143" s="39" t="s">
        <v>985</v>
      </c>
      <c r="T143" s="39"/>
      <c r="U143" s="39"/>
      <c r="V143" s="39"/>
      <c r="W143" s="39" t="s">
        <v>986</v>
      </c>
      <c r="X143" s="39" t="s">
        <v>987</v>
      </c>
      <c r="Y143" s="39" t="s">
        <v>68</v>
      </c>
      <c r="Z143" s="39" t="s">
        <v>32</v>
      </c>
      <c r="AA143" s="39"/>
      <c r="AB143" s="44">
        <v>6285692700664</v>
      </c>
      <c r="AC143" s="39"/>
      <c r="AD143" s="39"/>
      <c r="AE143" s="39" t="s">
        <v>988</v>
      </c>
      <c r="AF143" s="39"/>
      <c r="AG143" s="39" t="s">
        <v>113</v>
      </c>
      <c r="AH143" s="39" t="s">
        <v>1903</v>
      </c>
      <c r="AI143" s="39" t="s">
        <v>114</v>
      </c>
      <c r="AJ143" s="39" t="s">
        <v>1914</v>
      </c>
      <c r="AK143" t="b">
        <f t="shared" si="6"/>
        <v>1</v>
      </c>
      <c r="AL143" t="b">
        <f t="shared" si="7"/>
        <v>1</v>
      </c>
      <c r="AN143" t="e">
        <v>#N/A</v>
      </c>
      <c r="AP143" t="e">
        <f>_xlfn.XLOOKUP(F143,'Kolom info id dse &amp; part cd'!D:D,'Kolom info id dse &amp; part cd'!I:I)</f>
        <v>#N/A</v>
      </c>
      <c r="AQ143" t="e">
        <f t="shared" si="8"/>
        <v>#N/A</v>
      </c>
      <c r="AR143">
        <f>_xlfn.XLOOKUP($E143,'[1]Referensi New'!$D:$D,'[1]Referensi New'!$V:$V)</f>
        <v>2613050954</v>
      </c>
    </row>
    <row r="144" spans="1:44" ht="16">
      <c r="A144" s="39" t="s">
        <v>20</v>
      </c>
      <c r="B144" s="39" t="s">
        <v>21</v>
      </c>
      <c r="C144" s="39" t="s">
        <v>70</v>
      </c>
      <c r="D144" s="39" t="s">
        <v>102</v>
      </c>
      <c r="E144" s="39" t="s">
        <v>103</v>
      </c>
      <c r="F144" s="39" t="s">
        <v>104</v>
      </c>
      <c r="G144" s="39" t="s">
        <v>105</v>
      </c>
      <c r="H144" s="39" t="s">
        <v>75</v>
      </c>
      <c r="I144" s="39" t="b">
        <v>0</v>
      </c>
      <c r="J144" s="39" t="s">
        <v>75</v>
      </c>
      <c r="K144" s="39" t="b">
        <v>0</v>
      </c>
      <c r="L144" s="39" t="s">
        <v>989</v>
      </c>
      <c r="M144" s="39"/>
      <c r="N144" t="s">
        <v>989</v>
      </c>
      <c r="O144" t="s">
        <v>990</v>
      </c>
      <c r="P144" t="s">
        <v>43</v>
      </c>
      <c r="Q144" s="39" t="s">
        <v>28</v>
      </c>
      <c r="R144" s="39" t="s">
        <v>45</v>
      </c>
      <c r="S144" s="39" t="s">
        <v>991</v>
      </c>
      <c r="T144" s="39"/>
      <c r="U144" s="39"/>
      <c r="V144" s="39"/>
      <c r="W144" s="39" t="s">
        <v>992</v>
      </c>
      <c r="X144" s="39" t="s">
        <v>993</v>
      </c>
      <c r="Y144" s="39" t="s">
        <v>68</v>
      </c>
      <c r="Z144" s="39" t="s">
        <v>32</v>
      </c>
      <c r="AA144" s="39"/>
      <c r="AB144" s="44">
        <v>6285692700667</v>
      </c>
      <c r="AC144" s="39"/>
      <c r="AD144" s="39"/>
      <c r="AE144" s="39" t="s">
        <v>994</v>
      </c>
      <c r="AF144" s="39"/>
      <c r="AG144" s="39" t="s">
        <v>104</v>
      </c>
      <c r="AH144" s="39" t="s">
        <v>1903</v>
      </c>
      <c r="AI144" s="39" t="s">
        <v>105</v>
      </c>
      <c r="AJ144" s="39" t="s">
        <v>1912</v>
      </c>
      <c r="AK144" t="b">
        <f t="shared" si="6"/>
        <v>1</v>
      </c>
      <c r="AL144" t="b">
        <f t="shared" si="7"/>
        <v>1</v>
      </c>
      <c r="AN144" t="e">
        <v>#N/A</v>
      </c>
      <c r="AP144" t="e">
        <f>_xlfn.XLOOKUP(F144,'Kolom info id dse &amp; part cd'!D:D,'Kolom info id dse &amp; part cd'!I:I)</f>
        <v>#N/A</v>
      </c>
      <c r="AQ144" t="e">
        <f t="shared" si="8"/>
        <v>#N/A</v>
      </c>
      <c r="AR144">
        <f>_xlfn.XLOOKUP($E144,'[1]Referensi New'!$D:$D,'[1]Referensi New'!$V:$V)</f>
        <v>2613051093</v>
      </c>
    </row>
    <row r="145" spans="1:44" ht="16">
      <c r="A145" s="39" t="s">
        <v>20</v>
      </c>
      <c r="B145" s="39" t="s">
        <v>21</v>
      </c>
      <c r="C145" s="39" t="s">
        <v>70</v>
      </c>
      <c r="D145" s="39" t="s">
        <v>111</v>
      </c>
      <c r="E145" s="39" t="s">
        <v>112</v>
      </c>
      <c r="F145" s="39" t="s">
        <v>113</v>
      </c>
      <c r="G145" s="39" t="s">
        <v>114</v>
      </c>
      <c r="H145" s="39" t="s">
        <v>75</v>
      </c>
      <c r="I145" s="39" t="b">
        <v>0</v>
      </c>
      <c r="J145" s="39" t="s">
        <v>75</v>
      </c>
      <c r="K145" s="39" t="b">
        <v>0</v>
      </c>
      <c r="L145" s="39" t="s">
        <v>995</v>
      </c>
      <c r="M145" s="39"/>
      <c r="N145" t="s">
        <v>995</v>
      </c>
      <c r="O145" t="s">
        <v>996</v>
      </c>
      <c r="P145" t="s">
        <v>43</v>
      </c>
      <c r="Q145" s="39" t="s">
        <v>28</v>
      </c>
      <c r="R145" s="39" t="s">
        <v>45</v>
      </c>
      <c r="S145" s="39" t="s">
        <v>997</v>
      </c>
      <c r="T145" s="39"/>
      <c r="U145" s="39"/>
      <c r="V145" s="39"/>
      <c r="W145" s="39" t="s">
        <v>998</v>
      </c>
      <c r="X145" s="39" t="s">
        <v>999</v>
      </c>
      <c r="Y145" s="39" t="s">
        <v>68</v>
      </c>
      <c r="Z145" s="39" t="s">
        <v>32</v>
      </c>
      <c r="AA145" s="39"/>
      <c r="AB145" s="44">
        <v>6285714888807</v>
      </c>
      <c r="AC145" s="39"/>
      <c r="AD145" s="39"/>
      <c r="AE145" s="39" t="s">
        <v>1000</v>
      </c>
      <c r="AF145" s="39"/>
      <c r="AG145" s="39" t="s">
        <v>113</v>
      </c>
      <c r="AH145" s="39" t="s">
        <v>1903</v>
      </c>
      <c r="AI145" s="39" t="s">
        <v>114</v>
      </c>
      <c r="AJ145" s="39" t="s">
        <v>1914</v>
      </c>
      <c r="AK145" t="b">
        <f t="shared" si="6"/>
        <v>1</v>
      </c>
      <c r="AL145" t="b">
        <f t="shared" si="7"/>
        <v>1</v>
      </c>
      <c r="AN145" t="e">
        <v>#N/A</v>
      </c>
      <c r="AP145" t="e">
        <f>_xlfn.XLOOKUP(F145,'Kolom info id dse &amp; part cd'!D:D,'Kolom info id dse &amp; part cd'!I:I)</f>
        <v>#N/A</v>
      </c>
      <c r="AQ145" t="e">
        <f t="shared" si="8"/>
        <v>#N/A</v>
      </c>
      <c r="AR145">
        <f>_xlfn.XLOOKUP($E145,'[1]Referensi New'!$D:$D,'[1]Referensi New'!$V:$V)</f>
        <v>2613050954</v>
      </c>
    </row>
    <row r="146" spans="1:44" ht="16">
      <c r="A146" s="39" t="s">
        <v>20</v>
      </c>
      <c r="B146" s="39" t="s">
        <v>21</v>
      </c>
      <c r="C146" s="39" t="s">
        <v>70</v>
      </c>
      <c r="D146" s="39" t="s">
        <v>111</v>
      </c>
      <c r="E146" s="39" t="s">
        <v>112</v>
      </c>
      <c r="F146" s="39" t="s">
        <v>113</v>
      </c>
      <c r="G146" s="39" t="s">
        <v>114</v>
      </c>
      <c r="H146" s="39" t="s">
        <v>75</v>
      </c>
      <c r="I146" s="39" t="b">
        <v>0</v>
      </c>
      <c r="J146" s="39" t="s">
        <v>75</v>
      </c>
      <c r="K146" s="39" t="b">
        <v>0</v>
      </c>
      <c r="L146" s="39" t="s">
        <v>1001</v>
      </c>
      <c r="M146" s="39"/>
      <c r="N146" t="s">
        <v>1001</v>
      </c>
      <c r="O146" t="s">
        <v>1002</v>
      </c>
      <c r="P146" t="s">
        <v>43</v>
      </c>
      <c r="Q146" s="39" t="s">
        <v>28</v>
      </c>
      <c r="R146" s="39" t="s">
        <v>45</v>
      </c>
      <c r="S146" s="39" t="s">
        <v>1003</v>
      </c>
      <c r="T146" s="39"/>
      <c r="U146" s="39"/>
      <c r="V146" s="39"/>
      <c r="W146" s="39" t="s">
        <v>1004</v>
      </c>
      <c r="X146" s="39" t="s">
        <v>1005</v>
      </c>
      <c r="Y146" s="39" t="s">
        <v>68</v>
      </c>
      <c r="Z146" s="39" t="s">
        <v>32</v>
      </c>
      <c r="AA146" s="39"/>
      <c r="AB146" s="44">
        <v>6285692700676</v>
      </c>
      <c r="AC146" s="39"/>
      <c r="AD146" s="39"/>
      <c r="AE146" s="39" t="s">
        <v>1006</v>
      </c>
      <c r="AF146" s="39"/>
      <c r="AG146" s="39" t="s">
        <v>113</v>
      </c>
      <c r="AH146" s="39" t="s">
        <v>1903</v>
      </c>
      <c r="AI146" s="39" t="s">
        <v>114</v>
      </c>
      <c r="AJ146" s="39" t="s">
        <v>1914</v>
      </c>
      <c r="AK146" t="b">
        <f t="shared" si="6"/>
        <v>1</v>
      </c>
      <c r="AL146" t="b">
        <f t="shared" si="7"/>
        <v>1</v>
      </c>
      <c r="AN146" t="e">
        <v>#N/A</v>
      </c>
      <c r="AP146" t="e">
        <f>_xlfn.XLOOKUP(F146,'Kolom info id dse &amp; part cd'!D:D,'Kolom info id dse &amp; part cd'!I:I)</f>
        <v>#N/A</v>
      </c>
      <c r="AQ146" t="e">
        <f t="shared" si="8"/>
        <v>#N/A</v>
      </c>
      <c r="AR146">
        <f>_xlfn.XLOOKUP($E146,'[1]Referensi New'!$D:$D,'[1]Referensi New'!$V:$V)</f>
        <v>2613050954</v>
      </c>
    </row>
    <row r="147" spans="1:44" ht="16">
      <c r="A147" s="39" t="s">
        <v>20</v>
      </c>
      <c r="B147" s="39" t="s">
        <v>21</v>
      </c>
      <c r="C147" s="39" t="s">
        <v>70</v>
      </c>
      <c r="D147" s="39" t="s">
        <v>111</v>
      </c>
      <c r="E147" s="39" t="s">
        <v>112</v>
      </c>
      <c r="F147" s="39" t="s">
        <v>113</v>
      </c>
      <c r="G147" s="39" t="s">
        <v>114</v>
      </c>
      <c r="H147" s="39" t="s">
        <v>75</v>
      </c>
      <c r="I147" s="39" t="b">
        <v>0</v>
      </c>
      <c r="J147" s="39" t="s">
        <v>75</v>
      </c>
      <c r="K147" s="39" t="b">
        <v>0</v>
      </c>
      <c r="L147" s="39" t="s">
        <v>1007</v>
      </c>
      <c r="M147" s="39"/>
      <c r="N147" t="s">
        <v>1007</v>
      </c>
      <c r="O147" t="s">
        <v>1008</v>
      </c>
      <c r="P147" t="s">
        <v>43</v>
      </c>
      <c r="Q147" s="39" t="s">
        <v>28</v>
      </c>
      <c r="R147" s="39" t="s">
        <v>45</v>
      </c>
      <c r="S147" s="39" t="s">
        <v>1009</v>
      </c>
      <c r="T147" s="39"/>
      <c r="U147" s="39"/>
      <c r="V147" s="39"/>
      <c r="W147" s="39" t="s">
        <v>1010</v>
      </c>
      <c r="X147" s="39" t="s">
        <v>1011</v>
      </c>
      <c r="Y147" s="39" t="s">
        <v>68</v>
      </c>
      <c r="Z147" s="39" t="s">
        <v>32</v>
      </c>
      <c r="AA147" s="39"/>
      <c r="AB147" s="44">
        <v>6285692700680</v>
      </c>
      <c r="AC147" s="39"/>
      <c r="AD147" s="39"/>
      <c r="AE147" s="39" t="s">
        <v>1012</v>
      </c>
      <c r="AF147" s="39"/>
      <c r="AG147" s="39" t="s">
        <v>113</v>
      </c>
      <c r="AH147" s="39" t="s">
        <v>1903</v>
      </c>
      <c r="AI147" s="39" t="s">
        <v>114</v>
      </c>
      <c r="AJ147" s="39" t="s">
        <v>1914</v>
      </c>
      <c r="AK147" t="b">
        <f t="shared" si="6"/>
        <v>1</v>
      </c>
      <c r="AL147" t="b">
        <f t="shared" si="7"/>
        <v>1</v>
      </c>
      <c r="AN147" t="e">
        <v>#N/A</v>
      </c>
      <c r="AP147" t="e">
        <f>_xlfn.XLOOKUP(F147,'Kolom info id dse &amp; part cd'!D:D,'Kolom info id dse &amp; part cd'!I:I)</f>
        <v>#N/A</v>
      </c>
      <c r="AQ147" t="e">
        <f t="shared" si="8"/>
        <v>#N/A</v>
      </c>
      <c r="AR147">
        <f>_xlfn.XLOOKUP($E147,'[1]Referensi New'!$D:$D,'[1]Referensi New'!$V:$V)</f>
        <v>2613050954</v>
      </c>
    </row>
    <row r="148" spans="1:44" ht="16">
      <c r="A148" s="39" t="s">
        <v>20</v>
      </c>
      <c r="B148" s="39" t="s">
        <v>21</v>
      </c>
      <c r="C148" s="39" t="s">
        <v>70</v>
      </c>
      <c r="D148" s="39" t="s">
        <v>111</v>
      </c>
      <c r="E148" s="39" t="s">
        <v>112</v>
      </c>
      <c r="F148" s="39" t="s">
        <v>113</v>
      </c>
      <c r="G148" s="39" t="s">
        <v>114</v>
      </c>
      <c r="H148" s="39" t="s">
        <v>75</v>
      </c>
      <c r="I148" s="39" t="b">
        <v>0</v>
      </c>
      <c r="J148" s="39" t="s">
        <v>75</v>
      </c>
      <c r="K148" s="39" t="b">
        <v>0</v>
      </c>
      <c r="L148" s="39" t="s">
        <v>1013</v>
      </c>
      <c r="M148" s="39"/>
      <c r="N148" t="s">
        <v>1013</v>
      </c>
      <c r="O148" t="s">
        <v>1014</v>
      </c>
      <c r="P148" t="s">
        <v>43</v>
      </c>
      <c r="Q148" s="39" t="s">
        <v>28</v>
      </c>
      <c r="R148" s="39" t="s">
        <v>45</v>
      </c>
      <c r="S148" s="39" t="s">
        <v>1015</v>
      </c>
      <c r="T148" s="39"/>
      <c r="U148" s="39"/>
      <c r="V148" s="39"/>
      <c r="W148" s="39" t="s">
        <v>1016</v>
      </c>
      <c r="X148" s="39" t="s">
        <v>1017</v>
      </c>
      <c r="Y148" s="39" t="s">
        <v>68</v>
      </c>
      <c r="Z148" s="39" t="s">
        <v>32</v>
      </c>
      <c r="AA148" s="39"/>
      <c r="AB148" s="44">
        <v>6285692700683</v>
      </c>
      <c r="AC148" s="39"/>
      <c r="AD148" s="39"/>
      <c r="AE148" s="39" t="s">
        <v>1018</v>
      </c>
      <c r="AF148" s="39"/>
      <c r="AG148" s="39" t="s">
        <v>113</v>
      </c>
      <c r="AH148" s="39" t="s">
        <v>1903</v>
      </c>
      <c r="AI148" s="39" t="s">
        <v>114</v>
      </c>
      <c r="AJ148" s="39" t="s">
        <v>1914</v>
      </c>
      <c r="AK148" t="b">
        <f t="shared" si="6"/>
        <v>1</v>
      </c>
      <c r="AL148" t="b">
        <f t="shared" si="7"/>
        <v>1</v>
      </c>
      <c r="AN148" t="e">
        <v>#N/A</v>
      </c>
      <c r="AP148" t="e">
        <f>_xlfn.XLOOKUP(F148,'Kolom info id dse &amp; part cd'!D:D,'Kolom info id dse &amp; part cd'!I:I)</f>
        <v>#N/A</v>
      </c>
      <c r="AQ148" t="e">
        <f t="shared" si="8"/>
        <v>#N/A</v>
      </c>
      <c r="AR148">
        <f>_xlfn.XLOOKUP($E148,'[1]Referensi New'!$D:$D,'[1]Referensi New'!$V:$V)</f>
        <v>2613050954</v>
      </c>
    </row>
    <row r="149" spans="1:44" ht="16">
      <c r="A149" s="39" t="s">
        <v>20</v>
      </c>
      <c r="B149" s="39" t="s">
        <v>21</v>
      </c>
      <c r="C149" s="39" t="s">
        <v>70</v>
      </c>
      <c r="D149" s="39" t="s">
        <v>102</v>
      </c>
      <c r="E149" s="39" t="s">
        <v>103</v>
      </c>
      <c r="F149" s="39" t="s">
        <v>104</v>
      </c>
      <c r="G149" s="39" t="s">
        <v>105</v>
      </c>
      <c r="H149" s="39" t="s">
        <v>75</v>
      </c>
      <c r="I149" s="39" t="b">
        <v>0</v>
      </c>
      <c r="J149" s="39" t="s">
        <v>75</v>
      </c>
      <c r="K149" s="39" t="b">
        <v>0</v>
      </c>
      <c r="L149" s="39" t="s">
        <v>1019</v>
      </c>
      <c r="M149" s="39"/>
      <c r="N149" t="s">
        <v>1019</v>
      </c>
      <c r="O149" t="s">
        <v>1020</v>
      </c>
      <c r="P149" t="s">
        <v>43</v>
      </c>
      <c r="Q149" s="39" t="s">
        <v>28</v>
      </c>
      <c r="R149" s="39" t="s">
        <v>45</v>
      </c>
      <c r="S149" s="39" t="s">
        <v>1021</v>
      </c>
      <c r="T149" s="39"/>
      <c r="U149" s="39"/>
      <c r="V149" s="39"/>
      <c r="W149" s="39" t="s">
        <v>1022</v>
      </c>
      <c r="X149" s="39" t="s">
        <v>1023</v>
      </c>
      <c r="Y149" s="39" t="s">
        <v>68</v>
      </c>
      <c r="Z149" s="39" t="s">
        <v>32</v>
      </c>
      <c r="AA149" s="39"/>
      <c r="AB149" s="44">
        <v>6285692700686</v>
      </c>
      <c r="AC149" s="39"/>
      <c r="AD149" s="39"/>
      <c r="AE149" s="39" t="s">
        <v>1024</v>
      </c>
      <c r="AF149" s="39"/>
      <c r="AG149" s="39" t="s">
        <v>104</v>
      </c>
      <c r="AH149" s="39" t="s">
        <v>1903</v>
      </c>
      <c r="AI149" s="39" t="s">
        <v>105</v>
      </c>
      <c r="AJ149" s="39" t="s">
        <v>1912</v>
      </c>
      <c r="AK149" t="b">
        <f t="shared" si="6"/>
        <v>1</v>
      </c>
      <c r="AL149" t="b">
        <f t="shared" si="7"/>
        <v>1</v>
      </c>
      <c r="AN149" t="e">
        <v>#N/A</v>
      </c>
      <c r="AP149" t="e">
        <f>_xlfn.XLOOKUP(F149,'Kolom info id dse &amp; part cd'!D:D,'Kolom info id dse &amp; part cd'!I:I)</f>
        <v>#N/A</v>
      </c>
      <c r="AQ149" t="e">
        <f t="shared" si="8"/>
        <v>#N/A</v>
      </c>
      <c r="AR149">
        <f>_xlfn.XLOOKUP($E149,'[1]Referensi New'!$D:$D,'[1]Referensi New'!$V:$V)</f>
        <v>2613051093</v>
      </c>
    </row>
    <row r="150" spans="1:44" ht="16">
      <c r="A150" s="39" t="s">
        <v>20</v>
      </c>
      <c r="B150" s="39" t="s">
        <v>21</v>
      </c>
      <c r="C150" s="39" t="s">
        <v>70</v>
      </c>
      <c r="D150" s="39" t="s">
        <v>111</v>
      </c>
      <c r="E150" s="39" t="s">
        <v>112</v>
      </c>
      <c r="F150" s="39" t="s">
        <v>113</v>
      </c>
      <c r="G150" s="39" t="s">
        <v>114</v>
      </c>
      <c r="H150" s="39" t="s">
        <v>75</v>
      </c>
      <c r="I150" s="39" t="b">
        <v>0</v>
      </c>
      <c r="J150" s="39" t="s">
        <v>75</v>
      </c>
      <c r="K150" s="39" t="b">
        <v>0</v>
      </c>
      <c r="L150" s="39" t="s">
        <v>1025</v>
      </c>
      <c r="M150" s="39"/>
      <c r="N150" t="s">
        <v>1025</v>
      </c>
      <c r="O150" t="s">
        <v>1026</v>
      </c>
      <c r="P150" t="s">
        <v>43</v>
      </c>
      <c r="Q150" s="39" t="s">
        <v>28</v>
      </c>
      <c r="R150" s="39" t="s">
        <v>45</v>
      </c>
      <c r="S150" s="39" t="s">
        <v>1027</v>
      </c>
      <c r="T150" s="39"/>
      <c r="U150" s="39"/>
      <c r="V150" s="39"/>
      <c r="W150" s="39" t="s">
        <v>1028</v>
      </c>
      <c r="X150" s="39" t="s">
        <v>1029</v>
      </c>
      <c r="Y150" s="39" t="s">
        <v>68</v>
      </c>
      <c r="Z150" s="39" t="s">
        <v>32</v>
      </c>
      <c r="AA150" s="39"/>
      <c r="AB150" s="44">
        <v>6285718256704</v>
      </c>
      <c r="AC150" s="39"/>
      <c r="AD150" s="39"/>
      <c r="AE150" s="39" t="s">
        <v>1030</v>
      </c>
      <c r="AF150" s="39"/>
      <c r="AG150" s="39" t="s">
        <v>113</v>
      </c>
      <c r="AH150" s="39" t="s">
        <v>1903</v>
      </c>
      <c r="AI150" s="39" t="s">
        <v>114</v>
      </c>
      <c r="AJ150" s="39" t="s">
        <v>1914</v>
      </c>
      <c r="AK150" t="b">
        <f t="shared" si="6"/>
        <v>1</v>
      </c>
      <c r="AL150" t="b">
        <f t="shared" si="7"/>
        <v>1</v>
      </c>
      <c r="AN150" t="e">
        <v>#N/A</v>
      </c>
      <c r="AP150" t="e">
        <f>_xlfn.XLOOKUP(F150,'Kolom info id dse &amp; part cd'!D:D,'Kolom info id dse &amp; part cd'!I:I)</f>
        <v>#N/A</v>
      </c>
      <c r="AQ150" t="e">
        <f t="shared" si="8"/>
        <v>#N/A</v>
      </c>
      <c r="AR150">
        <f>_xlfn.XLOOKUP($E150,'[1]Referensi New'!$D:$D,'[1]Referensi New'!$V:$V)</f>
        <v>2613050954</v>
      </c>
    </row>
    <row r="151" spans="1:44" ht="16">
      <c r="A151" s="39" t="s">
        <v>20</v>
      </c>
      <c r="B151" s="39" t="s">
        <v>21</v>
      </c>
      <c r="C151" s="39" t="s">
        <v>22</v>
      </c>
      <c r="D151" s="39" t="s">
        <v>470</v>
      </c>
      <c r="E151" s="39" t="s">
        <v>471</v>
      </c>
      <c r="F151" s="39" t="s">
        <v>472</v>
      </c>
      <c r="G151" s="39" t="s">
        <v>473</v>
      </c>
      <c r="H151" s="39" t="s">
        <v>75</v>
      </c>
      <c r="I151" s="39" t="b">
        <v>0</v>
      </c>
      <c r="J151" s="39" t="s">
        <v>75</v>
      </c>
      <c r="K151" s="39" t="b">
        <v>0</v>
      </c>
      <c r="L151" s="39" t="s">
        <v>1031</v>
      </c>
      <c r="M151" s="39"/>
      <c r="N151" t="s">
        <v>1031</v>
      </c>
      <c r="O151" t="s">
        <v>1032</v>
      </c>
      <c r="P151" t="s">
        <v>43</v>
      </c>
      <c r="Q151" s="39" t="s">
        <v>28</v>
      </c>
      <c r="R151" s="39" t="s">
        <v>45</v>
      </c>
      <c r="S151" s="39" t="s">
        <v>1033</v>
      </c>
      <c r="T151" s="39"/>
      <c r="U151" s="39"/>
      <c r="V151" s="39"/>
      <c r="W151" s="39" t="s">
        <v>1034</v>
      </c>
      <c r="X151" s="39" t="s">
        <v>1035</v>
      </c>
      <c r="Y151" s="39" t="s">
        <v>68</v>
      </c>
      <c r="Z151" s="39" t="s">
        <v>32</v>
      </c>
      <c r="AA151" s="39"/>
      <c r="AB151" s="44">
        <v>6285691777932</v>
      </c>
      <c r="AC151" s="39"/>
      <c r="AD151" s="39"/>
      <c r="AE151" s="39" t="s">
        <v>1036</v>
      </c>
      <c r="AF151" s="39"/>
      <c r="AG151" s="39" t="s">
        <v>472</v>
      </c>
      <c r="AH151" s="39" t="s">
        <v>1903</v>
      </c>
      <c r="AI151" s="39" t="s">
        <v>473</v>
      </c>
      <c r="AJ151" s="39" t="s">
        <v>1927</v>
      </c>
      <c r="AK151" t="b">
        <f t="shared" si="6"/>
        <v>1</v>
      </c>
      <c r="AL151" t="b">
        <f t="shared" si="7"/>
        <v>1</v>
      </c>
      <c r="AN151" t="e">
        <v>#N/A</v>
      </c>
      <c r="AP151" t="e">
        <f>_xlfn.XLOOKUP(F151,'Kolom info id dse &amp; part cd'!D:D,'Kolom info id dse &amp; part cd'!I:I)</f>
        <v>#N/A</v>
      </c>
      <c r="AQ151" t="e">
        <f t="shared" si="8"/>
        <v>#N/A</v>
      </c>
      <c r="AR151">
        <f>_xlfn.XLOOKUP($E151,'[1]Referensi New'!$D:$D,'[1]Referensi New'!$V:$V)</f>
        <v>2613051407</v>
      </c>
    </row>
    <row r="152" spans="1:44" ht="16">
      <c r="A152" s="39" t="s">
        <v>20</v>
      </c>
      <c r="B152" s="39" t="s">
        <v>21</v>
      </c>
      <c r="C152" s="39" t="s">
        <v>58</v>
      </c>
      <c r="D152" s="39" t="s">
        <v>93</v>
      </c>
      <c r="E152" s="39" t="s">
        <v>94</v>
      </c>
      <c r="F152" s="39" t="s">
        <v>95</v>
      </c>
      <c r="G152" s="39" t="s">
        <v>96</v>
      </c>
      <c r="H152" s="39" t="s">
        <v>63</v>
      </c>
      <c r="I152" s="39" t="b">
        <v>0</v>
      </c>
      <c r="J152" s="39" t="s">
        <v>63</v>
      </c>
      <c r="K152" s="39" t="b">
        <v>0</v>
      </c>
      <c r="L152" s="39" t="s">
        <v>1037</v>
      </c>
      <c r="M152" s="39"/>
      <c r="N152" t="s">
        <v>1037</v>
      </c>
      <c r="O152" t="s">
        <v>1038</v>
      </c>
      <c r="P152" t="s">
        <v>43</v>
      </c>
      <c r="Q152" s="39" t="s">
        <v>28</v>
      </c>
      <c r="R152" s="39" t="s">
        <v>45</v>
      </c>
      <c r="S152" s="39" t="s">
        <v>1039</v>
      </c>
      <c r="T152" s="39"/>
      <c r="U152" s="39"/>
      <c r="V152" s="39"/>
      <c r="W152" s="39" t="s">
        <v>1040</v>
      </c>
      <c r="X152" s="39" t="s">
        <v>1041</v>
      </c>
      <c r="Y152" s="39" t="s">
        <v>68</v>
      </c>
      <c r="Z152" s="39" t="s">
        <v>32</v>
      </c>
      <c r="AA152" s="39"/>
      <c r="AB152" s="44">
        <v>6285711188480</v>
      </c>
      <c r="AC152" s="39"/>
      <c r="AD152" s="39"/>
      <c r="AE152" s="39" t="s">
        <v>1042</v>
      </c>
      <c r="AF152" s="39"/>
      <c r="AG152" s="39" t="s">
        <v>95</v>
      </c>
      <c r="AH152" s="39" t="s">
        <v>1902</v>
      </c>
      <c r="AI152" s="39" t="s">
        <v>96</v>
      </c>
      <c r="AJ152" s="39" t="s">
        <v>1911</v>
      </c>
      <c r="AK152" t="b">
        <f t="shared" si="6"/>
        <v>1</v>
      </c>
      <c r="AL152" t="b">
        <f t="shared" si="7"/>
        <v>1</v>
      </c>
      <c r="AN152" t="e">
        <v>#N/A</v>
      </c>
      <c r="AP152" t="e">
        <f>_xlfn.XLOOKUP(F152,'Kolom info id dse &amp; part cd'!D:D,'Kolom info id dse &amp; part cd'!I:I)</f>
        <v>#N/A</v>
      </c>
      <c r="AQ152" t="e">
        <f t="shared" si="8"/>
        <v>#N/A</v>
      </c>
      <c r="AR152" t="str">
        <f>_xlfn.XLOOKUP($E152,'[1]Referensi New'!$D:$D,'[1]Referensi New'!$V:$V)</f>
        <v>DSEIN047</v>
      </c>
    </row>
    <row r="153" spans="1:44" ht="16">
      <c r="A153" s="39" t="s">
        <v>20</v>
      </c>
      <c r="B153" s="39" t="s">
        <v>21</v>
      </c>
      <c r="C153" s="39" t="s">
        <v>58</v>
      </c>
      <c r="D153" s="39" t="s">
        <v>93</v>
      </c>
      <c r="E153" s="39" t="s">
        <v>94</v>
      </c>
      <c r="F153" s="39" t="s">
        <v>95</v>
      </c>
      <c r="G153" s="39" t="s">
        <v>96</v>
      </c>
      <c r="H153" s="39" t="s">
        <v>63</v>
      </c>
      <c r="I153" s="39" t="b">
        <v>0</v>
      </c>
      <c r="J153" s="39" t="s">
        <v>63</v>
      </c>
      <c r="K153" s="39" t="b">
        <v>0</v>
      </c>
      <c r="L153" s="39" t="s">
        <v>1043</v>
      </c>
      <c r="M153" s="39"/>
      <c r="N153" t="s">
        <v>1043</v>
      </c>
      <c r="O153" t="s">
        <v>1044</v>
      </c>
      <c r="P153" t="s">
        <v>43</v>
      </c>
      <c r="Q153" s="39" t="s">
        <v>28</v>
      </c>
      <c r="R153" s="39" t="s">
        <v>45</v>
      </c>
      <c r="S153" s="39" t="s">
        <v>1045</v>
      </c>
      <c r="T153" s="39"/>
      <c r="U153" s="39"/>
      <c r="V153" s="39"/>
      <c r="W153" s="39" t="s">
        <v>1046</v>
      </c>
      <c r="X153" s="39" t="s">
        <v>1047</v>
      </c>
      <c r="Y153" s="39" t="s">
        <v>68</v>
      </c>
      <c r="Z153" s="39" t="s">
        <v>32</v>
      </c>
      <c r="AA153" s="39"/>
      <c r="AB153" s="44">
        <v>62085714266661</v>
      </c>
      <c r="AC153" s="39"/>
      <c r="AD153" s="39"/>
      <c r="AE153" s="39" t="s">
        <v>1048</v>
      </c>
      <c r="AF153" s="39"/>
      <c r="AG153" s="39" t="s">
        <v>95</v>
      </c>
      <c r="AH153" s="39" t="s">
        <v>1902</v>
      </c>
      <c r="AI153" s="39" t="s">
        <v>96</v>
      </c>
      <c r="AJ153" s="39" t="s">
        <v>1911</v>
      </c>
      <c r="AK153" t="b">
        <f t="shared" si="6"/>
        <v>1</v>
      </c>
      <c r="AL153" t="b">
        <f t="shared" si="7"/>
        <v>1</v>
      </c>
      <c r="AN153" t="e">
        <v>#N/A</v>
      </c>
      <c r="AP153" t="e">
        <f>_xlfn.XLOOKUP(F153,'Kolom info id dse &amp; part cd'!D:D,'Kolom info id dse &amp; part cd'!I:I)</f>
        <v>#N/A</v>
      </c>
      <c r="AQ153" t="e">
        <f t="shared" si="8"/>
        <v>#N/A</v>
      </c>
      <c r="AR153" t="str">
        <f>_xlfn.XLOOKUP($E153,'[1]Referensi New'!$D:$D,'[1]Referensi New'!$V:$V)</f>
        <v>DSEIN047</v>
      </c>
    </row>
    <row r="154" spans="1:44" ht="16">
      <c r="A154" s="39" t="s">
        <v>20</v>
      </c>
      <c r="B154" s="39" t="s">
        <v>21</v>
      </c>
      <c r="C154" s="39" t="s">
        <v>58</v>
      </c>
      <c r="D154" s="39" t="s">
        <v>93</v>
      </c>
      <c r="E154" s="39" t="s">
        <v>94</v>
      </c>
      <c r="F154" s="39" t="s">
        <v>95</v>
      </c>
      <c r="G154" s="39" t="s">
        <v>96</v>
      </c>
      <c r="H154" s="39" t="s">
        <v>63</v>
      </c>
      <c r="I154" s="39" t="b">
        <v>0</v>
      </c>
      <c r="J154" s="39" t="s">
        <v>63</v>
      </c>
      <c r="K154" s="39" t="b">
        <v>0</v>
      </c>
      <c r="L154" s="39" t="s">
        <v>1049</v>
      </c>
      <c r="M154" s="39"/>
      <c r="N154" t="s">
        <v>1049</v>
      </c>
      <c r="O154" t="s">
        <v>1050</v>
      </c>
      <c r="P154" t="s">
        <v>43</v>
      </c>
      <c r="Q154" s="39" t="s">
        <v>28</v>
      </c>
      <c r="R154" s="39" t="s">
        <v>45</v>
      </c>
      <c r="S154" s="39" t="s">
        <v>1051</v>
      </c>
      <c r="T154" s="39"/>
      <c r="U154" s="39"/>
      <c r="V154" s="39"/>
      <c r="W154" s="39" t="s">
        <v>1052</v>
      </c>
      <c r="X154" s="39" t="s">
        <v>1053</v>
      </c>
      <c r="Y154" s="39" t="s">
        <v>68</v>
      </c>
      <c r="Z154" s="39" t="s">
        <v>32</v>
      </c>
      <c r="AA154" s="39"/>
      <c r="AB154" s="44">
        <v>6285711127998</v>
      </c>
      <c r="AC154" s="39"/>
      <c r="AD154" s="39"/>
      <c r="AE154" s="39" t="s">
        <v>1054</v>
      </c>
      <c r="AF154" s="39"/>
      <c r="AG154" s="39" t="s">
        <v>95</v>
      </c>
      <c r="AH154" s="39" t="s">
        <v>1902</v>
      </c>
      <c r="AI154" s="39" t="s">
        <v>96</v>
      </c>
      <c r="AJ154" s="39" t="s">
        <v>1911</v>
      </c>
      <c r="AK154" t="b">
        <f t="shared" si="6"/>
        <v>1</v>
      </c>
      <c r="AL154" t="b">
        <f t="shared" si="7"/>
        <v>1</v>
      </c>
      <c r="AN154" t="e">
        <v>#N/A</v>
      </c>
      <c r="AP154" t="e">
        <f>_xlfn.XLOOKUP(F154,'Kolom info id dse &amp; part cd'!D:D,'Kolom info id dse &amp; part cd'!I:I)</f>
        <v>#N/A</v>
      </c>
      <c r="AQ154" t="e">
        <f t="shared" si="8"/>
        <v>#N/A</v>
      </c>
      <c r="AR154" t="str">
        <f>_xlfn.XLOOKUP($E154,'[1]Referensi New'!$D:$D,'[1]Referensi New'!$V:$V)</f>
        <v>DSEIN047</v>
      </c>
    </row>
    <row r="155" spans="1:44" ht="16">
      <c r="A155" s="39" t="s">
        <v>20</v>
      </c>
      <c r="B155" s="39" t="s">
        <v>21</v>
      </c>
      <c r="C155" s="39" t="s">
        <v>58</v>
      </c>
      <c r="D155" s="39" t="s">
        <v>93</v>
      </c>
      <c r="E155" s="39" t="s">
        <v>94</v>
      </c>
      <c r="F155" s="39" t="s">
        <v>95</v>
      </c>
      <c r="G155" s="39" t="s">
        <v>96</v>
      </c>
      <c r="H155" s="39" t="s">
        <v>63</v>
      </c>
      <c r="I155" s="39" t="b">
        <v>0</v>
      </c>
      <c r="J155" s="39" t="s">
        <v>63</v>
      </c>
      <c r="K155" s="39" t="b">
        <v>0</v>
      </c>
      <c r="L155" s="39" t="s">
        <v>1055</v>
      </c>
      <c r="M155" s="39"/>
      <c r="N155" t="s">
        <v>1055</v>
      </c>
      <c r="O155" t="s">
        <v>1056</v>
      </c>
      <c r="P155" t="s">
        <v>43</v>
      </c>
      <c r="Q155" s="39" t="s">
        <v>28</v>
      </c>
      <c r="R155" s="39" t="s">
        <v>45</v>
      </c>
      <c r="S155" s="39" t="s">
        <v>1057</v>
      </c>
      <c r="T155" s="39"/>
      <c r="U155" s="39"/>
      <c r="V155" s="39"/>
      <c r="W155" s="39" t="s">
        <v>1058</v>
      </c>
      <c r="X155" s="39" t="s">
        <v>1059</v>
      </c>
      <c r="Y155" s="39" t="s">
        <v>68</v>
      </c>
      <c r="Z155" s="39" t="s">
        <v>32</v>
      </c>
      <c r="AA155" s="39"/>
      <c r="AB155" s="44">
        <v>6280086422494</v>
      </c>
      <c r="AC155" s="39"/>
      <c r="AD155" s="39"/>
      <c r="AE155" s="39" t="s">
        <v>1060</v>
      </c>
      <c r="AF155" s="39"/>
      <c r="AG155" s="39" t="s">
        <v>95</v>
      </c>
      <c r="AH155" s="39" t="s">
        <v>1902</v>
      </c>
      <c r="AI155" s="39" t="s">
        <v>96</v>
      </c>
      <c r="AJ155" s="39" t="s">
        <v>1911</v>
      </c>
      <c r="AK155" t="b">
        <f t="shared" si="6"/>
        <v>1</v>
      </c>
      <c r="AL155" t="b">
        <f t="shared" si="7"/>
        <v>1</v>
      </c>
      <c r="AN155" t="e">
        <v>#N/A</v>
      </c>
      <c r="AP155" t="e">
        <f>_xlfn.XLOOKUP(F155,'Kolom info id dse &amp; part cd'!D:D,'Kolom info id dse &amp; part cd'!I:I)</f>
        <v>#N/A</v>
      </c>
      <c r="AQ155" t="e">
        <f t="shared" si="8"/>
        <v>#N/A</v>
      </c>
      <c r="AR155" t="str">
        <f>_xlfn.XLOOKUP($E155,'[1]Referensi New'!$D:$D,'[1]Referensi New'!$V:$V)</f>
        <v>DSEIN047</v>
      </c>
    </row>
    <row r="156" spans="1:44" ht="16">
      <c r="A156" s="39" t="s">
        <v>20</v>
      </c>
      <c r="B156" s="39" t="s">
        <v>21</v>
      </c>
      <c r="C156" s="39" t="s">
        <v>130</v>
      </c>
      <c r="D156" s="39" t="s">
        <v>131</v>
      </c>
      <c r="E156" s="39" t="s">
        <v>132</v>
      </c>
      <c r="F156" s="39" t="s">
        <v>133</v>
      </c>
      <c r="G156" s="39" t="s">
        <v>134</v>
      </c>
      <c r="H156" s="39" t="s">
        <v>135</v>
      </c>
      <c r="I156" s="39" t="b">
        <v>0</v>
      </c>
      <c r="J156" s="39" t="s">
        <v>135</v>
      </c>
      <c r="K156" s="39" t="b">
        <v>0</v>
      </c>
      <c r="L156" s="39" t="s">
        <v>1061</v>
      </c>
      <c r="M156" s="39"/>
      <c r="N156" t="s">
        <v>1061</v>
      </c>
      <c r="O156" t="s">
        <v>1062</v>
      </c>
      <c r="P156" t="s">
        <v>43</v>
      </c>
      <c r="Q156" s="39" t="s">
        <v>88</v>
      </c>
      <c r="R156" s="39" t="s">
        <v>45</v>
      </c>
      <c r="S156" s="39" t="s">
        <v>1063</v>
      </c>
      <c r="T156" s="39" t="s">
        <v>1063</v>
      </c>
      <c r="U156" s="39" t="s">
        <v>1063</v>
      </c>
      <c r="V156" s="39" t="b">
        <v>0</v>
      </c>
      <c r="W156" s="39" t="s">
        <v>1064</v>
      </c>
      <c r="X156" s="39" t="s">
        <v>1065</v>
      </c>
      <c r="Y156" s="39" t="s">
        <v>310</v>
      </c>
      <c r="Z156" s="39" t="s">
        <v>32</v>
      </c>
      <c r="AA156" s="39"/>
      <c r="AB156" s="44">
        <v>6285777565554</v>
      </c>
      <c r="AC156" s="39" t="s">
        <v>1066</v>
      </c>
      <c r="AD156" s="39" t="s">
        <v>312</v>
      </c>
      <c r="AE156" s="39" t="s">
        <v>1067</v>
      </c>
      <c r="AF156" s="39" t="s">
        <v>609</v>
      </c>
      <c r="AG156" s="39" t="s">
        <v>133</v>
      </c>
      <c r="AH156" s="39" t="s">
        <v>1905</v>
      </c>
      <c r="AI156" s="39" t="s">
        <v>134</v>
      </c>
      <c r="AJ156" s="39" t="s">
        <v>1916</v>
      </c>
      <c r="AK156" t="b">
        <f t="shared" si="6"/>
        <v>1</v>
      </c>
      <c r="AL156" t="b">
        <f t="shared" si="7"/>
        <v>1</v>
      </c>
      <c r="AN156" t="e">
        <v>#N/A</v>
      </c>
      <c r="AP156" t="e">
        <f>_xlfn.XLOOKUP(F156,'Kolom info id dse &amp; part cd'!D:D,'Kolom info id dse &amp; part cd'!I:I)</f>
        <v>#N/A</v>
      </c>
      <c r="AQ156" t="e">
        <f t="shared" si="8"/>
        <v>#N/A</v>
      </c>
      <c r="AR156">
        <f>_xlfn.XLOOKUP($E156,'[1]Referensi New'!$D:$D,'[1]Referensi New'!$V:$V)</f>
        <v>2613050980</v>
      </c>
    </row>
    <row r="157" spans="1:44" ht="16">
      <c r="A157" s="39" t="s">
        <v>20</v>
      </c>
      <c r="B157" s="39" t="s">
        <v>21</v>
      </c>
      <c r="C157" s="39" t="s">
        <v>130</v>
      </c>
      <c r="D157" s="39" t="s">
        <v>151</v>
      </c>
      <c r="E157" s="39" t="s">
        <v>152</v>
      </c>
      <c r="F157" s="39" t="s">
        <v>153</v>
      </c>
      <c r="G157" s="39" t="s">
        <v>154</v>
      </c>
      <c r="H157" s="39" t="s">
        <v>135</v>
      </c>
      <c r="I157" s="39" t="b">
        <v>0</v>
      </c>
      <c r="J157" s="39" t="s">
        <v>135</v>
      </c>
      <c r="K157" s="39" t="b">
        <v>0</v>
      </c>
      <c r="L157" s="39" t="s">
        <v>1068</v>
      </c>
      <c r="M157" s="39"/>
      <c r="N157" t="s">
        <v>1068</v>
      </c>
      <c r="O157" t="s">
        <v>1069</v>
      </c>
      <c r="P157" t="s">
        <v>43</v>
      </c>
      <c r="Q157" s="39" t="s">
        <v>88</v>
      </c>
      <c r="R157" s="39" t="s">
        <v>45</v>
      </c>
      <c r="S157" s="39" t="s">
        <v>1070</v>
      </c>
      <c r="T157" s="39" t="s">
        <v>1070</v>
      </c>
      <c r="U157" s="39" t="s">
        <v>1070</v>
      </c>
      <c r="V157" s="39" t="b">
        <v>0</v>
      </c>
      <c r="W157" s="39" t="s">
        <v>1071</v>
      </c>
      <c r="X157" s="39" t="s">
        <v>1072</v>
      </c>
      <c r="Y157" s="39" t="s">
        <v>310</v>
      </c>
      <c r="Z157" s="39" t="s">
        <v>32</v>
      </c>
      <c r="AA157" s="39"/>
      <c r="AB157" s="44">
        <v>62985811333313</v>
      </c>
      <c r="AC157" s="39" t="s">
        <v>1073</v>
      </c>
      <c r="AD157" s="39" t="s">
        <v>312</v>
      </c>
      <c r="AE157" s="39" t="s">
        <v>1074</v>
      </c>
      <c r="AF157" s="39" t="s">
        <v>609</v>
      </c>
      <c r="AG157" s="39" t="s">
        <v>153</v>
      </c>
      <c r="AH157" s="39" t="s">
        <v>1905</v>
      </c>
      <c r="AI157" s="39" t="s">
        <v>154</v>
      </c>
      <c r="AJ157" s="39" t="s">
        <v>1917</v>
      </c>
      <c r="AK157" t="b">
        <f t="shared" si="6"/>
        <v>1</v>
      </c>
      <c r="AL157" t="b">
        <f t="shared" si="7"/>
        <v>1</v>
      </c>
      <c r="AN157" t="e">
        <v>#N/A</v>
      </c>
      <c r="AP157" t="e">
        <f>_xlfn.XLOOKUP(F157,'Kolom info id dse &amp; part cd'!D:D,'Kolom info id dse &amp; part cd'!I:I)</f>
        <v>#N/A</v>
      </c>
      <c r="AQ157" t="e">
        <f t="shared" si="8"/>
        <v>#N/A</v>
      </c>
      <c r="AR157">
        <f>_xlfn.XLOOKUP($E157,'[1]Referensi New'!$D:$D,'[1]Referensi New'!$V:$V)</f>
        <v>2613050983</v>
      </c>
    </row>
    <row r="158" spans="1:44" ht="16">
      <c r="A158" s="39" t="s">
        <v>20</v>
      </c>
      <c r="B158" s="39" t="s">
        <v>21</v>
      </c>
      <c r="C158" s="39" t="s">
        <v>130</v>
      </c>
      <c r="D158" s="39" t="s">
        <v>151</v>
      </c>
      <c r="E158" s="39" t="s">
        <v>152</v>
      </c>
      <c r="F158" s="39" t="s">
        <v>153</v>
      </c>
      <c r="G158" s="39" t="s">
        <v>154</v>
      </c>
      <c r="H158" s="39" t="s">
        <v>135</v>
      </c>
      <c r="I158" s="39" t="b">
        <v>0</v>
      </c>
      <c r="J158" s="39" t="s">
        <v>135</v>
      </c>
      <c r="K158" s="39" t="b">
        <v>0</v>
      </c>
      <c r="L158" s="39" t="s">
        <v>1075</v>
      </c>
      <c r="M158" s="39"/>
      <c r="N158" t="s">
        <v>1075</v>
      </c>
      <c r="O158" t="s">
        <v>1076</v>
      </c>
      <c r="P158" t="s">
        <v>43</v>
      </c>
      <c r="Q158" s="39" t="s">
        <v>88</v>
      </c>
      <c r="R158" s="39" t="s">
        <v>45</v>
      </c>
      <c r="S158" s="39" t="s">
        <v>1077</v>
      </c>
      <c r="T158" s="39" t="s">
        <v>1077</v>
      </c>
      <c r="U158" s="39" t="s">
        <v>1077</v>
      </c>
      <c r="V158" s="39" t="b">
        <v>0</v>
      </c>
      <c r="W158" s="39" t="s">
        <v>1078</v>
      </c>
      <c r="X158" s="39" t="s">
        <v>1079</v>
      </c>
      <c r="Y158" s="39" t="s">
        <v>310</v>
      </c>
      <c r="Z158" s="39" t="s">
        <v>32</v>
      </c>
      <c r="AA158" s="39"/>
      <c r="AB158" s="44">
        <v>6285777799909</v>
      </c>
      <c r="AC158" s="39" t="s">
        <v>1080</v>
      </c>
      <c r="AD158" s="39" t="s">
        <v>312</v>
      </c>
      <c r="AE158" s="39" t="s">
        <v>1081</v>
      </c>
      <c r="AF158" s="39" t="s">
        <v>609</v>
      </c>
      <c r="AG158" s="39" t="s">
        <v>153</v>
      </c>
      <c r="AH158" s="39" t="s">
        <v>1905</v>
      </c>
      <c r="AI158" s="39" t="s">
        <v>154</v>
      </c>
      <c r="AJ158" s="39" t="s">
        <v>1917</v>
      </c>
      <c r="AK158" t="b">
        <f t="shared" si="6"/>
        <v>1</v>
      </c>
      <c r="AL158" t="b">
        <f t="shared" si="7"/>
        <v>1</v>
      </c>
      <c r="AN158" t="e">
        <v>#N/A</v>
      </c>
      <c r="AP158" t="e">
        <f>_xlfn.XLOOKUP(F158,'Kolom info id dse &amp; part cd'!D:D,'Kolom info id dse &amp; part cd'!I:I)</f>
        <v>#N/A</v>
      </c>
      <c r="AQ158" t="e">
        <f t="shared" si="8"/>
        <v>#N/A</v>
      </c>
      <c r="AR158">
        <f>_xlfn.XLOOKUP($E158,'[1]Referensi New'!$D:$D,'[1]Referensi New'!$V:$V)</f>
        <v>2613050983</v>
      </c>
    </row>
    <row r="159" spans="1:44" ht="16">
      <c r="A159" s="39" t="s">
        <v>20</v>
      </c>
      <c r="B159" s="39" t="s">
        <v>21</v>
      </c>
      <c r="C159" s="39" t="s">
        <v>805</v>
      </c>
      <c r="D159" s="39" t="s">
        <v>838</v>
      </c>
      <c r="E159" s="39" t="s">
        <v>839</v>
      </c>
      <c r="F159" s="39" t="s">
        <v>840</v>
      </c>
      <c r="G159" s="39" t="s">
        <v>841</v>
      </c>
      <c r="H159" s="39" t="s">
        <v>635</v>
      </c>
      <c r="I159" s="39" t="b">
        <v>0</v>
      </c>
      <c r="J159" s="39" t="s">
        <v>635</v>
      </c>
      <c r="K159" s="39" t="b">
        <v>0</v>
      </c>
      <c r="L159" s="39" t="s">
        <v>1082</v>
      </c>
      <c r="M159" s="39"/>
      <c r="N159" t="s">
        <v>1082</v>
      </c>
      <c r="O159" t="s">
        <v>1083</v>
      </c>
      <c r="P159" t="s">
        <v>43</v>
      </c>
      <c r="Q159" s="39" t="s">
        <v>88</v>
      </c>
      <c r="R159" s="39" t="s">
        <v>45</v>
      </c>
      <c r="S159" s="39" t="s">
        <v>1084</v>
      </c>
      <c r="T159" s="39" t="s">
        <v>1084</v>
      </c>
      <c r="U159" s="39" t="s">
        <v>1084</v>
      </c>
      <c r="V159" s="39"/>
      <c r="W159" s="39">
        <v>0</v>
      </c>
      <c r="X159" s="39" t="s">
        <v>1085</v>
      </c>
      <c r="Y159" s="39" t="s">
        <v>68</v>
      </c>
      <c r="Z159" s="39"/>
      <c r="AA159" s="39"/>
      <c r="AB159" s="44">
        <v>6285813087817</v>
      </c>
      <c r="AC159" s="39"/>
      <c r="AD159" s="39"/>
      <c r="AE159" s="39" t="s">
        <v>1086</v>
      </c>
      <c r="AF159" s="39"/>
      <c r="AG159" s="39" t="s">
        <v>840</v>
      </c>
      <c r="AH159" s="39" t="s">
        <v>1908</v>
      </c>
      <c r="AI159" s="39" t="s">
        <v>841</v>
      </c>
      <c r="AJ159" s="39" t="s">
        <v>1931</v>
      </c>
      <c r="AK159" t="b">
        <f t="shared" si="6"/>
        <v>1</v>
      </c>
      <c r="AL159" t="b">
        <f t="shared" si="7"/>
        <v>1</v>
      </c>
      <c r="AN159" t="e">
        <v>#N/A</v>
      </c>
      <c r="AP159" t="e">
        <f>_xlfn.XLOOKUP(F159,'Kolom info id dse &amp; part cd'!D:D,'Kolom info id dse &amp; part cd'!I:I)</f>
        <v>#N/A</v>
      </c>
      <c r="AQ159" t="e">
        <f t="shared" si="8"/>
        <v>#N/A</v>
      </c>
      <c r="AR159" t="str">
        <f>_xlfn.XLOOKUP($E159,'[1]Referensi New'!$D:$D,'[1]Referensi New'!$V:$V)</f>
        <v>CSO-SELATAN-07</v>
      </c>
    </row>
    <row r="160" spans="1:44" ht="16">
      <c r="A160" s="39" t="s">
        <v>20</v>
      </c>
      <c r="B160" s="39" t="s">
        <v>21</v>
      </c>
      <c r="C160" s="39" t="s">
        <v>805</v>
      </c>
      <c r="D160" s="39" t="s">
        <v>820</v>
      </c>
      <c r="E160" s="39" t="s">
        <v>821</v>
      </c>
      <c r="F160" s="39" t="s">
        <v>822</v>
      </c>
      <c r="G160" s="39" t="s">
        <v>823</v>
      </c>
      <c r="H160" s="39" t="s">
        <v>635</v>
      </c>
      <c r="I160" s="39" t="b">
        <v>0</v>
      </c>
      <c r="J160" s="39" t="s">
        <v>635</v>
      </c>
      <c r="K160" s="39" t="b">
        <v>0</v>
      </c>
      <c r="L160" s="39" t="s">
        <v>1087</v>
      </c>
      <c r="M160" s="39"/>
      <c r="N160" t="s">
        <v>1087</v>
      </c>
      <c r="O160" t="s">
        <v>1088</v>
      </c>
      <c r="P160" t="s">
        <v>43</v>
      </c>
      <c r="Q160" s="39" t="s">
        <v>88</v>
      </c>
      <c r="R160" s="39" t="s">
        <v>45</v>
      </c>
      <c r="S160" s="39" t="s">
        <v>1089</v>
      </c>
      <c r="T160" s="39" t="s">
        <v>1089</v>
      </c>
      <c r="U160" s="39" t="s">
        <v>1089</v>
      </c>
      <c r="V160" s="39"/>
      <c r="W160" s="39">
        <v>0</v>
      </c>
      <c r="X160" s="39" t="s">
        <v>1090</v>
      </c>
      <c r="Y160" s="39" t="s">
        <v>68</v>
      </c>
      <c r="Z160" s="39"/>
      <c r="AA160" s="39"/>
      <c r="AB160" s="44">
        <v>6285781288549</v>
      </c>
      <c r="AC160" s="39"/>
      <c r="AD160" s="39"/>
      <c r="AE160" s="39" t="s">
        <v>1091</v>
      </c>
      <c r="AF160" s="39"/>
      <c r="AG160" s="39" t="s">
        <v>822</v>
      </c>
      <c r="AH160" s="39" t="s">
        <v>1908</v>
      </c>
      <c r="AI160" s="39" t="s">
        <v>823</v>
      </c>
      <c r="AJ160" s="39" t="s">
        <v>1931</v>
      </c>
      <c r="AK160" t="b">
        <f t="shared" si="6"/>
        <v>1</v>
      </c>
      <c r="AL160" t="b">
        <f t="shared" si="7"/>
        <v>1</v>
      </c>
      <c r="AN160" t="e">
        <v>#N/A</v>
      </c>
      <c r="AP160" t="e">
        <f>_xlfn.XLOOKUP(F160,'Kolom info id dse &amp; part cd'!D:D,'Kolom info id dse &amp; part cd'!I:I)</f>
        <v>#N/A</v>
      </c>
      <c r="AQ160" t="e">
        <f t="shared" si="8"/>
        <v>#N/A</v>
      </c>
      <c r="AR160" t="str">
        <f>_xlfn.XLOOKUP($E160,'[1]Referensi New'!$D:$D,'[1]Referensi New'!$V:$V)</f>
        <v>CSO-SELATAN-03</v>
      </c>
    </row>
    <row r="161" spans="1:44" ht="16">
      <c r="A161" s="39" t="s">
        <v>20</v>
      </c>
      <c r="B161" s="39" t="s">
        <v>21</v>
      </c>
      <c r="C161" s="39" t="s">
        <v>805</v>
      </c>
      <c r="D161" s="39" t="s">
        <v>838</v>
      </c>
      <c r="E161" s="39" t="s">
        <v>839</v>
      </c>
      <c r="F161" s="39" t="s">
        <v>840</v>
      </c>
      <c r="G161" s="39" t="s">
        <v>841</v>
      </c>
      <c r="H161" s="39" t="s">
        <v>635</v>
      </c>
      <c r="I161" s="39" t="b">
        <v>0</v>
      </c>
      <c r="J161" s="39" t="s">
        <v>635</v>
      </c>
      <c r="K161" s="39" t="b">
        <v>0</v>
      </c>
      <c r="L161" s="39" t="s">
        <v>1092</v>
      </c>
      <c r="M161" s="39"/>
      <c r="N161" t="s">
        <v>1092</v>
      </c>
      <c r="O161" t="s">
        <v>1093</v>
      </c>
      <c r="P161" t="s">
        <v>43</v>
      </c>
      <c r="Q161" s="39" t="s">
        <v>88</v>
      </c>
      <c r="R161" s="39" t="s">
        <v>45</v>
      </c>
      <c r="S161" s="39" t="s">
        <v>1094</v>
      </c>
      <c r="T161" s="39" t="s">
        <v>1094</v>
      </c>
      <c r="U161" s="39" t="s">
        <v>1094</v>
      </c>
      <c r="V161" s="39"/>
      <c r="W161" s="39">
        <v>0</v>
      </c>
      <c r="X161" s="39" t="s">
        <v>1095</v>
      </c>
      <c r="Y161" s="39" t="s">
        <v>68</v>
      </c>
      <c r="Z161" s="39"/>
      <c r="AA161" s="39"/>
      <c r="AB161" s="44">
        <v>6285695001961</v>
      </c>
      <c r="AC161" s="39"/>
      <c r="AD161" s="39"/>
      <c r="AE161" s="39" t="s">
        <v>1096</v>
      </c>
      <c r="AF161" s="39"/>
      <c r="AG161" s="39" t="s">
        <v>840</v>
      </c>
      <c r="AH161" s="39" t="s">
        <v>1908</v>
      </c>
      <c r="AI161" s="39" t="s">
        <v>841</v>
      </c>
      <c r="AJ161" s="39" t="s">
        <v>1931</v>
      </c>
      <c r="AK161" t="b">
        <f t="shared" si="6"/>
        <v>1</v>
      </c>
      <c r="AL161" t="b">
        <f t="shared" si="7"/>
        <v>1</v>
      </c>
      <c r="AN161" t="e">
        <v>#N/A</v>
      </c>
      <c r="AP161" t="e">
        <f>_xlfn.XLOOKUP(F161,'Kolom info id dse &amp; part cd'!D:D,'Kolom info id dse &amp; part cd'!I:I)</f>
        <v>#N/A</v>
      </c>
      <c r="AQ161" t="e">
        <f t="shared" si="8"/>
        <v>#N/A</v>
      </c>
      <c r="AR161" t="str">
        <f>_xlfn.XLOOKUP($E161,'[1]Referensi New'!$D:$D,'[1]Referensi New'!$V:$V)</f>
        <v>CSO-SELATAN-07</v>
      </c>
    </row>
    <row r="162" spans="1:44" ht="16">
      <c r="A162" s="39" t="s">
        <v>20</v>
      </c>
      <c r="B162" s="39" t="s">
        <v>21</v>
      </c>
      <c r="C162" s="39" t="s">
        <v>58</v>
      </c>
      <c r="D162" s="39" t="s">
        <v>1097</v>
      </c>
      <c r="E162" s="39" t="s">
        <v>1098</v>
      </c>
      <c r="F162" s="39" t="s">
        <v>1099</v>
      </c>
      <c r="G162" s="39" t="s">
        <v>1100</v>
      </c>
      <c r="H162" s="39" t="s">
        <v>1101</v>
      </c>
      <c r="I162" s="39" t="b">
        <v>0</v>
      </c>
      <c r="J162" s="39" t="s">
        <v>1101</v>
      </c>
      <c r="K162" s="39" t="b">
        <v>0</v>
      </c>
      <c r="L162" s="39" t="s">
        <v>1102</v>
      </c>
      <c r="M162" s="39"/>
      <c r="N162" t="s">
        <v>1102</v>
      </c>
      <c r="O162" t="s">
        <v>1103</v>
      </c>
      <c r="P162" t="s">
        <v>43</v>
      </c>
      <c r="Q162" s="39" t="s">
        <v>28</v>
      </c>
      <c r="R162" s="39" t="s">
        <v>45</v>
      </c>
      <c r="S162" s="39" t="s">
        <v>1104</v>
      </c>
      <c r="T162" s="39"/>
      <c r="U162" s="39"/>
      <c r="V162" s="39"/>
      <c r="W162" s="39" t="s">
        <v>1105</v>
      </c>
      <c r="X162" s="39" t="s">
        <v>1106</v>
      </c>
      <c r="Y162" s="39" t="s">
        <v>68</v>
      </c>
      <c r="Z162" s="39" t="s">
        <v>32</v>
      </c>
      <c r="AA162" s="39"/>
      <c r="AB162" s="44">
        <v>6285792000083</v>
      </c>
      <c r="AC162" s="39"/>
      <c r="AD162" s="39"/>
      <c r="AE162" s="39" t="s">
        <v>1107</v>
      </c>
      <c r="AF162" s="39"/>
      <c r="AG162" s="39" t="s">
        <v>1099</v>
      </c>
      <c r="AH162" s="39" t="s">
        <v>1910</v>
      </c>
      <c r="AI162" s="39" t="s">
        <v>1100</v>
      </c>
      <c r="AJ162" s="39" t="s">
        <v>1935</v>
      </c>
      <c r="AK162" t="b">
        <f t="shared" si="6"/>
        <v>1</v>
      </c>
      <c r="AL162" t="b">
        <f t="shared" si="7"/>
        <v>1</v>
      </c>
      <c r="AN162" t="e">
        <v>#N/A</v>
      </c>
      <c r="AP162" t="e">
        <f>_xlfn.XLOOKUP(F162,'Kolom info id dse &amp; part cd'!D:D,'Kolom info id dse &amp; part cd'!I:I)</f>
        <v>#N/A</v>
      </c>
      <c r="AQ162" t="e">
        <f t="shared" si="8"/>
        <v>#N/A</v>
      </c>
      <c r="AR162" t="str">
        <f>_xlfn.XLOOKUP($E162,'[1]Referensi New'!$D:$D,'[1]Referensi New'!$V:$V)</f>
        <v>DSEIN061</v>
      </c>
    </row>
    <row r="163" spans="1:44" ht="16">
      <c r="A163" s="39" t="s">
        <v>20</v>
      </c>
      <c r="B163" s="39" t="s">
        <v>21</v>
      </c>
      <c r="C163" s="39" t="s">
        <v>58</v>
      </c>
      <c r="D163" s="39" t="s">
        <v>1097</v>
      </c>
      <c r="E163" s="39" t="s">
        <v>1098</v>
      </c>
      <c r="F163" s="39" t="s">
        <v>1099</v>
      </c>
      <c r="G163" s="39" t="s">
        <v>1100</v>
      </c>
      <c r="H163" s="39" t="s">
        <v>1101</v>
      </c>
      <c r="I163" s="39" t="b">
        <v>0</v>
      </c>
      <c r="J163" s="39" t="s">
        <v>1101</v>
      </c>
      <c r="K163" s="39" t="b">
        <v>0</v>
      </c>
      <c r="L163" s="39" t="s">
        <v>1108</v>
      </c>
      <c r="M163" s="39"/>
      <c r="N163" t="s">
        <v>1108</v>
      </c>
      <c r="O163" t="s">
        <v>1109</v>
      </c>
      <c r="P163" t="s">
        <v>43</v>
      </c>
      <c r="Q163" s="39" t="s">
        <v>28</v>
      </c>
      <c r="R163" s="39" t="s">
        <v>45</v>
      </c>
      <c r="S163" s="39" t="s">
        <v>1110</v>
      </c>
      <c r="T163" s="39"/>
      <c r="U163" s="39"/>
      <c r="V163" s="39"/>
      <c r="W163" s="39" t="s">
        <v>1111</v>
      </c>
      <c r="X163" s="39" t="s">
        <v>1112</v>
      </c>
      <c r="Y163" s="39" t="s">
        <v>68</v>
      </c>
      <c r="Z163" s="39" t="s">
        <v>32</v>
      </c>
      <c r="AA163" s="39"/>
      <c r="AB163" s="44">
        <v>6285710911929</v>
      </c>
      <c r="AC163" s="39"/>
      <c r="AD163" s="39"/>
      <c r="AE163" s="39" t="s">
        <v>1113</v>
      </c>
      <c r="AF163" s="39"/>
      <c r="AG163" s="39" t="s">
        <v>1099</v>
      </c>
      <c r="AH163" s="39" t="s">
        <v>1910</v>
      </c>
      <c r="AI163" s="39" t="s">
        <v>1100</v>
      </c>
      <c r="AJ163" s="39" t="s">
        <v>1935</v>
      </c>
      <c r="AK163" t="b">
        <f t="shared" si="6"/>
        <v>1</v>
      </c>
      <c r="AL163" t="b">
        <f t="shared" si="7"/>
        <v>1</v>
      </c>
      <c r="AN163" t="e">
        <v>#N/A</v>
      </c>
      <c r="AP163" t="e">
        <f>_xlfn.XLOOKUP(F163,'Kolom info id dse &amp; part cd'!D:D,'Kolom info id dse &amp; part cd'!I:I)</f>
        <v>#N/A</v>
      </c>
      <c r="AQ163" t="e">
        <f t="shared" si="8"/>
        <v>#N/A</v>
      </c>
      <c r="AR163" t="str">
        <f>_xlfn.XLOOKUP($E163,'[1]Referensi New'!$D:$D,'[1]Referensi New'!$V:$V)</f>
        <v>DSEIN061</v>
      </c>
    </row>
    <row r="164" spans="1:44" ht="16">
      <c r="A164" s="39" t="s">
        <v>20</v>
      </c>
      <c r="B164" s="39" t="s">
        <v>21</v>
      </c>
      <c r="C164" s="39" t="s">
        <v>58</v>
      </c>
      <c r="D164" s="39" t="s">
        <v>1097</v>
      </c>
      <c r="E164" s="39" t="s">
        <v>1098</v>
      </c>
      <c r="F164" s="39" t="s">
        <v>1099</v>
      </c>
      <c r="G164" s="39" t="s">
        <v>1100</v>
      </c>
      <c r="H164" s="39" t="s">
        <v>1101</v>
      </c>
      <c r="I164" s="39" t="b">
        <v>0</v>
      </c>
      <c r="J164" s="39" t="s">
        <v>1101</v>
      </c>
      <c r="K164" s="39" t="b">
        <v>0</v>
      </c>
      <c r="L164" s="39" t="s">
        <v>1114</v>
      </c>
      <c r="M164" s="39"/>
      <c r="N164" t="s">
        <v>1114</v>
      </c>
      <c r="O164" t="s">
        <v>1115</v>
      </c>
      <c r="P164" t="s">
        <v>43</v>
      </c>
      <c r="Q164" s="39" t="s">
        <v>28</v>
      </c>
      <c r="R164" s="39" t="s">
        <v>45</v>
      </c>
      <c r="S164" s="39" t="s">
        <v>1116</v>
      </c>
      <c r="T164" s="39"/>
      <c r="U164" s="39"/>
      <c r="V164" s="39"/>
      <c r="W164" s="39" t="s">
        <v>1117</v>
      </c>
      <c r="X164" s="39" t="s">
        <v>1118</v>
      </c>
      <c r="Y164" s="39" t="s">
        <v>68</v>
      </c>
      <c r="Z164" s="39" t="s">
        <v>32</v>
      </c>
      <c r="AA164" s="39"/>
      <c r="AB164" s="44">
        <v>6285775999311</v>
      </c>
      <c r="AC164" s="39"/>
      <c r="AD164" s="39"/>
      <c r="AE164" s="39" t="s">
        <v>1119</v>
      </c>
      <c r="AF164" s="39"/>
      <c r="AG164" s="39" t="s">
        <v>1099</v>
      </c>
      <c r="AH164" s="39" t="s">
        <v>1910</v>
      </c>
      <c r="AI164" s="39" t="s">
        <v>1100</v>
      </c>
      <c r="AJ164" s="39" t="s">
        <v>1935</v>
      </c>
      <c r="AK164" t="b">
        <f t="shared" si="6"/>
        <v>1</v>
      </c>
      <c r="AL164" t="b">
        <f t="shared" si="7"/>
        <v>1</v>
      </c>
      <c r="AN164" t="e">
        <v>#N/A</v>
      </c>
      <c r="AP164" t="e">
        <f>_xlfn.XLOOKUP(F164,'Kolom info id dse &amp; part cd'!D:D,'Kolom info id dse &amp; part cd'!I:I)</f>
        <v>#N/A</v>
      </c>
      <c r="AQ164" t="e">
        <f t="shared" si="8"/>
        <v>#N/A</v>
      </c>
      <c r="AR164" t="str">
        <f>_xlfn.XLOOKUP($E164,'[1]Referensi New'!$D:$D,'[1]Referensi New'!$V:$V)</f>
        <v>DSEIN061</v>
      </c>
    </row>
    <row r="165" spans="1:44" ht="16">
      <c r="A165" s="39" t="s">
        <v>20</v>
      </c>
      <c r="B165" s="39" t="s">
        <v>21</v>
      </c>
      <c r="C165" s="39" t="s">
        <v>58</v>
      </c>
      <c r="D165" s="39" t="s">
        <v>1097</v>
      </c>
      <c r="E165" s="39" t="s">
        <v>1098</v>
      </c>
      <c r="F165" s="39" t="s">
        <v>1099</v>
      </c>
      <c r="G165" s="39" t="s">
        <v>1100</v>
      </c>
      <c r="H165" s="39" t="s">
        <v>1101</v>
      </c>
      <c r="I165" s="39" t="b">
        <v>0</v>
      </c>
      <c r="J165" s="39" t="s">
        <v>1101</v>
      </c>
      <c r="K165" s="39" t="b">
        <v>0</v>
      </c>
      <c r="L165" s="39" t="s">
        <v>1120</v>
      </c>
      <c r="M165" s="39"/>
      <c r="N165" t="s">
        <v>1120</v>
      </c>
      <c r="O165" t="s">
        <v>1121</v>
      </c>
      <c r="P165" t="s">
        <v>43</v>
      </c>
      <c r="Q165" s="39" t="s">
        <v>28</v>
      </c>
      <c r="R165" s="39" t="s">
        <v>45</v>
      </c>
      <c r="S165" s="39" t="s">
        <v>1122</v>
      </c>
      <c r="T165" s="39"/>
      <c r="U165" s="39"/>
      <c r="V165" s="39"/>
      <c r="W165" s="39" t="s">
        <v>1123</v>
      </c>
      <c r="X165" s="39" t="s">
        <v>1124</v>
      </c>
      <c r="Y165" s="39" t="s">
        <v>68</v>
      </c>
      <c r="Z165" s="39" t="s">
        <v>32</v>
      </c>
      <c r="AA165" s="39"/>
      <c r="AB165" s="44">
        <v>6285697352707</v>
      </c>
      <c r="AC165" s="39"/>
      <c r="AD165" s="39"/>
      <c r="AE165" s="39" t="s">
        <v>1125</v>
      </c>
      <c r="AF165" s="39"/>
      <c r="AG165" s="39" t="s">
        <v>1099</v>
      </c>
      <c r="AH165" s="39" t="s">
        <v>1910</v>
      </c>
      <c r="AI165" s="39" t="s">
        <v>1100</v>
      </c>
      <c r="AJ165" s="39" t="s">
        <v>1935</v>
      </c>
      <c r="AK165" t="b">
        <f t="shared" si="6"/>
        <v>1</v>
      </c>
      <c r="AL165" t="b">
        <f t="shared" si="7"/>
        <v>1</v>
      </c>
      <c r="AN165" t="e">
        <v>#N/A</v>
      </c>
      <c r="AP165" t="e">
        <f>_xlfn.XLOOKUP(F165,'Kolom info id dse &amp; part cd'!D:D,'Kolom info id dse &amp; part cd'!I:I)</f>
        <v>#N/A</v>
      </c>
      <c r="AQ165" t="e">
        <f t="shared" si="8"/>
        <v>#N/A</v>
      </c>
      <c r="AR165" t="str">
        <f>_xlfn.XLOOKUP($E165,'[1]Referensi New'!$D:$D,'[1]Referensi New'!$V:$V)</f>
        <v>DSEIN061</v>
      </c>
    </row>
    <row r="166" spans="1:44" ht="16">
      <c r="A166" s="39" t="s">
        <v>20</v>
      </c>
      <c r="B166" s="39" t="s">
        <v>21</v>
      </c>
      <c r="C166" s="39" t="s">
        <v>58</v>
      </c>
      <c r="D166" s="39" t="s">
        <v>1097</v>
      </c>
      <c r="E166" s="39" t="s">
        <v>1098</v>
      </c>
      <c r="F166" s="39" t="s">
        <v>1099</v>
      </c>
      <c r="G166" s="39" t="s">
        <v>1100</v>
      </c>
      <c r="H166" s="39" t="s">
        <v>1101</v>
      </c>
      <c r="I166" s="39" t="b">
        <v>0</v>
      </c>
      <c r="J166" s="39" t="s">
        <v>1101</v>
      </c>
      <c r="K166" s="39" t="b">
        <v>0</v>
      </c>
      <c r="L166" s="39" t="s">
        <v>1126</v>
      </c>
      <c r="M166" s="39"/>
      <c r="N166" t="s">
        <v>1126</v>
      </c>
      <c r="O166" t="s">
        <v>1127</v>
      </c>
      <c r="P166" t="s">
        <v>43</v>
      </c>
      <c r="Q166" s="39" t="s">
        <v>28</v>
      </c>
      <c r="R166" s="39" t="s">
        <v>45</v>
      </c>
      <c r="S166" s="39" t="s">
        <v>1128</v>
      </c>
      <c r="T166" s="39"/>
      <c r="U166" s="39"/>
      <c r="V166" s="39"/>
      <c r="W166" s="39" t="s">
        <v>1129</v>
      </c>
      <c r="X166" s="39" t="s">
        <v>1130</v>
      </c>
      <c r="Y166" s="39" t="s">
        <v>68</v>
      </c>
      <c r="Z166" s="39" t="s">
        <v>32</v>
      </c>
      <c r="AA166" s="39"/>
      <c r="AB166" s="44">
        <v>6285697351957</v>
      </c>
      <c r="AC166" s="39"/>
      <c r="AD166" s="39"/>
      <c r="AE166" s="39" t="s">
        <v>1131</v>
      </c>
      <c r="AF166" s="39"/>
      <c r="AG166" s="39" t="s">
        <v>1099</v>
      </c>
      <c r="AH166" s="39" t="s">
        <v>1910</v>
      </c>
      <c r="AI166" s="39" t="s">
        <v>1100</v>
      </c>
      <c r="AJ166" s="39" t="s">
        <v>1935</v>
      </c>
      <c r="AK166" t="b">
        <f t="shared" si="6"/>
        <v>1</v>
      </c>
      <c r="AL166" t="b">
        <f t="shared" si="7"/>
        <v>1</v>
      </c>
      <c r="AN166" t="e">
        <v>#N/A</v>
      </c>
      <c r="AP166" t="e">
        <f>_xlfn.XLOOKUP(F166,'Kolom info id dse &amp; part cd'!D:D,'Kolom info id dse &amp; part cd'!I:I)</f>
        <v>#N/A</v>
      </c>
      <c r="AQ166" t="e">
        <f t="shared" si="8"/>
        <v>#N/A</v>
      </c>
      <c r="AR166" t="str">
        <f>_xlfn.XLOOKUP($E166,'[1]Referensi New'!$D:$D,'[1]Referensi New'!$V:$V)</f>
        <v>DSEIN061</v>
      </c>
    </row>
    <row r="167" spans="1:44" ht="16">
      <c r="A167" s="39" t="s">
        <v>20</v>
      </c>
      <c r="B167" s="39" t="s">
        <v>21</v>
      </c>
      <c r="C167" s="39" t="s">
        <v>22</v>
      </c>
      <c r="D167" s="39" t="s">
        <v>470</v>
      </c>
      <c r="E167" s="39" t="s">
        <v>471</v>
      </c>
      <c r="F167" s="39" t="s">
        <v>472</v>
      </c>
      <c r="G167" s="39" t="s">
        <v>473</v>
      </c>
      <c r="H167" s="39" t="s">
        <v>75</v>
      </c>
      <c r="I167" s="39" t="b">
        <v>0</v>
      </c>
      <c r="J167" s="39" t="s">
        <v>75</v>
      </c>
      <c r="K167" s="39" t="b">
        <v>0</v>
      </c>
      <c r="L167" s="39" t="s">
        <v>1132</v>
      </c>
      <c r="M167" s="39"/>
      <c r="N167" t="s">
        <v>1132</v>
      </c>
      <c r="O167" t="s">
        <v>1133</v>
      </c>
      <c r="P167" t="s">
        <v>43</v>
      </c>
      <c r="Q167" s="39" t="s">
        <v>28</v>
      </c>
      <c r="R167" s="39" t="s">
        <v>45</v>
      </c>
      <c r="S167" s="39" t="s">
        <v>1134</v>
      </c>
      <c r="T167" s="39"/>
      <c r="U167" s="39"/>
      <c r="V167" s="39"/>
      <c r="W167" s="39" t="s">
        <v>1135</v>
      </c>
      <c r="X167" s="39" t="s">
        <v>1136</v>
      </c>
      <c r="Y167" s="39" t="s">
        <v>68</v>
      </c>
      <c r="Z167" s="39" t="s">
        <v>32</v>
      </c>
      <c r="AA167" s="39"/>
      <c r="AB167" s="44">
        <v>6285691777934</v>
      </c>
      <c r="AC167" s="39"/>
      <c r="AD167" s="39"/>
      <c r="AE167" s="39" t="s">
        <v>1137</v>
      </c>
      <c r="AF167" s="39"/>
      <c r="AG167" s="39" t="s">
        <v>472</v>
      </c>
      <c r="AH167" s="39" t="s">
        <v>1903</v>
      </c>
      <c r="AI167" s="39" t="s">
        <v>473</v>
      </c>
      <c r="AJ167" s="39" t="s">
        <v>1927</v>
      </c>
      <c r="AK167" t="b">
        <f t="shared" si="6"/>
        <v>1</v>
      </c>
      <c r="AL167" t="b">
        <f t="shared" si="7"/>
        <v>1</v>
      </c>
      <c r="AN167" t="e">
        <v>#N/A</v>
      </c>
      <c r="AP167" t="e">
        <f>_xlfn.XLOOKUP(F167,'Kolom info id dse &amp; part cd'!D:D,'Kolom info id dse &amp; part cd'!I:I)</f>
        <v>#N/A</v>
      </c>
      <c r="AQ167" t="e">
        <f t="shared" si="8"/>
        <v>#N/A</v>
      </c>
      <c r="AR167">
        <f>_xlfn.XLOOKUP($E167,'[1]Referensi New'!$D:$D,'[1]Referensi New'!$V:$V)</f>
        <v>2613051407</v>
      </c>
    </row>
    <row r="168" spans="1:44" ht="16">
      <c r="A168" s="39" t="s">
        <v>20</v>
      </c>
      <c r="B168" s="39" t="s">
        <v>21</v>
      </c>
      <c r="C168" s="39" t="s">
        <v>22</v>
      </c>
      <c r="D168" s="39" t="s">
        <v>470</v>
      </c>
      <c r="E168" s="39" t="s">
        <v>471</v>
      </c>
      <c r="F168" s="39" t="s">
        <v>472</v>
      </c>
      <c r="G168" s="39" t="s">
        <v>473</v>
      </c>
      <c r="H168" s="39" t="s">
        <v>75</v>
      </c>
      <c r="I168" s="39" t="b">
        <v>0</v>
      </c>
      <c r="J168" s="39" t="s">
        <v>75</v>
      </c>
      <c r="K168" s="39" t="b">
        <v>0</v>
      </c>
      <c r="L168" s="39" t="s">
        <v>1138</v>
      </c>
      <c r="M168" s="39"/>
      <c r="N168" t="s">
        <v>1138</v>
      </c>
      <c r="O168" t="s">
        <v>1139</v>
      </c>
      <c r="P168" t="s">
        <v>43</v>
      </c>
      <c r="Q168" s="39" t="s">
        <v>28</v>
      </c>
      <c r="R168" s="39" t="s">
        <v>45</v>
      </c>
      <c r="S168" s="39" t="s">
        <v>1140</v>
      </c>
      <c r="T168" s="39"/>
      <c r="U168" s="39"/>
      <c r="V168" s="39"/>
      <c r="W168" s="39" t="s">
        <v>1141</v>
      </c>
      <c r="X168" s="39" t="s">
        <v>1142</v>
      </c>
      <c r="Y168" s="39" t="s">
        <v>68</v>
      </c>
      <c r="Z168" s="39" t="s">
        <v>32</v>
      </c>
      <c r="AA168" s="39"/>
      <c r="AB168" s="44">
        <v>6285691777964</v>
      </c>
      <c r="AC168" s="39"/>
      <c r="AD168" s="39"/>
      <c r="AE168" s="39" t="s">
        <v>1143</v>
      </c>
      <c r="AF168" s="39"/>
      <c r="AG168" s="39" t="s">
        <v>472</v>
      </c>
      <c r="AH168" s="39" t="s">
        <v>1903</v>
      </c>
      <c r="AI168" s="39" t="s">
        <v>473</v>
      </c>
      <c r="AJ168" s="39" t="s">
        <v>1927</v>
      </c>
      <c r="AK168" t="b">
        <f t="shared" si="6"/>
        <v>1</v>
      </c>
      <c r="AL168" t="b">
        <f t="shared" si="7"/>
        <v>1</v>
      </c>
      <c r="AN168" t="e">
        <v>#N/A</v>
      </c>
      <c r="AP168" t="e">
        <f>_xlfn.XLOOKUP(F168,'Kolom info id dse &amp; part cd'!D:D,'Kolom info id dse &amp; part cd'!I:I)</f>
        <v>#N/A</v>
      </c>
      <c r="AQ168" t="e">
        <f t="shared" si="8"/>
        <v>#N/A</v>
      </c>
      <c r="AR168">
        <f>_xlfn.XLOOKUP($E168,'[1]Referensi New'!$D:$D,'[1]Referensi New'!$V:$V)</f>
        <v>2613051407</v>
      </c>
    </row>
    <row r="169" spans="1:44" ht="16">
      <c r="A169" s="39" t="s">
        <v>20</v>
      </c>
      <c r="B169" s="39" t="s">
        <v>21</v>
      </c>
      <c r="C169" s="39" t="s">
        <v>22</v>
      </c>
      <c r="D169" s="39" t="s">
        <v>498</v>
      </c>
      <c r="E169" s="39" t="s">
        <v>499</v>
      </c>
      <c r="F169" s="39" t="s">
        <v>500</v>
      </c>
      <c r="G169" s="39" t="s">
        <v>501</v>
      </c>
      <c r="H169" s="39" t="s">
        <v>75</v>
      </c>
      <c r="I169" s="39" t="b">
        <v>0</v>
      </c>
      <c r="J169" s="39" t="s">
        <v>75</v>
      </c>
      <c r="K169" s="39" t="b">
        <v>0</v>
      </c>
      <c r="L169" s="39" t="s">
        <v>1144</v>
      </c>
      <c r="M169" s="39"/>
      <c r="N169" t="s">
        <v>1144</v>
      </c>
      <c r="O169" t="s">
        <v>1145</v>
      </c>
      <c r="P169" t="s">
        <v>43</v>
      </c>
      <c r="Q169" s="39" t="s">
        <v>28</v>
      </c>
      <c r="R169" s="39" t="s">
        <v>45</v>
      </c>
      <c r="S169" s="39" t="s">
        <v>1146</v>
      </c>
      <c r="T169" s="39"/>
      <c r="U169" s="39"/>
      <c r="V169" s="39"/>
      <c r="W169" s="39" t="s">
        <v>1147</v>
      </c>
      <c r="X169" s="39" t="s">
        <v>1148</v>
      </c>
      <c r="Y169" s="39" t="s">
        <v>68</v>
      </c>
      <c r="Z169" s="39" t="s">
        <v>32</v>
      </c>
      <c r="AA169" s="39"/>
      <c r="AB169" s="44">
        <v>6285691778037</v>
      </c>
      <c r="AC169" s="39"/>
      <c r="AD169" s="39"/>
      <c r="AE169" s="39" t="s">
        <v>1149</v>
      </c>
      <c r="AF169" s="39"/>
      <c r="AG169" s="39" t="s">
        <v>500</v>
      </c>
      <c r="AH169" s="39" t="s">
        <v>1903</v>
      </c>
      <c r="AI169" s="39" t="s">
        <v>501</v>
      </c>
      <c r="AJ169" s="39" t="s">
        <v>1926</v>
      </c>
      <c r="AK169" t="b">
        <f t="shared" si="6"/>
        <v>1</v>
      </c>
      <c r="AL169" t="b">
        <f t="shared" si="7"/>
        <v>1</v>
      </c>
      <c r="AN169" t="e">
        <v>#N/A</v>
      </c>
      <c r="AP169" t="e">
        <f>_xlfn.XLOOKUP(F169,'Kolom info id dse &amp; part cd'!D:D,'Kolom info id dse &amp; part cd'!I:I)</f>
        <v>#N/A</v>
      </c>
      <c r="AQ169" t="e">
        <f t="shared" si="8"/>
        <v>#N/A</v>
      </c>
      <c r="AR169" t="str">
        <f>_xlfn.XLOOKUP($E169,'[1]Referensi New'!$D:$D,'[1]Referensi New'!$V:$V)</f>
        <v>CSOBUANAJKB06</v>
      </c>
    </row>
    <row r="170" spans="1:44" ht="16">
      <c r="A170" s="39" t="s">
        <v>20</v>
      </c>
      <c r="B170" s="39" t="s">
        <v>21</v>
      </c>
      <c r="C170" s="39" t="s">
        <v>160</v>
      </c>
      <c r="D170" s="39" t="s">
        <v>251</v>
      </c>
      <c r="E170" s="39" t="s">
        <v>252</v>
      </c>
      <c r="F170" s="39" t="s">
        <v>253</v>
      </c>
      <c r="G170" s="39" t="s">
        <v>254</v>
      </c>
      <c r="H170" s="39" t="s">
        <v>165</v>
      </c>
      <c r="I170" s="39" t="b">
        <v>0</v>
      </c>
      <c r="J170" s="39" t="s">
        <v>165</v>
      </c>
      <c r="K170" s="39" t="b">
        <v>0</v>
      </c>
      <c r="L170" s="39" t="s">
        <v>1150</v>
      </c>
      <c r="M170" s="39"/>
      <c r="N170" t="s">
        <v>1150</v>
      </c>
      <c r="O170" t="s">
        <v>1151</v>
      </c>
      <c r="P170" t="s">
        <v>43</v>
      </c>
      <c r="Q170" s="39" t="s">
        <v>28</v>
      </c>
      <c r="R170" s="39" t="s">
        <v>45</v>
      </c>
      <c r="S170" s="39" t="s">
        <v>1152</v>
      </c>
      <c r="T170" s="39"/>
      <c r="U170" s="39"/>
      <c r="V170" s="39"/>
      <c r="W170" s="39" t="s">
        <v>1153</v>
      </c>
      <c r="X170" s="39" t="s">
        <v>1154</v>
      </c>
      <c r="Y170" s="39" t="s">
        <v>68</v>
      </c>
      <c r="Z170" s="39" t="s">
        <v>32</v>
      </c>
      <c r="AA170" s="39"/>
      <c r="AB170" s="44">
        <v>6285716960151</v>
      </c>
      <c r="AC170" s="39"/>
      <c r="AD170" s="39"/>
      <c r="AE170" s="39" t="s">
        <v>1155</v>
      </c>
      <c r="AF170" s="39"/>
      <c r="AG170" s="39" t="s">
        <v>253</v>
      </c>
      <c r="AH170" s="39" t="s">
        <v>1906</v>
      </c>
      <c r="AI170" s="39" t="s">
        <v>254</v>
      </c>
      <c r="AJ170" s="39" t="s">
        <v>1920</v>
      </c>
      <c r="AK170" t="b">
        <f t="shared" si="6"/>
        <v>1</v>
      </c>
      <c r="AL170" t="b">
        <f t="shared" si="7"/>
        <v>1</v>
      </c>
      <c r="AN170" t="e">
        <v>#N/A</v>
      </c>
      <c r="AP170" t="e">
        <f>_xlfn.XLOOKUP(F170,'Kolom info id dse &amp; part cd'!D:D,'Kolom info id dse &amp; part cd'!I:I)</f>
        <v>#N/A</v>
      </c>
      <c r="AQ170" t="e">
        <f t="shared" si="8"/>
        <v>#N/A</v>
      </c>
      <c r="AR170" t="str">
        <f>_xlfn.XLOOKUP($E170,'[1]Referensi New'!$D:$D,'[1]Referensi New'!$V:$V)</f>
        <v>DSEKEBAY775</v>
      </c>
    </row>
    <row r="171" spans="1:44" ht="16">
      <c r="A171" s="39" t="s">
        <v>20</v>
      </c>
      <c r="B171" s="39" t="s">
        <v>21</v>
      </c>
      <c r="C171" s="39" t="s">
        <v>160</v>
      </c>
      <c r="D171" s="39" t="s">
        <v>251</v>
      </c>
      <c r="E171" s="39" t="s">
        <v>252</v>
      </c>
      <c r="F171" s="39" t="s">
        <v>253</v>
      </c>
      <c r="G171" s="39" t="s">
        <v>254</v>
      </c>
      <c r="H171" s="39" t="s">
        <v>165</v>
      </c>
      <c r="I171" s="39" t="b">
        <v>0</v>
      </c>
      <c r="J171" s="39" t="s">
        <v>165</v>
      </c>
      <c r="K171" s="39" t="b">
        <v>0</v>
      </c>
      <c r="L171" s="39" t="s">
        <v>1156</v>
      </c>
      <c r="M171" s="39"/>
      <c r="N171" t="s">
        <v>1156</v>
      </c>
      <c r="O171" t="s">
        <v>1157</v>
      </c>
      <c r="P171" t="s">
        <v>43</v>
      </c>
      <c r="Q171" s="39" t="s">
        <v>28</v>
      </c>
      <c r="R171" s="39" t="s">
        <v>45</v>
      </c>
      <c r="S171" s="39" t="s">
        <v>1158</v>
      </c>
      <c r="T171" s="39"/>
      <c r="U171" s="39"/>
      <c r="V171" s="39"/>
      <c r="W171" s="39" t="s">
        <v>1159</v>
      </c>
      <c r="X171" s="39" t="s">
        <v>1160</v>
      </c>
      <c r="Y171" s="39" t="s">
        <v>119</v>
      </c>
      <c r="Z171" s="39" t="s">
        <v>32</v>
      </c>
      <c r="AA171" s="39"/>
      <c r="AB171" s="44">
        <v>6285777218168</v>
      </c>
      <c r="AC171" s="39"/>
      <c r="AD171" s="39"/>
      <c r="AE171" s="39" t="s">
        <v>1161</v>
      </c>
      <c r="AF171" s="39"/>
      <c r="AG171" s="39" t="s">
        <v>253</v>
      </c>
      <c r="AH171" s="39" t="s">
        <v>1906</v>
      </c>
      <c r="AI171" s="39" t="s">
        <v>254</v>
      </c>
      <c r="AJ171" s="39" t="s">
        <v>1920</v>
      </c>
      <c r="AK171" t="b">
        <f t="shared" si="6"/>
        <v>1</v>
      </c>
      <c r="AL171" t="b">
        <f t="shared" si="7"/>
        <v>1</v>
      </c>
      <c r="AN171" t="e">
        <v>#N/A</v>
      </c>
      <c r="AP171" t="e">
        <f>_xlfn.XLOOKUP(F171,'Kolom info id dse &amp; part cd'!D:D,'Kolom info id dse &amp; part cd'!I:I)</f>
        <v>#N/A</v>
      </c>
      <c r="AQ171" t="e">
        <f t="shared" si="8"/>
        <v>#N/A</v>
      </c>
      <c r="AR171" t="str">
        <f>_xlfn.XLOOKUP($E171,'[1]Referensi New'!$D:$D,'[1]Referensi New'!$V:$V)</f>
        <v>DSEKEBAY775</v>
      </c>
    </row>
    <row r="172" spans="1:44" ht="16">
      <c r="A172" s="39" t="s">
        <v>20</v>
      </c>
      <c r="B172" s="39" t="s">
        <v>21</v>
      </c>
      <c r="C172" s="39" t="s">
        <v>160</v>
      </c>
      <c r="D172" s="39" t="s">
        <v>251</v>
      </c>
      <c r="E172" s="39" t="s">
        <v>252</v>
      </c>
      <c r="F172" s="39" t="s">
        <v>253</v>
      </c>
      <c r="G172" s="39" t="s">
        <v>254</v>
      </c>
      <c r="H172" s="39" t="s">
        <v>165</v>
      </c>
      <c r="I172" s="39" t="b">
        <v>0</v>
      </c>
      <c r="J172" s="39" t="s">
        <v>165</v>
      </c>
      <c r="K172" s="39" t="b">
        <v>0</v>
      </c>
      <c r="L172" s="39" t="s">
        <v>1162</v>
      </c>
      <c r="M172" s="39"/>
      <c r="N172" t="s">
        <v>1162</v>
      </c>
      <c r="O172" t="s">
        <v>1163</v>
      </c>
      <c r="P172" t="s">
        <v>43</v>
      </c>
      <c r="Q172" s="39" t="s">
        <v>28</v>
      </c>
      <c r="R172" s="39" t="s">
        <v>45</v>
      </c>
      <c r="S172" s="39" t="s">
        <v>1164</v>
      </c>
      <c r="T172" s="39"/>
      <c r="U172" s="39"/>
      <c r="V172" s="39"/>
      <c r="W172" s="39" t="s">
        <v>1165</v>
      </c>
      <c r="X172" s="39" t="s">
        <v>1166</v>
      </c>
      <c r="Y172" s="39" t="s">
        <v>68</v>
      </c>
      <c r="Z172" s="39" t="s">
        <v>32</v>
      </c>
      <c r="AA172" s="39"/>
      <c r="AB172" s="44">
        <v>6285711122768</v>
      </c>
      <c r="AC172" s="39"/>
      <c r="AD172" s="39"/>
      <c r="AE172" s="39" t="s">
        <v>1167</v>
      </c>
      <c r="AF172" s="39"/>
      <c r="AG172" s="39" t="s">
        <v>253</v>
      </c>
      <c r="AH172" s="39" t="s">
        <v>1906</v>
      </c>
      <c r="AI172" s="39" t="s">
        <v>254</v>
      </c>
      <c r="AJ172" s="39" t="s">
        <v>1920</v>
      </c>
      <c r="AK172" t="b">
        <f t="shared" si="6"/>
        <v>1</v>
      </c>
      <c r="AL172" t="b">
        <f t="shared" si="7"/>
        <v>1</v>
      </c>
      <c r="AN172" t="e">
        <v>#N/A</v>
      </c>
      <c r="AP172" t="e">
        <f>_xlfn.XLOOKUP(F172,'Kolom info id dse &amp; part cd'!D:D,'Kolom info id dse &amp; part cd'!I:I)</f>
        <v>#N/A</v>
      </c>
      <c r="AQ172" t="e">
        <f t="shared" si="8"/>
        <v>#N/A</v>
      </c>
      <c r="AR172" t="str">
        <f>_xlfn.XLOOKUP($E172,'[1]Referensi New'!$D:$D,'[1]Referensi New'!$V:$V)</f>
        <v>DSEKEBAY775</v>
      </c>
    </row>
    <row r="173" spans="1:44" ht="16">
      <c r="A173" s="39" t="s">
        <v>20</v>
      </c>
      <c r="B173" s="39" t="s">
        <v>21</v>
      </c>
      <c r="C173" s="39" t="s">
        <v>160</v>
      </c>
      <c r="D173" s="39" t="s">
        <v>251</v>
      </c>
      <c r="E173" s="39" t="s">
        <v>252</v>
      </c>
      <c r="F173" s="39" t="s">
        <v>253</v>
      </c>
      <c r="G173" s="39" t="s">
        <v>254</v>
      </c>
      <c r="H173" s="39" t="s">
        <v>165</v>
      </c>
      <c r="I173" s="39" t="b">
        <v>0</v>
      </c>
      <c r="J173" s="39" t="s">
        <v>165</v>
      </c>
      <c r="K173" s="39" t="b">
        <v>0</v>
      </c>
      <c r="L173" s="39" t="s">
        <v>1168</v>
      </c>
      <c r="M173" s="39"/>
      <c r="N173" t="s">
        <v>1168</v>
      </c>
      <c r="O173" t="s">
        <v>1169</v>
      </c>
      <c r="P173" t="s">
        <v>43</v>
      </c>
      <c r="Q173" s="39" t="s">
        <v>28</v>
      </c>
      <c r="R173" s="39" t="s">
        <v>45</v>
      </c>
      <c r="S173" s="39" t="s">
        <v>1170</v>
      </c>
      <c r="T173" s="39"/>
      <c r="U173" s="39"/>
      <c r="V173" s="39"/>
      <c r="W173" s="39" t="s">
        <v>1171</v>
      </c>
      <c r="X173" s="39" t="s">
        <v>1172</v>
      </c>
      <c r="Y173" s="39" t="s">
        <v>68</v>
      </c>
      <c r="Z173" s="39" t="s">
        <v>32</v>
      </c>
      <c r="AA173" s="39"/>
      <c r="AB173" s="44">
        <v>6285711122775</v>
      </c>
      <c r="AC173" s="39"/>
      <c r="AD173" s="39"/>
      <c r="AE173" s="39" t="s">
        <v>1173</v>
      </c>
      <c r="AF173" s="39"/>
      <c r="AG173" s="39" t="s">
        <v>253</v>
      </c>
      <c r="AH173" s="39" t="s">
        <v>1906</v>
      </c>
      <c r="AI173" s="39" t="s">
        <v>254</v>
      </c>
      <c r="AJ173" s="39" t="s">
        <v>1920</v>
      </c>
      <c r="AK173" t="b">
        <f t="shared" si="6"/>
        <v>1</v>
      </c>
      <c r="AL173" t="b">
        <f t="shared" si="7"/>
        <v>1</v>
      </c>
      <c r="AN173" t="e">
        <v>#N/A</v>
      </c>
      <c r="AP173" t="e">
        <f>_xlfn.XLOOKUP(F173,'Kolom info id dse &amp; part cd'!D:D,'Kolom info id dse &amp; part cd'!I:I)</f>
        <v>#N/A</v>
      </c>
      <c r="AQ173" t="e">
        <f t="shared" si="8"/>
        <v>#N/A</v>
      </c>
      <c r="AR173" t="str">
        <f>_xlfn.XLOOKUP($E173,'[1]Referensi New'!$D:$D,'[1]Referensi New'!$V:$V)</f>
        <v>DSEKEBAY775</v>
      </c>
    </row>
    <row r="174" spans="1:44" ht="16">
      <c r="A174" s="39" t="s">
        <v>20</v>
      </c>
      <c r="B174" s="39" t="s">
        <v>21</v>
      </c>
      <c r="C174" s="39" t="s">
        <v>160</v>
      </c>
      <c r="D174" s="39" t="s">
        <v>251</v>
      </c>
      <c r="E174" s="39" t="s">
        <v>252</v>
      </c>
      <c r="F174" s="39" t="s">
        <v>253</v>
      </c>
      <c r="G174" s="39" t="s">
        <v>254</v>
      </c>
      <c r="H174" s="39" t="s">
        <v>165</v>
      </c>
      <c r="I174" s="39" t="b">
        <v>0</v>
      </c>
      <c r="J174" s="39" t="s">
        <v>165</v>
      </c>
      <c r="K174" s="39" t="b">
        <v>0</v>
      </c>
      <c r="L174" s="39" t="s">
        <v>1174</v>
      </c>
      <c r="M174" s="39"/>
      <c r="N174" t="s">
        <v>1174</v>
      </c>
      <c r="O174" t="s">
        <v>1175</v>
      </c>
      <c r="P174" t="s">
        <v>43</v>
      </c>
      <c r="Q174" s="39" t="s">
        <v>28</v>
      </c>
      <c r="R174" s="39" t="s">
        <v>45</v>
      </c>
      <c r="S174" s="39" t="s">
        <v>1176</v>
      </c>
      <c r="T174" s="39"/>
      <c r="U174" s="39"/>
      <c r="V174" s="39"/>
      <c r="W174" s="39" t="s">
        <v>1177</v>
      </c>
      <c r="X174" s="39" t="s">
        <v>1178</v>
      </c>
      <c r="Y174" s="39" t="s">
        <v>68</v>
      </c>
      <c r="Z174" s="39" t="s">
        <v>32</v>
      </c>
      <c r="AA174" s="39"/>
      <c r="AB174" s="44">
        <v>6285777217965</v>
      </c>
      <c r="AC174" s="39"/>
      <c r="AD174" s="39"/>
      <c r="AE174" s="39" t="s">
        <v>1179</v>
      </c>
      <c r="AF174" s="39"/>
      <c r="AG174" s="39" t="s">
        <v>253</v>
      </c>
      <c r="AH174" s="39" t="s">
        <v>1906</v>
      </c>
      <c r="AI174" s="39" t="s">
        <v>254</v>
      </c>
      <c r="AJ174" s="39" t="s">
        <v>1920</v>
      </c>
      <c r="AK174" t="b">
        <f t="shared" si="6"/>
        <v>1</v>
      </c>
      <c r="AL174" t="b">
        <f t="shared" si="7"/>
        <v>1</v>
      </c>
      <c r="AN174" t="e">
        <v>#N/A</v>
      </c>
      <c r="AP174" t="e">
        <f>_xlfn.XLOOKUP(F174,'Kolom info id dse &amp; part cd'!D:D,'Kolom info id dse &amp; part cd'!I:I)</f>
        <v>#N/A</v>
      </c>
      <c r="AQ174" t="e">
        <f t="shared" si="8"/>
        <v>#N/A</v>
      </c>
      <c r="AR174" t="str">
        <f>_xlfn.XLOOKUP($E174,'[1]Referensi New'!$D:$D,'[1]Referensi New'!$V:$V)</f>
        <v>DSEKEBAY775</v>
      </c>
    </row>
    <row r="175" spans="1:44" ht="16">
      <c r="A175" s="39" t="s">
        <v>20</v>
      </c>
      <c r="B175" s="39" t="s">
        <v>21</v>
      </c>
      <c r="C175" s="39" t="s">
        <v>81</v>
      </c>
      <c r="D175" s="39" t="s">
        <v>82</v>
      </c>
      <c r="E175" s="39" t="s">
        <v>83</v>
      </c>
      <c r="F175" s="39" t="s">
        <v>84</v>
      </c>
      <c r="G175" s="39" t="s">
        <v>85</v>
      </c>
      <c r="H175" s="39" t="s">
        <v>86</v>
      </c>
      <c r="I175" s="39" t="b">
        <v>0</v>
      </c>
      <c r="J175" s="39" t="s">
        <v>86</v>
      </c>
      <c r="K175" s="39" t="b">
        <v>0</v>
      </c>
      <c r="L175" s="39" t="s">
        <v>1180</v>
      </c>
      <c r="M175" s="39"/>
      <c r="N175" t="s">
        <v>1180</v>
      </c>
      <c r="O175" t="s">
        <v>1181</v>
      </c>
      <c r="P175" t="s">
        <v>43</v>
      </c>
      <c r="Q175" s="39" t="s">
        <v>88</v>
      </c>
      <c r="R175" s="39" t="s">
        <v>45</v>
      </c>
      <c r="S175" s="39" t="s">
        <v>1182</v>
      </c>
      <c r="T175" s="39" t="s">
        <v>1182</v>
      </c>
      <c r="U175" s="39" t="s">
        <v>1182</v>
      </c>
      <c r="V175" s="39"/>
      <c r="W175" s="39" t="s">
        <v>1183</v>
      </c>
      <c r="X175" s="39" t="s">
        <v>1184</v>
      </c>
      <c r="Y175" s="39" t="s">
        <v>68</v>
      </c>
      <c r="Z175" s="39" t="s">
        <v>32</v>
      </c>
      <c r="AA175" s="39"/>
      <c r="AB175" s="44">
        <v>6281700000066</v>
      </c>
      <c r="AC175" s="39"/>
      <c r="AD175" s="39"/>
      <c r="AE175" s="39" t="s">
        <v>1185</v>
      </c>
      <c r="AF175" s="39" t="s">
        <v>609</v>
      </c>
      <c r="AG175" s="39" t="s">
        <v>84</v>
      </c>
      <c r="AH175" s="39" t="s">
        <v>1904</v>
      </c>
      <c r="AI175" s="39" t="s">
        <v>85</v>
      </c>
      <c r="AJ175" s="39" t="s">
        <v>1913</v>
      </c>
      <c r="AK175" t="b">
        <f t="shared" si="6"/>
        <v>1</v>
      </c>
      <c r="AL175" t="b">
        <f t="shared" si="7"/>
        <v>1</v>
      </c>
      <c r="AN175" t="e">
        <v>#N/A</v>
      </c>
      <c r="AP175" t="e">
        <f>_xlfn.XLOOKUP(F175,'Kolom info id dse &amp; part cd'!D:D,'Kolom info id dse &amp; part cd'!I:I)</f>
        <v>#N/A</v>
      </c>
      <c r="AQ175" t="e">
        <f t="shared" si="8"/>
        <v>#N/A</v>
      </c>
      <c r="AR175">
        <f>_xlfn.XLOOKUP($E175,'[1]Referensi New'!$D:$D,'[1]Referensi New'!$V:$V)</f>
        <v>2613050705</v>
      </c>
    </row>
    <row r="176" spans="1:44" ht="16">
      <c r="A176" s="39" t="s">
        <v>20</v>
      </c>
      <c r="B176" s="39" t="s">
        <v>21</v>
      </c>
      <c r="C176" s="39" t="s">
        <v>81</v>
      </c>
      <c r="D176" s="39" t="s">
        <v>82</v>
      </c>
      <c r="E176" s="39" t="s">
        <v>83</v>
      </c>
      <c r="F176" s="39" t="s">
        <v>84</v>
      </c>
      <c r="G176" s="39" t="s">
        <v>85</v>
      </c>
      <c r="H176" s="39" t="s">
        <v>86</v>
      </c>
      <c r="I176" s="39" t="b">
        <v>0</v>
      </c>
      <c r="J176" s="39" t="s">
        <v>86</v>
      </c>
      <c r="K176" s="39" t="b">
        <v>0</v>
      </c>
      <c r="L176" s="39" t="s">
        <v>1186</v>
      </c>
      <c r="M176" s="39"/>
      <c r="N176" t="s">
        <v>1186</v>
      </c>
      <c r="O176" t="s">
        <v>1187</v>
      </c>
      <c r="P176" t="s">
        <v>43</v>
      </c>
      <c r="Q176" s="39" t="s">
        <v>88</v>
      </c>
      <c r="R176" s="39" t="s">
        <v>45</v>
      </c>
      <c r="S176" s="39" t="s">
        <v>1188</v>
      </c>
      <c r="T176" s="39" t="s">
        <v>1188</v>
      </c>
      <c r="U176" s="39" t="s">
        <v>1188</v>
      </c>
      <c r="V176" s="39"/>
      <c r="W176" s="39" t="s">
        <v>1189</v>
      </c>
      <c r="X176" s="39" t="s">
        <v>1190</v>
      </c>
      <c r="Y176" s="39" t="s">
        <v>68</v>
      </c>
      <c r="Z176" s="39" t="s">
        <v>32</v>
      </c>
      <c r="AA176" s="39"/>
      <c r="AB176" s="44">
        <v>6281700000067</v>
      </c>
      <c r="AC176" s="39"/>
      <c r="AD176" s="39"/>
      <c r="AE176" s="39" t="s">
        <v>1191</v>
      </c>
      <c r="AF176" s="39" t="s">
        <v>609</v>
      </c>
      <c r="AG176" s="39" t="s">
        <v>84</v>
      </c>
      <c r="AH176" s="39" t="s">
        <v>1904</v>
      </c>
      <c r="AI176" s="39" t="s">
        <v>85</v>
      </c>
      <c r="AJ176" s="39" t="s">
        <v>1913</v>
      </c>
      <c r="AK176" t="b">
        <f t="shared" si="6"/>
        <v>1</v>
      </c>
      <c r="AL176" t="b">
        <f t="shared" si="7"/>
        <v>1</v>
      </c>
      <c r="AN176" t="e">
        <v>#N/A</v>
      </c>
      <c r="AP176" t="e">
        <f>_xlfn.XLOOKUP(F176,'Kolom info id dse &amp; part cd'!D:D,'Kolom info id dse &amp; part cd'!I:I)</f>
        <v>#N/A</v>
      </c>
      <c r="AQ176" t="e">
        <f t="shared" si="8"/>
        <v>#N/A</v>
      </c>
      <c r="AR176">
        <f>_xlfn.XLOOKUP($E176,'[1]Referensi New'!$D:$D,'[1]Referensi New'!$V:$V)</f>
        <v>2613050705</v>
      </c>
    </row>
    <row r="177" spans="1:44" ht="16">
      <c r="A177" s="39" t="s">
        <v>20</v>
      </c>
      <c r="B177" s="39" t="s">
        <v>21</v>
      </c>
      <c r="C177" s="39" t="s">
        <v>81</v>
      </c>
      <c r="D177" s="39" t="s">
        <v>82</v>
      </c>
      <c r="E177" s="39" t="s">
        <v>83</v>
      </c>
      <c r="F177" s="39" t="s">
        <v>84</v>
      </c>
      <c r="G177" s="39" t="s">
        <v>85</v>
      </c>
      <c r="H177" s="39" t="s">
        <v>86</v>
      </c>
      <c r="I177" s="39" t="b">
        <v>0</v>
      </c>
      <c r="J177" s="39" t="s">
        <v>86</v>
      </c>
      <c r="K177" s="39" t="b">
        <v>0</v>
      </c>
      <c r="L177" s="39" t="s">
        <v>1192</v>
      </c>
      <c r="M177" s="39"/>
      <c r="N177" t="s">
        <v>1192</v>
      </c>
      <c r="O177" t="s">
        <v>1193</v>
      </c>
      <c r="P177" t="s">
        <v>43</v>
      </c>
      <c r="Q177" s="39" t="s">
        <v>88</v>
      </c>
      <c r="R177" s="39" t="s">
        <v>45</v>
      </c>
      <c r="S177" s="39" t="s">
        <v>1194</v>
      </c>
      <c r="T177" s="39" t="s">
        <v>1194</v>
      </c>
      <c r="U177" s="39" t="s">
        <v>1194</v>
      </c>
      <c r="V177" s="39"/>
      <c r="W177" s="39" t="s">
        <v>1195</v>
      </c>
      <c r="X177" s="39" t="s">
        <v>1196</v>
      </c>
      <c r="Y177" s="39" t="s">
        <v>68</v>
      </c>
      <c r="Z177" s="39" t="s">
        <v>32</v>
      </c>
      <c r="AA177" s="39"/>
      <c r="AB177" s="44">
        <v>6281700000068</v>
      </c>
      <c r="AC177" s="39"/>
      <c r="AD177" s="39"/>
      <c r="AE177" s="39" t="s">
        <v>1197</v>
      </c>
      <c r="AF177" s="39" t="s">
        <v>609</v>
      </c>
      <c r="AG177" s="39" t="s">
        <v>84</v>
      </c>
      <c r="AH177" s="39" t="s">
        <v>1904</v>
      </c>
      <c r="AI177" s="39" t="s">
        <v>85</v>
      </c>
      <c r="AJ177" s="39" t="s">
        <v>1913</v>
      </c>
      <c r="AK177" t="b">
        <f t="shared" si="6"/>
        <v>1</v>
      </c>
      <c r="AL177" t="b">
        <f t="shared" si="7"/>
        <v>1</v>
      </c>
      <c r="AN177" t="e">
        <v>#N/A</v>
      </c>
      <c r="AP177" t="e">
        <f>_xlfn.XLOOKUP(F177,'Kolom info id dse &amp; part cd'!D:D,'Kolom info id dse &amp; part cd'!I:I)</f>
        <v>#N/A</v>
      </c>
      <c r="AQ177" t="e">
        <f t="shared" si="8"/>
        <v>#N/A</v>
      </c>
      <c r="AR177">
        <f>_xlfn.XLOOKUP($E177,'[1]Referensi New'!$D:$D,'[1]Referensi New'!$V:$V)</f>
        <v>2613050705</v>
      </c>
    </row>
    <row r="178" spans="1:44" ht="16">
      <c r="A178" s="39" t="s">
        <v>20</v>
      </c>
      <c r="B178" s="39" t="s">
        <v>21</v>
      </c>
      <c r="C178" s="39" t="s">
        <v>81</v>
      </c>
      <c r="D178" s="39" t="s">
        <v>82</v>
      </c>
      <c r="E178" s="39" t="s">
        <v>83</v>
      </c>
      <c r="F178" s="39" t="s">
        <v>84</v>
      </c>
      <c r="G178" s="39" t="s">
        <v>85</v>
      </c>
      <c r="H178" s="39" t="s">
        <v>86</v>
      </c>
      <c r="I178" s="39" t="b">
        <v>0</v>
      </c>
      <c r="J178" s="39" t="s">
        <v>86</v>
      </c>
      <c r="K178" s="39" t="b">
        <v>0</v>
      </c>
      <c r="L178" s="39" t="s">
        <v>1198</v>
      </c>
      <c r="M178" s="39"/>
      <c r="N178" t="s">
        <v>1198</v>
      </c>
      <c r="O178" t="s">
        <v>1199</v>
      </c>
      <c r="P178" t="s">
        <v>43</v>
      </c>
      <c r="Q178" s="39" t="s">
        <v>88</v>
      </c>
      <c r="R178" s="39" t="s">
        <v>45</v>
      </c>
      <c r="S178" s="39" t="s">
        <v>1200</v>
      </c>
      <c r="T178" s="39" t="s">
        <v>1200</v>
      </c>
      <c r="U178" s="39" t="s">
        <v>1200</v>
      </c>
      <c r="V178" s="39"/>
      <c r="W178" s="39" t="s">
        <v>1201</v>
      </c>
      <c r="X178" s="39" t="s">
        <v>1202</v>
      </c>
      <c r="Y178" s="39" t="s">
        <v>68</v>
      </c>
      <c r="Z178" s="39" t="s">
        <v>32</v>
      </c>
      <c r="AA178" s="39"/>
      <c r="AB178" s="44">
        <v>6281700000070</v>
      </c>
      <c r="AC178" s="39"/>
      <c r="AD178" s="39"/>
      <c r="AE178" s="39" t="s">
        <v>1203</v>
      </c>
      <c r="AF178" s="39" t="s">
        <v>609</v>
      </c>
      <c r="AG178" s="39" t="s">
        <v>84</v>
      </c>
      <c r="AH178" s="39" t="s">
        <v>1904</v>
      </c>
      <c r="AI178" s="39" t="s">
        <v>85</v>
      </c>
      <c r="AJ178" s="39" t="s">
        <v>1913</v>
      </c>
      <c r="AK178" t="b">
        <f t="shared" si="6"/>
        <v>1</v>
      </c>
      <c r="AL178" t="b">
        <f t="shared" si="7"/>
        <v>1</v>
      </c>
      <c r="AN178" t="e">
        <v>#N/A</v>
      </c>
      <c r="AP178" t="e">
        <f>_xlfn.XLOOKUP(F178,'Kolom info id dse &amp; part cd'!D:D,'Kolom info id dse &amp; part cd'!I:I)</f>
        <v>#N/A</v>
      </c>
      <c r="AQ178" t="e">
        <f t="shared" si="8"/>
        <v>#N/A</v>
      </c>
      <c r="AR178">
        <f>_xlfn.XLOOKUP($E178,'[1]Referensi New'!$D:$D,'[1]Referensi New'!$V:$V)</f>
        <v>2613050705</v>
      </c>
    </row>
    <row r="179" spans="1:44" ht="16">
      <c r="A179" s="39" t="s">
        <v>20</v>
      </c>
      <c r="B179" s="39" t="s">
        <v>21</v>
      </c>
      <c r="C179" s="39" t="s">
        <v>81</v>
      </c>
      <c r="D179" s="39" t="s">
        <v>82</v>
      </c>
      <c r="E179" s="39" t="s">
        <v>83</v>
      </c>
      <c r="F179" s="39" t="s">
        <v>84</v>
      </c>
      <c r="G179" s="39" t="s">
        <v>85</v>
      </c>
      <c r="H179" s="39" t="s">
        <v>86</v>
      </c>
      <c r="I179" s="39" t="b">
        <v>0</v>
      </c>
      <c r="J179" s="39" t="s">
        <v>86</v>
      </c>
      <c r="K179" s="39" t="b">
        <v>0</v>
      </c>
      <c r="L179" s="39" t="s">
        <v>1204</v>
      </c>
      <c r="M179" s="39"/>
      <c r="N179" t="s">
        <v>1204</v>
      </c>
      <c r="O179" t="s">
        <v>1205</v>
      </c>
      <c r="P179" t="s">
        <v>43</v>
      </c>
      <c r="Q179" s="39" t="s">
        <v>88</v>
      </c>
      <c r="R179" s="39" t="s">
        <v>45</v>
      </c>
      <c r="S179" s="39" t="s">
        <v>1206</v>
      </c>
      <c r="T179" s="39" t="s">
        <v>1206</v>
      </c>
      <c r="U179" s="39" t="s">
        <v>1206</v>
      </c>
      <c r="V179" s="39"/>
      <c r="W179" s="39" t="s">
        <v>1207</v>
      </c>
      <c r="X179" s="39" t="s">
        <v>1208</v>
      </c>
      <c r="Y179" s="39" t="s">
        <v>68</v>
      </c>
      <c r="Z179" s="39" t="s">
        <v>32</v>
      </c>
      <c r="AA179" s="39"/>
      <c r="AB179" s="44">
        <v>6281700000072</v>
      </c>
      <c r="AC179" s="39"/>
      <c r="AD179" s="39"/>
      <c r="AE179" s="39" t="s">
        <v>1209</v>
      </c>
      <c r="AF179" s="39" t="s">
        <v>609</v>
      </c>
      <c r="AG179" s="39" t="s">
        <v>84</v>
      </c>
      <c r="AH179" s="39" t="s">
        <v>1904</v>
      </c>
      <c r="AI179" s="39" t="s">
        <v>85</v>
      </c>
      <c r="AJ179" s="39" t="s">
        <v>1913</v>
      </c>
      <c r="AK179" t="b">
        <f t="shared" si="6"/>
        <v>1</v>
      </c>
      <c r="AL179" t="b">
        <f t="shared" si="7"/>
        <v>1</v>
      </c>
      <c r="AN179" t="e">
        <v>#N/A</v>
      </c>
      <c r="AP179" t="e">
        <f>_xlfn.XLOOKUP(F179,'Kolom info id dse &amp; part cd'!D:D,'Kolom info id dse &amp; part cd'!I:I)</f>
        <v>#N/A</v>
      </c>
      <c r="AQ179" t="e">
        <f t="shared" si="8"/>
        <v>#N/A</v>
      </c>
      <c r="AR179">
        <f>_xlfn.XLOOKUP($E179,'[1]Referensi New'!$D:$D,'[1]Referensi New'!$V:$V)</f>
        <v>2613050705</v>
      </c>
    </row>
    <row r="180" spans="1:44" ht="16">
      <c r="A180" s="39" t="s">
        <v>20</v>
      </c>
      <c r="B180" s="39" t="s">
        <v>21</v>
      </c>
      <c r="C180" s="39" t="s">
        <v>58</v>
      </c>
      <c r="D180" s="39" t="s">
        <v>1097</v>
      </c>
      <c r="E180" s="39" t="s">
        <v>1098</v>
      </c>
      <c r="F180" s="39" t="s">
        <v>1099</v>
      </c>
      <c r="G180" s="39" t="s">
        <v>1100</v>
      </c>
      <c r="H180" s="39" t="s">
        <v>1101</v>
      </c>
      <c r="I180" s="39" t="b">
        <v>0</v>
      </c>
      <c r="J180" s="39" t="s">
        <v>1101</v>
      </c>
      <c r="K180" s="39" t="b">
        <v>0</v>
      </c>
      <c r="L180" s="39" t="s">
        <v>1210</v>
      </c>
      <c r="M180" s="39"/>
      <c r="N180" t="s">
        <v>1210</v>
      </c>
      <c r="O180" t="s">
        <v>1211</v>
      </c>
      <c r="P180" t="s">
        <v>43</v>
      </c>
      <c r="Q180" s="39" t="s">
        <v>28</v>
      </c>
      <c r="R180" s="39" t="s">
        <v>45</v>
      </c>
      <c r="S180" s="39" t="s">
        <v>1212</v>
      </c>
      <c r="T180" s="39"/>
      <c r="U180" s="39"/>
      <c r="V180" s="39"/>
      <c r="W180" s="39" t="s">
        <v>1213</v>
      </c>
      <c r="X180" s="39" t="s">
        <v>1214</v>
      </c>
      <c r="Y180" s="39" t="s">
        <v>68</v>
      </c>
      <c r="Z180" s="39" t="s">
        <v>32</v>
      </c>
      <c r="AA180" s="39"/>
      <c r="AB180" s="44">
        <v>6285692581643</v>
      </c>
      <c r="AC180" s="39"/>
      <c r="AD180" s="39"/>
      <c r="AE180" s="39" t="s">
        <v>1215</v>
      </c>
      <c r="AF180" s="39"/>
      <c r="AG180" s="39" t="s">
        <v>1099</v>
      </c>
      <c r="AH180" s="39" t="s">
        <v>1910</v>
      </c>
      <c r="AI180" s="39" t="s">
        <v>1100</v>
      </c>
      <c r="AJ180" s="39" t="s">
        <v>1935</v>
      </c>
      <c r="AK180" t="b">
        <f t="shared" si="6"/>
        <v>1</v>
      </c>
      <c r="AL180" t="b">
        <f t="shared" si="7"/>
        <v>1</v>
      </c>
      <c r="AN180" t="e">
        <v>#N/A</v>
      </c>
      <c r="AP180" t="e">
        <f>_xlfn.XLOOKUP(F180,'Kolom info id dse &amp; part cd'!D:D,'Kolom info id dse &amp; part cd'!I:I)</f>
        <v>#N/A</v>
      </c>
      <c r="AQ180" t="e">
        <f t="shared" si="8"/>
        <v>#N/A</v>
      </c>
      <c r="AR180" t="str">
        <f>_xlfn.XLOOKUP($E180,'[1]Referensi New'!$D:$D,'[1]Referensi New'!$V:$V)</f>
        <v>DSEIN061</v>
      </c>
    </row>
    <row r="181" spans="1:44" ht="16">
      <c r="A181" s="39" t="s">
        <v>20</v>
      </c>
      <c r="B181" s="39" t="s">
        <v>21</v>
      </c>
      <c r="C181" s="39" t="s">
        <v>58</v>
      </c>
      <c r="D181" s="39" t="s">
        <v>1216</v>
      </c>
      <c r="E181" s="39" t="s">
        <v>1217</v>
      </c>
      <c r="F181" s="39" t="s">
        <v>1218</v>
      </c>
      <c r="G181" s="39" t="s">
        <v>1219</v>
      </c>
      <c r="H181" s="39" t="s">
        <v>1101</v>
      </c>
      <c r="I181" s="39" t="b">
        <v>0</v>
      </c>
      <c r="J181" s="39" t="s">
        <v>1101</v>
      </c>
      <c r="K181" s="39" t="b">
        <v>0</v>
      </c>
      <c r="L181" s="39" t="s">
        <v>1220</v>
      </c>
      <c r="M181" s="39"/>
      <c r="N181" t="s">
        <v>1220</v>
      </c>
      <c r="O181" t="s">
        <v>1221</v>
      </c>
      <c r="P181" t="s">
        <v>43</v>
      </c>
      <c r="Q181" s="39" t="s">
        <v>28</v>
      </c>
      <c r="R181" s="39" t="s">
        <v>45</v>
      </c>
      <c r="S181" s="39" t="s">
        <v>1222</v>
      </c>
      <c r="T181" s="39"/>
      <c r="U181" s="39"/>
      <c r="V181" s="39"/>
      <c r="W181" s="39" t="s">
        <v>1223</v>
      </c>
      <c r="X181" s="39" t="s">
        <v>1224</v>
      </c>
      <c r="Y181" s="39" t="s">
        <v>68</v>
      </c>
      <c r="Z181" s="39" t="s">
        <v>32</v>
      </c>
      <c r="AA181" s="39"/>
      <c r="AB181" s="44">
        <v>6285697352740</v>
      </c>
      <c r="AC181" s="39"/>
      <c r="AD181" s="39"/>
      <c r="AE181" s="39" t="s">
        <v>1225</v>
      </c>
      <c r="AF181" s="39"/>
      <c r="AG181" s="39" t="s">
        <v>1218</v>
      </c>
      <c r="AH181" s="39" t="s">
        <v>1910</v>
      </c>
      <c r="AI181" s="39" t="s">
        <v>1219</v>
      </c>
      <c r="AJ181" s="39" t="s">
        <v>1936</v>
      </c>
      <c r="AK181" t="b">
        <f t="shared" si="6"/>
        <v>1</v>
      </c>
      <c r="AL181" t="b">
        <f t="shared" si="7"/>
        <v>1</v>
      </c>
      <c r="AN181" t="e">
        <v>#N/A</v>
      </c>
      <c r="AP181" t="e">
        <f>_xlfn.XLOOKUP(F181,'Kolom info id dse &amp; part cd'!D:D,'Kolom info id dse &amp; part cd'!I:I)</f>
        <v>#N/A</v>
      </c>
      <c r="AQ181" t="e">
        <f t="shared" si="8"/>
        <v>#N/A</v>
      </c>
      <c r="AR181" t="str">
        <f>_xlfn.XLOOKUP($E181,'[1]Referensi New'!$D:$D,'[1]Referensi New'!$V:$V)</f>
        <v>DSEIN063</v>
      </c>
    </row>
    <row r="182" spans="1:44" ht="16">
      <c r="A182" s="39" t="s">
        <v>20</v>
      </c>
      <c r="B182" s="39" t="s">
        <v>21</v>
      </c>
      <c r="C182" s="39" t="s">
        <v>58</v>
      </c>
      <c r="D182" s="39" t="s">
        <v>1216</v>
      </c>
      <c r="E182" s="39" t="s">
        <v>1217</v>
      </c>
      <c r="F182" s="39" t="s">
        <v>1218</v>
      </c>
      <c r="G182" s="39" t="s">
        <v>1219</v>
      </c>
      <c r="H182" s="39" t="s">
        <v>1101</v>
      </c>
      <c r="I182" s="39" t="b">
        <v>0</v>
      </c>
      <c r="J182" s="39" t="s">
        <v>1101</v>
      </c>
      <c r="K182" s="39" t="b">
        <v>0</v>
      </c>
      <c r="L182" s="39" t="s">
        <v>1226</v>
      </c>
      <c r="M182" s="39"/>
      <c r="N182" t="s">
        <v>1226</v>
      </c>
      <c r="O182" t="s">
        <v>1227</v>
      </c>
      <c r="P182" t="s">
        <v>43</v>
      </c>
      <c r="Q182" s="39" t="s">
        <v>28</v>
      </c>
      <c r="R182" s="39" t="s">
        <v>45</v>
      </c>
      <c r="S182" s="39" t="s">
        <v>1228</v>
      </c>
      <c r="T182" s="39"/>
      <c r="U182" s="39"/>
      <c r="V182" s="39"/>
      <c r="W182" s="39" t="s">
        <v>1229</v>
      </c>
      <c r="X182" s="39" t="s">
        <v>1230</v>
      </c>
      <c r="Y182" s="39" t="s">
        <v>68</v>
      </c>
      <c r="Z182" s="39" t="s">
        <v>32</v>
      </c>
      <c r="AA182" s="39"/>
      <c r="AB182" s="44">
        <v>6285881745555</v>
      </c>
      <c r="AC182" s="39"/>
      <c r="AD182" s="39"/>
      <c r="AE182" s="39" t="s">
        <v>1231</v>
      </c>
      <c r="AF182" s="39"/>
      <c r="AG182" s="39" t="s">
        <v>1218</v>
      </c>
      <c r="AH182" s="39" t="s">
        <v>1910</v>
      </c>
      <c r="AI182" s="39" t="s">
        <v>1219</v>
      </c>
      <c r="AJ182" s="39" t="s">
        <v>1936</v>
      </c>
      <c r="AK182" t="b">
        <f t="shared" si="6"/>
        <v>1</v>
      </c>
      <c r="AL182" t="b">
        <f t="shared" si="7"/>
        <v>1</v>
      </c>
      <c r="AN182" t="e">
        <v>#N/A</v>
      </c>
      <c r="AP182" t="e">
        <f>_xlfn.XLOOKUP(F182,'Kolom info id dse &amp; part cd'!D:D,'Kolom info id dse &amp; part cd'!I:I)</f>
        <v>#N/A</v>
      </c>
      <c r="AQ182" t="e">
        <f t="shared" si="8"/>
        <v>#N/A</v>
      </c>
      <c r="AR182" t="str">
        <f>_xlfn.XLOOKUP($E182,'[1]Referensi New'!$D:$D,'[1]Referensi New'!$V:$V)</f>
        <v>DSEIN063</v>
      </c>
    </row>
    <row r="183" spans="1:44" ht="16">
      <c r="A183" s="39" t="s">
        <v>20</v>
      </c>
      <c r="B183" s="39" t="s">
        <v>21</v>
      </c>
      <c r="C183" s="39" t="s">
        <v>58</v>
      </c>
      <c r="D183" s="39" t="s">
        <v>59</v>
      </c>
      <c r="E183" s="39" t="s">
        <v>60</v>
      </c>
      <c r="F183" s="39" t="s">
        <v>61</v>
      </c>
      <c r="G183" s="39" t="s">
        <v>62</v>
      </c>
      <c r="H183" s="39" t="s">
        <v>63</v>
      </c>
      <c r="I183" s="39" t="b">
        <v>0</v>
      </c>
      <c r="J183" s="39" t="s">
        <v>63</v>
      </c>
      <c r="K183" s="39" t="b">
        <v>0</v>
      </c>
      <c r="L183" s="39" t="s">
        <v>1232</v>
      </c>
      <c r="M183" s="39"/>
      <c r="N183" t="s">
        <v>1232</v>
      </c>
      <c r="O183" t="s">
        <v>1233</v>
      </c>
      <c r="P183" t="s">
        <v>43</v>
      </c>
      <c r="Q183" s="39" t="s">
        <v>28</v>
      </c>
      <c r="R183" s="39" t="s">
        <v>45</v>
      </c>
      <c r="S183" s="39" t="s">
        <v>1234</v>
      </c>
      <c r="T183" s="39"/>
      <c r="U183" s="39"/>
      <c r="V183" s="39"/>
      <c r="W183" s="39" t="s">
        <v>1235</v>
      </c>
      <c r="X183" s="39" t="s">
        <v>1236</v>
      </c>
      <c r="Y183" s="39" t="s">
        <v>68</v>
      </c>
      <c r="Z183" s="39" t="s">
        <v>32</v>
      </c>
      <c r="AA183" s="39"/>
      <c r="AB183" s="44">
        <v>6285691611168</v>
      </c>
      <c r="AC183" s="39"/>
      <c r="AD183" s="39"/>
      <c r="AE183" s="39" t="s">
        <v>1237</v>
      </c>
      <c r="AF183" s="39"/>
      <c r="AG183" s="39" t="s">
        <v>61</v>
      </c>
      <c r="AH183" s="39" t="s">
        <v>1902</v>
      </c>
      <c r="AI183" s="39" t="s">
        <v>62</v>
      </c>
      <c r="AJ183" s="39" t="s">
        <v>1911</v>
      </c>
      <c r="AK183" t="b">
        <f t="shared" si="6"/>
        <v>1</v>
      </c>
      <c r="AL183" t="b">
        <f t="shared" si="7"/>
        <v>1</v>
      </c>
      <c r="AN183" t="e">
        <v>#N/A</v>
      </c>
      <c r="AP183" t="e">
        <f>_xlfn.XLOOKUP(F183,'Kolom info id dse &amp; part cd'!D:D,'Kolom info id dse &amp; part cd'!I:I)</f>
        <v>#N/A</v>
      </c>
      <c r="AQ183" t="e">
        <f t="shared" si="8"/>
        <v>#N/A</v>
      </c>
      <c r="AR183" t="str">
        <f>_xlfn.XLOOKUP($E183,'[1]Referensi New'!$D:$D,'[1]Referensi New'!$V:$V)</f>
        <v>DSEIN050</v>
      </c>
    </row>
    <row r="184" spans="1:44" ht="16">
      <c r="A184" s="39" t="s">
        <v>20</v>
      </c>
      <c r="B184" s="39" t="s">
        <v>21</v>
      </c>
      <c r="C184" s="39" t="s">
        <v>58</v>
      </c>
      <c r="D184" s="39" t="s">
        <v>59</v>
      </c>
      <c r="E184" s="39" t="s">
        <v>60</v>
      </c>
      <c r="F184" s="39" t="s">
        <v>61</v>
      </c>
      <c r="G184" s="39" t="s">
        <v>62</v>
      </c>
      <c r="H184" s="39" t="s">
        <v>63</v>
      </c>
      <c r="I184" s="39" t="b">
        <v>0</v>
      </c>
      <c r="J184" s="39" t="s">
        <v>63</v>
      </c>
      <c r="K184" s="39" t="b">
        <v>0</v>
      </c>
      <c r="L184" s="39" t="s">
        <v>1238</v>
      </c>
      <c r="M184" s="39"/>
      <c r="N184" t="s">
        <v>1238</v>
      </c>
      <c r="O184" t="s">
        <v>1239</v>
      </c>
      <c r="P184" t="s">
        <v>43</v>
      </c>
      <c r="Q184" s="39" t="s">
        <v>28</v>
      </c>
      <c r="R184" s="39" t="s">
        <v>45</v>
      </c>
      <c r="S184" s="39" t="s">
        <v>1240</v>
      </c>
      <c r="T184" s="39"/>
      <c r="U184" s="39"/>
      <c r="V184" s="39"/>
      <c r="W184" s="39" t="s">
        <v>1241</v>
      </c>
      <c r="X184" s="39" t="s">
        <v>1242</v>
      </c>
      <c r="Y184" s="39" t="s">
        <v>68</v>
      </c>
      <c r="Z184" s="39" t="s">
        <v>32</v>
      </c>
      <c r="AA184" s="39"/>
      <c r="AB184" s="44">
        <v>62085711111159</v>
      </c>
      <c r="AC184" s="39"/>
      <c r="AD184" s="39"/>
      <c r="AE184" s="39" t="s">
        <v>1243</v>
      </c>
      <c r="AF184" s="39"/>
      <c r="AG184" s="39" t="s">
        <v>61</v>
      </c>
      <c r="AH184" s="39" t="s">
        <v>1902</v>
      </c>
      <c r="AI184" s="39" t="s">
        <v>62</v>
      </c>
      <c r="AJ184" s="39" t="s">
        <v>1911</v>
      </c>
      <c r="AK184" t="b">
        <f t="shared" si="6"/>
        <v>1</v>
      </c>
      <c r="AL184" t="b">
        <f t="shared" si="7"/>
        <v>1</v>
      </c>
      <c r="AN184" t="e">
        <v>#N/A</v>
      </c>
      <c r="AP184" t="e">
        <f>_xlfn.XLOOKUP(F184,'Kolom info id dse &amp; part cd'!D:D,'Kolom info id dse &amp; part cd'!I:I)</f>
        <v>#N/A</v>
      </c>
      <c r="AQ184" t="e">
        <f t="shared" si="8"/>
        <v>#N/A</v>
      </c>
      <c r="AR184" t="str">
        <f>_xlfn.XLOOKUP($E184,'[1]Referensi New'!$D:$D,'[1]Referensi New'!$V:$V)</f>
        <v>DSEIN050</v>
      </c>
    </row>
    <row r="185" spans="1:44" ht="16">
      <c r="A185" s="39" t="s">
        <v>20</v>
      </c>
      <c r="B185" s="39" t="s">
        <v>21</v>
      </c>
      <c r="C185" s="39" t="s">
        <v>58</v>
      </c>
      <c r="D185" s="39" t="s">
        <v>1216</v>
      </c>
      <c r="E185" s="39" t="s">
        <v>1217</v>
      </c>
      <c r="F185" s="39" t="s">
        <v>1218</v>
      </c>
      <c r="G185" s="39" t="s">
        <v>1219</v>
      </c>
      <c r="H185" s="39" t="s">
        <v>1101</v>
      </c>
      <c r="I185" s="39" t="b">
        <v>0</v>
      </c>
      <c r="J185" s="39" t="s">
        <v>1101</v>
      </c>
      <c r="K185" s="39" t="b">
        <v>0</v>
      </c>
      <c r="L185" s="39" t="s">
        <v>1244</v>
      </c>
      <c r="M185" s="39"/>
      <c r="N185" t="s">
        <v>1244</v>
      </c>
      <c r="O185" t="s">
        <v>1245</v>
      </c>
      <c r="P185" t="s">
        <v>43</v>
      </c>
      <c r="Q185" s="39" t="s">
        <v>28</v>
      </c>
      <c r="R185" s="39" t="s">
        <v>45</v>
      </c>
      <c r="S185" s="39" t="s">
        <v>1246</v>
      </c>
      <c r="T185" s="39"/>
      <c r="U185" s="39"/>
      <c r="V185" s="39"/>
      <c r="W185" s="39" t="s">
        <v>1247</v>
      </c>
      <c r="X185" s="39" t="s">
        <v>1248</v>
      </c>
      <c r="Y185" s="39" t="s">
        <v>68</v>
      </c>
      <c r="Z185" s="39" t="s">
        <v>32</v>
      </c>
      <c r="AA185" s="39"/>
      <c r="AB185" s="44">
        <v>6285715666615</v>
      </c>
      <c r="AC185" s="39"/>
      <c r="AD185" s="39"/>
      <c r="AE185" s="39" t="s">
        <v>1249</v>
      </c>
      <c r="AF185" s="39"/>
      <c r="AG185" s="39" t="s">
        <v>1218</v>
      </c>
      <c r="AH185" s="39" t="s">
        <v>1910</v>
      </c>
      <c r="AI185" s="39" t="s">
        <v>1219</v>
      </c>
      <c r="AJ185" s="39" t="s">
        <v>1936</v>
      </c>
      <c r="AK185" t="b">
        <f t="shared" si="6"/>
        <v>1</v>
      </c>
      <c r="AL185" t="b">
        <f t="shared" si="7"/>
        <v>1</v>
      </c>
      <c r="AN185" t="e">
        <v>#N/A</v>
      </c>
      <c r="AP185" t="e">
        <f>_xlfn.XLOOKUP(F185,'Kolom info id dse &amp; part cd'!D:D,'Kolom info id dse &amp; part cd'!I:I)</f>
        <v>#N/A</v>
      </c>
      <c r="AQ185" t="e">
        <f t="shared" si="8"/>
        <v>#N/A</v>
      </c>
      <c r="AR185" t="str">
        <f>_xlfn.XLOOKUP($E185,'[1]Referensi New'!$D:$D,'[1]Referensi New'!$V:$V)</f>
        <v>DSEIN063</v>
      </c>
    </row>
    <row r="186" spans="1:44" ht="16">
      <c r="A186" s="39" t="s">
        <v>20</v>
      </c>
      <c r="B186" s="39" t="s">
        <v>21</v>
      </c>
      <c r="C186" s="39" t="s">
        <v>58</v>
      </c>
      <c r="D186" s="39" t="s">
        <v>1216</v>
      </c>
      <c r="E186" s="39" t="s">
        <v>1217</v>
      </c>
      <c r="F186" s="39" t="s">
        <v>1218</v>
      </c>
      <c r="G186" s="39" t="s">
        <v>1219</v>
      </c>
      <c r="H186" s="39" t="s">
        <v>1101</v>
      </c>
      <c r="I186" s="39" t="b">
        <v>0</v>
      </c>
      <c r="J186" s="39" t="s">
        <v>1101</v>
      </c>
      <c r="K186" s="39" t="b">
        <v>0</v>
      </c>
      <c r="L186" s="39" t="s">
        <v>1250</v>
      </c>
      <c r="M186" s="39"/>
      <c r="N186" t="s">
        <v>1250</v>
      </c>
      <c r="O186" t="s">
        <v>1251</v>
      </c>
      <c r="P186" t="s">
        <v>43</v>
      </c>
      <c r="Q186" s="39" t="s">
        <v>28</v>
      </c>
      <c r="R186" s="39" t="s">
        <v>45</v>
      </c>
      <c r="S186" s="39" t="s">
        <v>1252</v>
      </c>
      <c r="T186" s="39"/>
      <c r="U186" s="39"/>
      <c r="V186" s="39"/>
      <c r="W186" s="39" t="s">
        <v>1253</v>
      </c>
      <c r="X186" s="39" t="s">
        <v>1254</v>
      </c>
      <c r="Y186" s="39" t="s">
        <v>68</v>
      </c>
      <c r="Z186" s="39" t="s">
        <v>32</v>
      </c>
      <c r="AA186" s="39"/>
      <c r="AB186" s="44">
        <v>6285777000325</v>
      </c>
      <c r="AC186" s="39"/>
      <c r="AD186" s="39"/>
      <c r="AE186" s="39" t="s">
        <v>1255</v>
      </c>
      <c r="AF186" s="39"/>
      <c r="AG186" s="39" t="s">
        <v>1218</v>
      </c>
      <c r="AH186" s="39" t="s">
        <v>1910</v>
      </c>
      <c r="AI186" s="39" t="s">
        <v>1219</v>
      </c>
      <c r="AJ186" s="39" t="s">
        <v>1936</v>
      </c>
      <c r="AK186" t="b">
        <f t="shared" si="6"/>
        <v>1</v>
      </c>
      <c r="AL186" t="b">
        <f t="shared" si="7"/>
        <v>1</v>
      </c>
      <c r="AN186" t="e">
        <v>#N/A</v>
      </c>
      <c r="AP186" t="e">
        <f>_xlfn.XLOOKUP(F186,'Kolom info id dse &amp; part cd'!D:D,'Kolom info id dse &amp; part cd'!I:I)</f>
        <v>#N/A</v>
      </c>
      <c r="AQ186" t="e">
        <f t="shared" si="8"/>
        <v>#N/A</v>
      </c>
      <c r="AR186" t="str">
        <f>_xlfn.XLOOKUP($E186,'[1]Referensi New'!$D:$D,'[1]Referensi New'!$V:$V)</f>
        <v>DSEIN063</v>
      </c>
    </row>
    <row r="187" spans="1:44" ht="16">
      <c r="A187" s="39" t="s">
        <v>20</v>
      </c>
      <c r="B187" s="39" t="s">
        <v>21</v>
      </c>
      <c r="C187" s="39" t="s">
        <v>160</v>
      </c>
      <c r="D187" s="39" t="s">
        <v>161</v>
      </c>
      <c r="E187" s="39" t="s">
        <v>162</v>
      </c>
      <c r="F187" s="39" t="s">
        <v>163</v>
      </c>
      <c r="G187" s="39" t="s">
        <v>164</v>
      </c>
      <c r="H187" s="39" t="s">
        <v>165</v>
      </c>
      <c r="I187" s="39" t="b">
        <v>0</v>
      </c>
      <c r="J187" s="39" t="s">
        <v>165</v>
      </c>
      <c r="K187" s="39" t="b">
        <v>0</v>
      </c>
      <c r="L187" s="39" t="s">
        <v>1256</v>
      </c>
      <c r="M187" s="39"/>
      <c r="N187" t="s">
        <v>1256</v>
      </c>
      <c r="O187" t="s">
        <v>1257</v>
      </c>
      <c r="P187" t="s">
        <v>43</v>
      </c>
      <c r="Q187" s="39" t="s">
        <v>28</v>
      </c>
      <c r="R187" s="39" t="s">
        <v>45</v>
      </c>
      <c r="S187" s="39" t="s">
        <v>1258</v>
      </c>
      <c r="T187" s="39"/>
      <c r="U187" s="39"/>
      <c r="V187" s="39"/>
      <c r="W187" s="39" t="s">
        <v>1259</v>
      </c>
      <c r="X187" s="39" t="s">
        <v>1260</v>
      </c>
      <c r="Y187" s="39" t="s">
        <v>119</v>
      </c>
      <c r="Z187" s="39" t="s">
        <v>32</v>
      </c>
      <c r="AA187" s="39"/>
      <c r="AB187" s="44">
        <v>6285711122631</v>
      </c>
      <c r="AC187" s="39"/>
      <c r="AD187" s="39"/>
      <c r="AE187" s="39" t="s">
        <v>1261</v>
      </c>
      <c r="AF187" s="39"/>
      <c r="AG187" s="39" t="s">
        <v>163</v>
      </c>
      <c r="AH187" s="39" t="s">
        <v>1906</v>
      </c>
      <c r="AI187" s="39" t="s">
        <v>164</v>
      </c>
      <c r="AJ187" s="39" t="s">
        <v>1918</v>
      </c>
      <c r="AK187" t="b">
        <f t="shared" si="6"/>
        <v>1</v>
      </c>
      <c r="AL187" t="b">
        <f t="shared" si="7"/>
        <v>1</v>
      </c>
      <c r="AN187" t="e">
        <v>#N/A</v>
      </c>
      <c r="AP187" t="e">
        <f>_xlfn.XLOOKUP(F187,'Kolom info id dse &amp; part cd'!D:D,'Kolom info id dse &amp; part cd'!I:I)</f>
        <v>#N/A</v>
      </c>
      <c r="AQ187" t="e">
        <f t="shared" si="8"/>
        <v>#N/A</v>
      </c>
      <c r="AR187" t="str">
        <f>_xlfn.XLOOKUP($E187,'[1]Referensi New'!$D:$D,'[1]Referensi New'!$V:$V)</f>
        <v>DSEPASMING631</v>
      </c>
    </row>
    <row r="188" spans="1:44" ht="16">
      <c r="A188" s="39" t="s">
        <v>20</v>
      </c>
      <c r="B188" s="39" t="s">
        <v>21</v>
      </c>
      <c r="C188" s="39" t="s">
        <v>160</v>
      </c>
      <c r="D188" s="39" t="s">
        <v>161</v>
      </c>
      <c r="E188" s="39" t="s">
        <v>162</v>
      </c>
      <c r="F188" s="39" t="s">
        <v>163</v>
      </c>
      <c r="G188" s="39" t="s">
        <v>164</v>
      </c>
      <c r="H188" s="39" t="s">
        <v>165</v>
      </c>
      <c r="I188" s="39" t="b">
        <v>0</v>
      </c>
      <c r="J188" s="39" t="s">
        <v>165</v>
      </c>
      <c r="K188" s="39" t="b">
        <v>0</v>
      </c>
      <c r="L188" s="39" t="s">
        <v>1262</v>
      </c>
      <c r="M188" s="39"/>
      <c r="N188" t="s">
        <v>1262</v>
      </c>
      <c r="O188" t="s">
        <v>1263</v>
      </c>
      <c r="P188" t="s">
        <v>43</v>
      </c>
      <c r="Q188" s="39" t="s">
        <v>28</v>
      </c>
      <c r="R188" s="39" t="s">
        <v>45</v>
      </c>
      <c r="S188" s="39" t="s">
        <v>1264</v>
      </c>
      <c r="T188" s="39"/>
      <c r="U188" s="39"/>
      <c r="V188" s="39"/>
      <c r="W188" s="39" t="s">
        <v>1265</v>
      </c>
      <c r="X188" s="39" t="s">
        <v>1266</v>
      </c>
      <c r="Y188" s="39" t="s">
        <v>68</v>
      </c>
      <c r="Z188" s="39" t="s">
        <v>32</v>
      </c>
      <c r="AA188" s="39"/>
      <c r="AB188" s="44">
        <v>6285711122665</v>
      </c>
      <c r="AC188" s="39"/>
      <c r="AD188" s="39"/>
      <c r="AE188" s="39" t="s">
        <v>1267</v>
      </c>
      <c r="AF188" s="39"/>
      <c r="AG188" s="39" t="s">
        <v>163</v>
      </c>
      <c r="AH188" s="39" t="s">
        <v>1906</v>
      </c>
      <c r="AI188" s="39" t="s">
        <v>164</v>
      </c>
      <c r="AJ188" s="39" t="s">
        <v>1918</v>
      </c>
      <c r="AK188" t="b">
        <f t="shared" si="6"/>
        <v>1</v>
      </c>
      <c r="AL188" t="b">
        <f t="shared" si="7"/>
        <v>1</v>
      </c>
      <c r="AN188" t="e">
        <v>#N/A</v>
      </c>
      <c r="AP188" t="e">
        <f>_xlfn.XLOOKUP(F188,'Kolom info id dse &amp; part cd'!D:D,'Kolom info id dse &amp; part cd'!I:I)</f>
        <v>#N/A</v>
      </c>
      <c r="AQ188" t="e">
        <f t="shared" si="8"/>
        <v>#N/A</v>
      </c>
      <c r="AR188" t="str">
        <f>_xlfn.XLOOKUP($E188,'[1]Referensi New'!$D:$D,'[1]Referensi New'!$V:$V)</f>
        <v>DSEPASMING631</v>
      </c>
    </row>
    <row r="189" spans="1:44" ht="16">
      <c r="A189" s="39" t="s">
        <v>20</v>
      </c>
      <c r="B189" s="39" t="s">
        <v>21</v>
      </c>
      <c r="C189" s="39" t="s">
        <v>160</v>
      </c>
      <c r="D189" s="39" t="s">
        <v>161</v>
      </c>
      <c r="E189" s="39" t="s">
        <v>162</v>
      </c>
      <c r="F189" s="39" t="s">
        <v>163</v>
      </c>
      <c r="G189" s="39" t="s">
        <v>164</v>
      </c>
      <c r="H189" s="39" t="s">
        <v>165</v>
      </c>
      <c r="I189" s="39" t="b">
        <v>0</v>
      </c>
      <c r="J189" s="39" t="s">
        <v>165</v>
      </c>
      <c r="K189" s="39" t="b">
        <v>0</v>
      </c>
      <c r="L189" s="39" t="s">
        <v>1268</v>
      </c>
      <c r="M189" s="39"/>
      <c r="N189" t="s">
        <v>1268</v>
      </c>
      <c r="O189" t="s">
        <v>1269</v>
      </c>
      <c r="P189" t="s">
        <v>43</v>
      </c>
      <c r="Q189" s="39" t="s">
        <v>28</v>
      </c>
      <c r="R189" s="39" t="s">
        <v>45</v>
      </c>
      <c r="S189" s="39" t="s">
        <v>1270</v>
      </c>
      <c r="T189" s="39"/>
      <c r="U189" s="39"/>
      <c r="V189" s="39"/>
      <c r="W189" s="39" t="s">
        <v>1271</v>
      </c>
      <c r="X189" s="39" t="s">
        <v>1272</v>
      </c>
      <c r="Y189" s="39" t="s">
        <v>68</v>
      </c>
      <c r="Z189" s="39" t="s">
        <v>32</v>
      </c>
      <c r="AA189" s="39"/>
      <c r="AB189" s="44">
        <v>6285711122667</v>
      </c>
      <c r="AC189" s="39"/>
      <c r="AD189" s="39"/>
      <c r="AE189" s="39" t="s">
        <v>1273</v>
      </c>
      <c r="AF189" s="39"/>
      <c r="AG189" s="39" t="s">
        <v>163</v>
      </c>
      <c r="AH189" s="39" t="s">
        <v>1906</v>
      </c>
      <c r="AI189" s="39" t="s">
        <v>164</v>
      </c>
      <c r="AJ189" s="39" t="s">
        <v>1918</v>
      </c>
      <c r="AK189" t="b">
        <f t="shared" si="6"/>
        <v>1</v>
      </c>
      <c r="AL189" t="b">
        <f t="shared" si="7"/>
        <v>1</v>
      </c>
      <c r="AN189" t="e">
        <v>#N/A</v>
      </c>
      <c r="AP189" t="e">
        <f>_xlfn.XLOOKUP(F189,'Kolom info id dse &amp; part cd'!D:D,'Kolom info id dse &amp; part cd'!I:I)</f>
        <v>#N/A</v>
      </c>
      <c r="AQ189" t="e">
        <f t="shared" si="8"/>
        <v>#N/A</v>
      </c>
      <c r="AR189" t="str">
        <f>_xlfn.XLOOKUP($E189,'[1]Referensi New'!$D:$D,'[1]Referensi New'!$V:$V)</f>
        <v>DSEPASMING631</v>
      </c>
    </row>
    <row r="190" spans="1:44" ht="16">
      <c r="A190" s="39" t="s">
        <v>20</v>
      </c>
      <c r="B190" s="39" t="s">
        <v>21</v>
      </c>
      <c r="C190" s="39" t="s">
        <v>160</v>
      </c>
      <c r="D190" s="39" t="s">
        <v>161</v>
      </c>
      <c r="E190" s="39" t="s">
        <v>162</v>
      </c>
      <c r="F190" s="39" t="s">
        <v>163</v>
      </c>
      <c r="G190" s="39" t="s">
        <v>164</v>
      </c>
      <c r="H190" s="39" t="s">
        <v>165</v>
      </c>
      <c r="I190" s="39" t="b">
        <v>0</v>
      </c>
      <c r="J190" s="39" t="s">
        <v>165</v>
      </c>
      <c r="K190" s="39" t="b">
        <v>0</v>
      </c>
      <c r="L190" s="39" t="s">
        <v>1274</v>
      </c>
      <c r="M190" s="39"/>
      <c r="N190" t="s">
        <v>1274</v>
      </c>
      <c r="O190" t="s">
        <v>1275</v>
      </c>
      <c r="P190" t="s">
        <v>43</v>
      </c>
      <c r="Q190" s="39" t="s">
        <v>28</v>
      </c>
      <c r="R190" s="39" t="s">
        <v>45</v>
      </c>
      <c r="S190" s="39" t="s">
        <v>1276</v>
      </c>
      <c r="T190" s="39"/>
      <c r="U190" s="39"/>
      <c r="V190" s="39"/>
      <c r="W190" s="39" t="s">
        <v>1277</v>
      </c>
      <c r="X190" s="39" t="s">
        <v>1278</v>
      </c>
      <c r="Y190" s="39" t="s">
        <v>68</v>
      </c>
      <c r="Z190" s="39" t="s">
        <v>32</v>
      </c>
      <c r="AA190" s="39"/>
      <c r="AB190" s="44">
        <v>6285711122669</v>
      </c>
      <c r="AC190" s="39"/>
      <c r="AD190" s="39"/>
      <c r="AE190" s="39" t="s">
        <v>1279</v>
      </c>
      <c r="AF190" s="39"/>
      <c r="AG190" s="39" t="s">
        <v>163</v>
      </c>
      <c r="AH190" s="39" t="s">
        <v>1906</v>
      </c>
      <c r="AI190" s="39" t="s">
        <v>164</v>
      </c>
      <c r="AJ190" s="39" t="s">
        <v>1918</v>
      </c>
      <c r="AK190" t="b">
        <f t="shared" si="6"/>
        <v>1</v>
      </c>
      <c r="AL190" t="b">
        <f t="shared" si="7"/>
        <v>1</v>
      </c>
      <c r="AN190" t="e">
        <v>#N/A</v>
      </c>
      <c r="AP190" t="e">
        <f>_xlfn.XLOOKUP(F190,'Kolom info id dse &amp; part cd'!D:D,'Kolom info id dse &amp; part cd'!I:I)</f>
        <v>#N/A</v>
      </c>
      <c r="AQ190" t="e">
        <f t="shared" si="8"/>
        <v>#N/A</v>
      </c>
      <c r="AR190" t="str">
        <f>_xlfn.XLOOKUP($E190,'[1]Referensi New'!$D:$D,'[1]Referensi New'!$V:$V)</f>
        <v>DSEPASMING631</v>
      </c>
    </row>
    <row r="191" spans="1:44" ht="16">
      <c r="A191" s="39" t="s">
        <v>20</v>
      </c>
      <c r="B191" s="39" t="s">
        <v>21</v>
      </c>
      <c r="C191" s="39" t="s">
        <v>160</v>
      </c>
      <c r="D191" s="39" t="s">
        <v>161</v>
      </c>
      <c r="E191" s="39" t="s">
        <v>162</v>
      </c>
      <c r="F191" s="39" t="s">
        <v>163</v>
      </c>
      <c r="G191" s="39" t="s">
        <v>164</v>
      </c>
      <c r="H191" s="39" t="s">
        <v>165</v>
      </c>
      <c r="I191" s="39" t="b">
        <v>0</v>
      </c>
      <c r="J191" s="39" t="s">
        <v>165</v>
      </c>
      <c r="K191" s="39" t="b">
        <v>0</v>
      </c>
      <c r="L191" s="39" t="s">
        <v>1280</v>
      </c>
      <c r="M191" s="39"/>
      <c r="N191" t="s">
        <v>1280</v>
      </c>
      <c r="O191" t="s">
        <v>1281</v>
      </c>
      <c r="P191" t="s">
        <v>43</v>
      </c>
      <c r="Q191" s="39" t="s">
        <v>28</v>
      </c>
      <c r="R191" s="39" t="s">
        <v>45</v>
      </c>
      <c r="S191" s="39" t="s">
        <v>1282</v>
      </c>
      <c r="T191" s="39"/>
      <c r="U191" s="39"/>
      <c r="V191" s="39"/>
      <c r="W191" s="39" t="s">
        <v>1283</v>
      </c>
      <c r="X191" s="39" t="s">
        <v>1284</v>
      </c>
      <c r="Y191" s="39" t="s">
        <v>68</v>
      </c>
      <c r="Z191" s="39" t="s">
        <v>32</v>
      </c>
      <c r="AA191" s="39"/>
      <c r="AB191" s="44">
        <v>6285711122760</v>
      </c>
      <c r="AC191" s="39"/>
      <c r="AD191" s="39"/>
      <c r="AE191" s="39" t="s">
        <v>1285</v>
      </c>
      <c r="AF191" s="39"/>
      <c r="AG191" s="39" t="s">
        <v>163</v>
      </c>
      <c r="AH191" s="39" t="s">
        <v>1906</v>
      </c>
      <c r="AI191" s="39" t="s">
        <v>164</v>
      </c>
      <c r="AJ191" s="39" t="s">
        <v>1918</v>
      </c>
      <c r="AK191" t="b">
        <f t="shared" si="6"/>
        <v>1</v>
      </c>
      <c r="AL191" t="b">
        <f t="shared" si="7"/>
        <v>1</v>
      </c>
      <c r="AN191" t="e">
        <v>#N/A</v>
      </c>
      <c r="AP191" t="e">
        <f>_xlfn.XLOOKUP(F191,'Kolom info id dse &amp; part cd'!D:D,'Kolom info id dse &amp; part cd'!I:I)</f>
        <v>#N/A</v>
      </c>
      <c r="AQ191" t="e">
        <f t="shared" si="8"/>
        <v>#N/A</v>
      </c>
      <c r="AR191" t="str">
        <f>_xlfn.XLOOKUP($E191,'[1]Referensi New'!$D:$D,'[1]Referensi New'!$V:$V)</f>
        <v>DSEPASMING631</v>
      </c>
    </row>
    <row r="192" spans="1:44" ht="16">
      <c r="A192" s="39" t="s">
        <v>20</v>
      </c>
      <c r="B192" s="39" t="s">
        <v>21</v>
      </c>
      <c r="C192" s="39" t="s">
        <v>160</v>
      </c>
      <c r="D192" s="39" t="s">
        <v>161</v>
      </c>
      <c r="E192" s="39" t="s">
        <v>162</v>
      </c>
      <c r="F192" s="39" t="s">
        <v>163</v>
      </c>
      <c r="G192" s="39" t="s">
        <v>164</v>
      </c>
      <c r="H192" s="39" t="s">
        <v>165</v>
      </c>
      <c r="I192" s="39" t="b">
        <v>0</v>
      </c>
      <c r="J192" s="39" t="s">
        <v>165</v>
      </c>
      <c r="K192" s="39" t="b">
        <v>0</v>
      </c>
      <c r="L192" s="39" t="s">
        <v>1286</v>
      </c>
      <c r="M192" s="39"/>
      <c r="N192" t="s">
        <v>1286</v>
      </c>
      <c r="O192" t="s">
        <v>1287</v>
      </c>
      <c r="P192" t="s">
        <v>43</v>
      </c>
      <c r="Q192" s="39" t="s">
        <v>28</v>
      </c>
      <c r="R192" s="39" t="s">
        <v>45</v>
      </c>
      <c r="S192" s="39" t="s">
        <v>1288</v>
      </c>
      <c r="T192" s="39"/>
      <c r="U192" s="39"/>
      <c r="V192" s="39"/>
      <c r="W192" s="39" t="s">
        <v>1289</v>
      </c>
      <c r="X192" s="39" t="s">
        <v>1290</v>
      </c>
      <c r="Y192" s="39" t="s">
        <v>68</v>
      </c>
      <c r="Z192" s="39" t="s">
        <v>32</v>
      </c>
      <c r="AA192" s="39"/>
      <c r="AB192" s="44">
        <v>6285711122864</v>
      </c>
      <c r="AC192" s="39"/>
      <c r="AD192" s="39"/>
      <c r="AE192" s="39" t="s">
        <v>1291</v>
      </c>
      <c r="AF192" s="39"/>
      <c r="AG192" s="39" t="s">
        <v>163</v>
      </c>
      <c r="AH192" s="39" t="s">
        <v>1906</v>
      </c>
      <c r="AI192" s="39" t="s">
        <v>164</v>
      </c>
      <c r="AJ192" s="39" t="s">
        <v>1918</v>
      </c>
      <c r="AK192" t="b">
        <f t="shared" si="6"/>
        <v>1</v>
      </c>
      <c r="AL192" t="b">
        <f t="shared" si="7"/>
        <v>1</v>
      </c>
      <c r="AN192" t="e">
        <v>#N/A</v>
      </c>
      <c r="AP192" t="e">
        <f>_xlfn.XLOOKUP(F192,'Kolom info id dse &amp; part cd'!D:D,'Kolom info id dse &amp; part cd'!I:I)</f>
        <v>#N/A</v>
      </c>
      <c r="AQ192" t="e">
        <f t="shared" si="8"/>
        <v>#N/A</v>
      </c>
      <c r="AR192" t="str">
        <f>_xlfn.XLOOKUP($E192,'[1]Referensi New'!$D:$D,'[1]Referensi New'!$V:$V)</f>
        <v>DSEPASMING631</v>
      </c>
    </row>
    <row r="193" spans="1:44" ht="16">
      <c r="A193" s="39" t="s">
        <v>20</v>
      </c>
      <c r="B193" s="39" t="s">
        <v>21</v>
      </c>
      <c r="C193" s="39" t="s">
        <v>81</v>
      </c>
      <c r="D193" s="39" t="s">
        <v>292</v>
      </c>
      <c r="E193" s="39" t="s">
        <v>293</v>
      </c>
      <c r="F193" s="39" t="s">
        <v>294</v>
      </c>
      <c r="G193" s="39" t="s">
        <v>295</v>
      </c>
      <c r="H193" s="39" t="s">
        <v>86</v>
      </c>
      <c r="I193" s="39" t="b">
        <v>0</v>
      </c>
      <c r="J193" s="39" t="s">
        <v>86</v>
      </c>
      <c r="K193" s="39" t="b">
        <v>0</v>
      </c>
      <c r="L193" s="39" t="s">
        <v>1292</v>
      </c>
      <c r="M193" s="39"/>
      <c r="N193" t="s">
        <v>1292</v>
      </c>
      <c r="O193" t="s">
        <v>1293</v>
      </c>
      <c r="P193" t="s">
        <v>43</v>
      </c>
      <c r="Q193" s="39" t="s">
        <v>88</v>
      </c>
      <c r="R193" s="39" t="s">
        <v>45</v>
      </c>
      <c r="S193" s="39" t="s">
        <v>1294</v>
      </c>
      <c r="T193" s="39" t="s">
        <v>1294</v>
      </c>
      <c r="U193" s="39" t="s">
        <v>1294</v>
      </c>
      <c r="V193" s="39"/>
      <c r="W193" s="39" t="s">
        <v>1295</v>
      </c>
      <c r="X193" s="39" t="s">
        <v>1296</v>
      </c>
      <c r="Y193" s="39" t="s">
        <v>68</v>
      </c>
      <c r="Z193" s="39" t="s">
        <v>32</v>
      </c>
      <c r="AA193" s="39"/>
      <c r="AB193" s="44">
        <v>6285719109625</v>
      </c>
      <c r="AC193" s="39"/>
      <c r="AD193" s="39"/>
      <c r="AE193" s="39" t="s">
        <v>1297</v>
      </c>
      <c r="AF193" s="39" t="s">
        <v>609</v>
      </c>
      <c r="AG193" s="39" t="s">
        <v>294</v>
      </c>
      <c r="AH193" s="39" t="s">
        <v>1904</v>
      </c>
      <c r="AI193" s="39" t="s">
        <v>295</v>
      </c>
      <c r="AJ193" s="39" t="s">
        <v>1922</v>
      </c>
      <c r="AK193" t="b">
        <f t="shared" si="6"/>
        <v>1</v>
      </c>
      <c r="AL193" t="b">
        <f t="shared" si="7"/>
        <v>1</v>
      </c>
      <c r="AN193" t="e">
        <v>#N/A</v>
      </c>
      <c r="AP193" t="e">
        <f>_xlfn.XLOOKUP(F193,'Kolom info id dse &amp; part cd'!D:D,'Kolom info id dse &amp; part cd'!I:I)</f>
        <v>#N/A</v>
      </c>
      <c r="AQ193" t="e">
        <f t="shared" si="8"/>
        <v>#N/A</v>
      </c>
      <c r="AR193" t="str">
        <f>_xlfn.XLOOKUP($E193,'[1]Referensi New'!$D:$D,'[1]Referensi New'!$V:$V)</f>
        <v>DSEPNKN03</v>
      </c>
    </row>
    <row r="194" spans="1:44" ht="16">
      <c r="A194" s="39" t="s">
        <v>20</v>
      </c>
      <c r="B194" s="39" t="s">
        <v>21</v>
      </c>
      <c r="C194" s="39" t="s">
        <v>81</v>
      </c>
      <c r="D194" s="39" t="s">
        <v>292</v>
      </c>
      <c r="E194" s="39" t="s">
        <v>293</v>
      </c>
      <c r="F194" s="39" t="s">
        <v>294</v>
      </c>
      <c r="G194" s="39" t="s">
        <v>295</v>
      </c>
      <c r="H194" s="39" t="s">
        <v>86</v>
      </c>
      <c r="I194" s="39" t="b">
        <v>0</v>
      </c>
      <c r="J194" s="39" t="s">
        <v>86</v>
      </c>
      <c r="K194" s="39" t="b">
        <v>0</v>
      </c>
      <c r="L194" s="39" t="s">
        <v>1298</v>
      </c>
      <c r="M194" s="39"/>
      <c r="N194" t="s">
        <v>1298</v>
      </c>
      <c r="O194" t="s">
        <v>1299</v>
      </c>
      <c r="P194" t="s">
        <v>43</v>
      </c>
      <c r="Q194" s="39" t="s">
        <v>88</v>
      </c>
      <c r="R194" s="39" t="s">
        <v>45</v>
      </c>
      <c r="S194" s="39" t="s">
        <v>1300</v>
      </c>
      <c r="T194" s="39" t="s">
        <v>1300</v>
      </c>
      <c r="U194" s="39" t="s">
        <v>1300</v>
      </c>
      <c r="V194" s="39"/>
      <c r="W194" s="39" t="s">
        <v>1301</v>
      </c>
      <c r="X194" s="39" t="s">
        <v>1302</v>
      </c>
      <c r="Y194" s="39" t="s">
        <v>68</v>
      </c>
      <c r="Z194" s="39" t="s">
        <v>32</v>
      </c>
      <c r="AA194" s="39"/>
      <c r="AB194" s="44">
        <v>6285719109623</v>
      </c>
      <c r="AC194" s="39"/>
      <c r="AD194" s="39"/>
      <c r="AE194" s="39" t="s">
        <v>1303</v>
      </c>
      <c r="AF194" s="39" t="s">
        <v>609</v>
      </c>
      <c r="AG194" s="39" t="s">
        <v>294</v>
      </c>
      <c r="AH194" s="39" t="s">
        <v>1904</v>
      </c>
      <c r="AI194" s="39" t="s">
        <v>295</v>
      </c>
      <c r="AJ194" s="39" t="s">
        <v>1922</v>
      </c>
      <c r="AK194" t="b">
        <f t="shared" ref="AK194:AK257" si="9">AG194=F194</f>
        <v>1</v>
      </c>
      <c r="AL194" t="b">
        <f t="shared" ref="AL194:AL257" si="10">AI194=G194</f>
        <v>1</v>
      </c>
      <c r="AN194" t="e">
        <v>#N/A</v>
      </c>
      <c r="AP194" t="e">
        <f>_xlfn.XLOOKUP(F194,'Kolom info id dse &amp; part cd'!D:D,'Kolom info id dse &amp; part cd'!I:I)</f>
        <v>#N/A</v>
      </c>
      <c r="AQ194" t="e">
        <f t="shared" si="8"/>
        <v>#N/A</v>
      </c>
      <c r="AR194" t="str">
        <f>_xlfn.XLOOKUP($E194,'[1]Referensi New'!$D:$D,'[1]Referensi New'!$V:$V)</f>
        <v>DSEPNKN03</v>
      </c>
    </row>
    <row r="195" spans="1:44" ht="16">
      <c r="A195" s="39" t="s">
        <v>20</v>
      </c>
      <c r="B195" s="39" t="s">
        <v>21</v>
      </c>
      <c r="C195" s="39" t="s">
        <v>81</v>
      </c>
      <c r="D195" s="39" t="s">
        <v>292</v>
      </c>
      <c r="E195" s="39" t="s">
        <v>293</v>
      </c>
      <c r="F195" s="39" t="s">
        <v>294</v>
      </c>
      <c r="G195" s="39" t="s">
        <v>295</v>
      </c>
      <c r="H195" s="39" t="s">
        <v>86</v>
      </c>
      <c r="I195" s="39" t="b">
        <v>0</v>
      </c>
      <c r="J195" s="39" t="s">
        <v>86</v>
      </c>
      <c r="K195" s="39" t="b">
        <v>0</v>
      </c>
      <c r="L195" s="39" t="s">
        <v>1304</v>
      </c>
      <c r="M195" s="39"/>
      <c r="N195" t="s">
        <v>1304</v>
      </c>
      <c r="O195" t="s">
        <v>1305</v>
      </c>
      <c r="P195" t="s">
        <v>43</v>
      </c>
      <c r="Q195" s="39" t="s">
        <v>88</v>
      </c>
      <c r="R195" s="39" t="s">
        <v>45</v>
      </c>
      <c r="S195" s="39" t="s">
        <v>1306</v>
      </c>
      <c r="T195" s="39" t="s">
        <v>1306</v>
      </c>
      <c r="U195" s="39" t="s">
        <v>1306</v>
      </c>
      <c r="V195" s="39"/>
      <c r="W195" s="39" t="s">
        <v>1307</v>
      </c>
      <c r="X195" s="39" t="s">
        <v>1308</v>
      </c>
      <c r="Y195" s="39" t="s">
        <v>68</v>
      </c>
      <c r="Z195" s="39" t="s">
        <v>32</v>
      </c>
      <c r="AA195" s="39"/>
      <c r="AB195" s="44">
        <v>6285719109622</v>
      </c>
      <c r="AC195" s="39"/>
      <c r="AD195" s="39"/>
      <c r="AE195" s="39" t="s">
        <v>1309</v>
      </c>
      <c r="AF195" s="39" t="s">
        <v>609</v>
      </c>
      <c r="AG195" s="39" t="s">
        <v>294</v>
      </c>
      <c r="AH195" s="39" t="s">
        <v>1904</v>
      </c>
      <c r="AI195" s="39" t="s">
        <v>295</v>
      </c>
      <c r="AJ195" s="39" t="s">
        <v>1922</v>
      </c>
      <c r="AK195" t="b">
        <f t="shared" si="9"/>
        <v>1</v>
      </c>
      <c r="AL195" t="b">
        <f t="shared" si="10"/>
        <v>1</v>
      </c>
      <c r="AN195" t="e">
        <v>#N/A</v>
      </c>
      <c r="AP195" t="e">
        <f>_xlfn.XLOOKUP(F195,'Kolom info id dse &amp; part cd'!D:D,'Kolom info id dse &amp; part cd'!I:I)</f>
        <v>#N/A</v>
      </c>
      <c r="AQ195" t="e">
        <f t="shared" ref="AQ195:AQ258" si="11">AP195=D195</f>
        <v>#N/A</v>
      </c>
      <c r="AR195" t="str">
        <f>_xlfn.XLOOKUP($E195,'[1]Referensi New'!$D:$D,'[1]Referensi New'!$V:$V)</f>
        <v>DSEPNKN03</v>
      </c>
    </row>
    <row r="196" spans="1:44" ht="16">
      <c r="A196" s="39" t="s">
        <v>20</v>
      </c>
      <c r="B196" s="39" t="s">
        <v>21</v>
      </c>
      <c r="C196" s="39" t="s">
        <v>81</v>
      </c>
      <c r="D196" s="39" t="s">
        <v>292</v>
      </c>
      <c r="E196" s="39" t="s">
        <v>293</v>
      </c>
      <c r="F196" s="39" t="s">
        <v>294</v>
      </c>
      <c r="G196" s="39" t="s">
        <v>295</v>
      </c>
      <c r="H196" s="39" t="s">
        <v>86</v>
      </c>
      <c r="I196" s="39" t="b">
        <v>0</v>
      </c>
      <c r="J196" s="39" t="s">
        <v>86</v>
      </c>
      <c r="K196" s="39" t="b">
        <v>0</v>
      </c>
      <c r="L196" s="39" t="s">
        <v>1310</v>
      </c>
      <c r="M196" s="39"/>
      <c r="N196" t="s">
        <v>1310</v>
      </c>
      <c r="O196" t="s">
        <v>1311</v>
      </c>
      <c r="P196" t="s">
        <v>43</v>
      </c>
      <c r="Q196" s="39" t="s">
        <v>88</v>
      </c>
      <c r="R196" s="39" t="s">
        <v>45</v>
      </c>
      <c r="S196" s="39" t="s">
        <v>1312</v>
      </c>
      <c r="T196" s="39" t="s">
        <v>1312</v>
      </c>
      <c r="U196" s="39" t="s">
        <v>1312</v>
      </c>
      <c r="V196" s="39"/>
      <c r="W196" s="39" t="s">
        <v>1313</v>
      </c>
      <c r="X196" s="39" t="s">
        <v>1314</v>
      </c>
      <c r="Y196" s="39" t="s">
        <v>68</v>
      </c>
      <c r="Z196" s="39" t="s">
        <v>32</v>
      </c>
      <c r="AA196" s="39"/>
      <c r="AB196" s="44">
        <v>6285719109621</v>
      </c>
      <c r="AC196" s="39"/>
      <c r="AD196" s="39"/>
      <c r="AE196" s="39" t="s">
        <v>1315</v>
      </c>
      <c r="AF196" s="39" t="s">
        <v>609</v>
      </c>
      <c r="AG196" s="39" t="s">
        <v>294</v>
      </c>
      <c r="AH196" s="39" t="s">
        <v>1904</v>
      </c>
      <c r="AI196" s="39" t="s">
        <v>295</v>
      </c>
      <c r="AJ196" s="39" t="s">
        <v>1922</v>
      </c>
      <c r="AK196" t="b">
        <f t="shared" si="9"/>
        <v>1</v>
      </c>
      <c r="AL196" t="b">
        <f t="shared" si="10"/>
        <v>1</v>
      </c>
      <c r="AN196" t="e">
        <v>#N/A</v>
      </c>
      <c r="AP196" t="e">
        <f>_xlfn.XLOOKUP(F196,'Kolom info id dse &amp; part cd'!D:D,'Kolom info id dse &amp; part cd'!I:I)</f>
        <v>#N/A</v>
      </c>
      <c r="AQ196" t="e">
        <f t="shared" si="11"/>
        <v>#N/A</v>
      </c>
      <c r="AR196" t="str">
        <f>_xlfn.XLOOKUP($E196,'[1]Referensi New'!$D:$D,'[1]Referensi New'!$V:$V)</f>
        <v>DSEPNKN03</v>
      </c>
    </row>
    <row r="197" spans="1:44" ht="16">
      <c r="A197" s="39" t="s">
        <v>20</v>
      </c>
      <c r="B197" s="39" t="s">
        <v>21</v>
      </c>
      <c r="C197" s="39" t="s">
        <v>160</v>
      </c>
      <c r="D197" s="39" t="s">
        <v>181</v>
      </c>
      <c r="E197" s="39" t="s">
        <v>182</v>
      </c>
      <c r="F197" s="39" t="s">
        <v>183</v>
      </c>
      <c r="G197" s="39" t="s">
        <v>184</v>
      </c>
      <c r="H197" s="39" t="s">
        <v>165</v>
      </c>
      <c r="I197" s="39" t="b">
        <v>0</v>
      </c>
      <c r="J197" s="39" t="s">
        <v>165</v>
      </c>
      <c r="K197" s="39" t="b">
        <v>0</v>
      </c>
      <c r="L197" s="39" t="s">
        <v>1362</v>
      </c>
      <c r="M197" s="39"/>
      <c r="N197" t="s">
        <v>1362</v>
      </c>
      <c r="O197" t="s">
        <v>1363</v>
      </c>
      <c r="P197" t="s">
        <v>43</v>
      </c>
      <c r="Q197" s="39" t="s">
        <v>28</v>
      </c>
      <c r="R197" s="39" t="s">
        <v>45</v>
      </c>
      <c r="S197" s="39" t="s">
        <v>1364</v>
      </c>
      <c r="T197" s="39"/>
      <c r="U197" s="39"/>
      <c r="V197" s="39"/>
      <c r="W197" s="39" t="s">
        <v>1365</v>
      </c>
      <c r="X197" s="39" t="s">
        <v>1366</v>
      </c>
      <c r="Y197" s="39" t="s">
        <v>68</v>
      </c>
      <c r="Z197" s="39" t="s">
        <v>32</v>
      </c>
      <c r="AA197" s="39"/>
      <c r="AB197" s="44">
        <v>6285711122656</v>
      </c>
      <c r="AC197" s="39"/>
      <c r="AD197" s="39"/>
      <c r="AE197" s="39" t="s">
        <v>1367</v>
      </c>
      <c r="AF197" s="39"/>
      <c r="AG197" s="39" t="s">
        <v>183</v>
      </c>
      <c r="AH197" s="39" t="s">
        <v>1906</v>
      </c>
      <c r="AI197" s="39" t="s">
        <v>184</v>
      </c>
      <c r="AJ197" s="39" t="s">
        <v>1919</v>
      </c>
      <c r="AK197" t="b">
        <f t="shared" si="9"/>
        <v>1</v>
      </c>
      <c r="AL197" t="b">
        <f t="shared" si="10"/>
        <v>1</v>
      </c>
      <c r="AN197" t="e">
        <v>#N/A</v>
      </c>
      <c r="AP197" t="e">
        <f>_xlfn.XLOOKUP(F197,'Kolom info id dse &amp; part cd'!D:D,'Kolom info id dse &amp; part cd'!I:I)</f>
        <v>#N/A</v>
      </c>
      <c r="AQ197" t="e">
        <f t="shared" si="11"/>
        <v>#N/A</v>
      </c>
      <c r="AR197">
        <f>_xlfn.XLOOKUP($E197,'[1]Referensi New'!$D:$D,'[1]Referensi New'!$V:$V)</f>
        <v>2613051039</v>
      </c>
    </row>
    <row r="198" spans="1:44" ht="16">
      <c r="A198" s="39" t="s">
        <v>20</v>
      </c>
      <c r="B198" s="39" t="s">
        <v>21</v>
      </c>
      <c r="C198" s="39" t="s">
        <v>160</v>
      </c>
      <c r="D198" s="39" t="s">
        <v>181</v>
      </c>
      <c r="E198" s="39" t="s">
        <v>182</v>
      </c>
      <c r="F198" s="39" t="s">
        <v>183</v>
      </c>
      <c r="G198" s="39" t="s">
        <v>184</v>
      </c>
      <c r="H198" s="39" t="s">
        <v>165</v>
      </c>
      <c r="I198" s="39" t="b">
        <v>0</v>
      </c>
      <c r="J198" s="39" t="s">
        <v>165</v>
      </c>
      <c r="K198" s="39" t="b">
        <v>0</v>
      </c>
      <c r="L198" s="39" t="s">
        <v>1368</v>
      </c>
      <c r="M198" s="39"/>
      <c r="N198" t="s">
        <v>1368</v>
      </c>
      <c r="O198" t="s">
        <v>1369</v>
      </c>
      <c r="P198" t="s">
        <v>43</v>
      </c>
      <c r="Q198" s="39" t="s">
        <v>28</v>
      </c>
      <c r="R198" s="39" t="s">
        <v>45</v>
      </c>
      <c r="S198" s="39" t="s">
        <v>1370</v>
      </c>
      <c r="T198" s="39"/>
      <c r="U198" s="39"/>
      <c r="V198" s="39"/>
      <c r="W198" s="39" t="s">
        <v>1371</v>
      </c>
      <c r="X198" s="39" t="s">
        <v>1372</v>
      </c>
      <c r="Y198" s="39" t="s">
        <v>68</v>
      </c>
      <c r="Z198" s="39" t="s">
        <v>32</v>
      </c>
      <c r="AA198" s="39"/>
      <c r="AB198" s="44">
        <v>6285711122663</v>
      </c>
      <c r="AC198" s="39"/>
      <c r="AD198" s="39"/>
      <c r="AE198" s="39" t="s">
        <v>1373</v>
      </c>
      <c r="AF198" s="39"/>
      <c r="AG198" s="39" t="s">
        <v>183</v>
      </c>
      <c r="AH198" s="39" t="s">
        <v>1906</v>
      </c>
      <c r="AI198" s="39" t="s">
        <v>184</v>
      </c>
      <c r="AJ198" s="39" t="s">
        <v>1919</v>
      </c>
      <c r="AK198" t="b">
        <f t="shared" si="9"/>
        <v>1</v>
      </c>
      <c r="AL198" t="b">
        <f t="shared" si="10"/>
        <v>1</v>
      </c>
      <c r="AN198" t="e">
        <v>#N/A</v>
      </c>
      <c r="AP198" t="e">
        <f>_xlfn.XLOOKUP(F198,'Kolom info id dse &amp; part cd'!D:D,'Kolom info id dse &amp; part cd'!I:I)</f>
        <v>#N/A</v>
      </c>
      <c r="AQ198" t="e">
        <f t="shared" si="11"/>
        <v>#N/A</v>
      </c>
      <c r="AR198">
        <f>_xlfn.XLOOKUP($E198,'[1]Referensi New'!$D:$D,'[1]Referensi New'!$V:$V)</f>
        <v>2613051039</v>
      </c>
    </row>
    <row r="199" spans="1:44" ht="16">
      <c r="A199" s="39" t="s">
        <v>20</v>
      </c>
      <c r="B199" s="39" t="s">
        <v>21</v>
      </c>
      <c r="C199" s="39" t="s">
        <v>160</v>
      </c>
      <c r="D199" s="39" t="s">
        <v>181</v>
      </c>
      <c r="E199" s="39" t="s">
        <v>182</v>
      </c>
      <c r="F199" s="39" t="s">
        <v>183</v>
      </c>
      <c r="G199" s="39" t="s">
        <v>184</v>
      </c>
      <c r="H199" s="39" t="s">
        <v>165</v>
      </c>
      <c r="I199" s="39" t="b">
        <v>0</v>
      </c>
      <c r="J199" s="39" t="s">
        <v>165</v>
      </c>
      <c r="K199" s="39" t="b">
        <v>0</v>
      </c>
      <c r="L199" s="39" t="s">
        <v>1374</v>
      </c>
      <c r="M199" s="39"/>
      <c r="N199" t="s">
        <v>1374</v>
      </c>
      <c r="O199" t="s">
        <v>1375</v>
      </c>
      <c r="P199" t="s">
        <v>43</v>
      </c>
      <c r="Q199" s="39" t="s">
        <v>28</v>
      </c>
      <c r="R199" s="39" t="s">
        <v>45</v>
      </c>
      <c r="S199" s="39" t="s">
        <v>1376</v>
      </c>
      <c r="T199" s="39"/>
      <c r="U199" s="39"/>
      <c r="V199" s="39"/>
      <c r="W199" s="39" t="s">
        <v>1377</v>
      </c>
      <c r="X199" s="39" t="s">
        <v>1378</v>
      </c>
      <c r="Y199" s="39" t="s">
        <v>68</v>
      </c>
      <c r="Z199" s="39" t="s">
        <v>32</v>
      </c>
      <c r="AA199" s="39"/>
      <c r="AB199" s="44">
        <v>6285711122856</v>
      </c>
      <c r="AC199" s="39"/>
      <c r="AD199" s="39"/>
      <c r="AE199" s="39" t="s">
        <v>1379</v>
      </c>
      <c r="AF199" s="39"/>
      <c r="AG199" s="39" t="s">
        <v>183</v>
      </c>
      <c r="AH199" s="39" t="s">
        <v>1906</v>
      </c>
      <c r="AI199" s="39" t="s">
        <v>184</v>
      </c>
      <c r="AJ199" s="39" t="s">
        <v>1919</v>
      </c>
      <c r="AK199" t="b">
        <f t="shared" si="9"/>
        <v>1</v>
      </c>
      <c r="AL199" t="b">
        <f t="shared" si="10"/>
        <v>1</v>
      </c>
      <c r="AN199" t="e">
        <v>#N/A</v>
      </c>
      <c r="AP199" t="e">
        <f>_xlfn.XLOOKUP(F199,'Kolom info id dse &amp; part cd'!D:D,'Kolom info id dse &amp; part cd'!I:I)</f>
        <v>#N/A</v>
      </c>
      <c r="AQ199" t="e">
        <f t="shared" si="11"/>
        <v>#N/A</v>
      </c>
      <c r="AR199">
        <f>_xlfn.XLOOKUP($E199,'[1]Referensi New'!$D:$D,'[1]Referensi New'!$V:$V)</f>
        <v>2613051039</v>
      </c>
    </row>
    <row r="200" spans="1:44" ht="16">
      <c r="A200" s="39" t="s">
        <v>20</v>
      </c>
      <c r="B200" s="39" t="s">
        <v>21</v>
      </c>
      <c r="C200" s="39" t="s">
        <v>160</v>
      </c>
      <c r="D200" s="39" t="s">
        <v>181</v>
      </c>
      <c r="E200" s="39" t="s">
        <v>182</v>
      </c>
      <c r="F200" s="39" t="s">
        <v>183</v>
      </c>
      <c r="G200" s="39" t="s">
        <v>184</v>
      </c>
      <c r="H200" s="39" t="s">
        <v>165</v>
      </c>
      <c r="I200" s="39" t="b">
        <v>0</v>
      </c>
      <c r="J200" s="39" t="s">
        <v>165</v>
      </c>
      <c r="K200" s="39" t="b">
        <v>0</v>
      </c>
      <c r="L200" s="39" t="s">
        <v>1380</v>
      </c>
      <c r="M200" s="39"/>
      <c r="N200" t="s">
        <v>1380</v>
      </c>
      <c r="O200" t="s">
        <v>1381</v>
      </c>
      <c r="P200" t="s">
        <v>43</v>
      </c>
      <c r="Q200" s="39" t="s">
        <v>28</v>
      </c>
      <c r="R200" s="39" t="s">
        <v>45</v>
      </c>
      <c r="S200" s="39" t="s">
        <v>1382</v>
      </c>
      <c r="T200" s="39"/>
      <c r="U200" s="39"/>
      <c r="V200" s="39"/>
      <c r="W200" s="39" t="s">
        <v>1383</v>
      </c>
      <c r="X200" s="39" t="s">
        <v>1384</v>
      </c>
      <c r="Y200" s="39" t="s">
        <v>68</v>
      </c>
      <c r="Z200" s="39" t="s">
        <v>32</v>
      </c>
      <c r="AA200" s="39"/>
      <c r="AB200" s="44">
        <v>6285711122858</v>
      </c>
      <c r="AC200" s="39"/>
      <c r="AD200" s="39"/>
      <c r="AE200" s="39" t="s">
        <v>1385</v>
      </c>
      <c r="AF200" s="39"/>
      <c r="AG200" s="39" t="s">
        <v>183</v>
      </c>
      <c r="AH200" s="39" t="s">
        <v>1906</v>
      </c>
      <c r="AI200" s="39" t="s">
        <v>184</v>
      </c>
      <c r="AJ200" s="39" t="s">
        <v>1919</v>
      </c>
      <c r="AK200" t="b">
        <f t="shared" si="9"/>
        <v>1</v>
      </c>
      <c r="AL200" t="b">
        <f t="shared" si="10"/>
        <v>1</v>
      </c>
      <c r="AN200" t="e">
        <v>#N/A</v>
      </c>
      <c r="AP200" t="e">
        <f>_xlfn.XLOOKUP(F200,'Kolom info id dse &amp; part cd'!D:D,'Kolom info id dse &amp; part cd'!I:I)</f>
        <v>#N/A</v>
      </c>
      <c r="AQ200" t="e">
        <f t="shared" si="11"/>
        <v>#N/A</v>
      </c>
      <c r="AR200">
        <f>_xlfn.XLOOKUP($E200,'[1]Referensi New'!$D:$D,'[1]Referensi New'!$V:$V)</f>
        <v>2613051039</v>
      </c>
    </row>
    <row r="201" spans="1:44" ht="16">
      <c r="A201" s="39" t="s">
        <v>20</v>
      </c>
      <c r="B201" s="39" t="s">
        <v>21</v>
      </c>
      <c r="C201" s="39" t="s">
        <v>805</v>
      </c>
      <c r="D201" s="39" t="s">
        <v>1386</v>
      </c>
      <c r="E201" s="39" t="s">
        <v>1387</v>
      </c>
      <c r="F201" s="39" t="s">
        <v>1388</v>
      </c>
      <c r="G201" s="39" t="s">
        <v>1389</v>
      </c>
      <c r="H201" s="39" t="s">
        <v>165</v>
      </c>
      <c r="I201" s="39" t="b">
        <v>0</v>
      </c>
      <c r="J201" s="39" t="s">
        <v>165</v>
      </c>
      <c r="K201" s="39" t="b">
        <v>0</v>
      </c>
      <c r="L201" s="39" t="s">
        <v>1390</v>
      </c>
      <c r="M201" s="39"/>
      <c r="N201" t="s">
        <v>1390</v>
      </c>
      <c r="O201" t="s">
        <v>1391</v>
      </c>
      <c r="P201" t="s">
        <v>43</v>
      </c>
      <c r="Q201" s="39" t="s">
        <v>88</v>
      </c>
      <c r="R201" s="39" t="s">
        <v>45</v>
      </c>
      <c r="S201" s="39" t="s">
        <v>1392</v>
      </c>
      <c r="T201" s="39" t="s">
        <v>1392</v>
      </c>
      <c r="U201" s="39" t="s">
        <v>1392</v>
      </c>
      <c r="V201" s="39"/>
      <c r="W201" s="39" t="s">
        <v>1393</v>
      </c>
      <c r="X201" s="39" t="s">
        <v>1394</v>
      </c>
      <c r="Y201" s="39" t="s">
        <v>68</v>
      </c>
      <c r="Z201" s="39"/>
      <c r="AA201" s="39"/>
      <c r="AB201" s="44">
        <v>6281514444101</v>
      </c>
      <c r="AC201" s="39"/>
      <c r="AD201" s="39"/>
      <c r="AE201" s="39" t="s">
        <v>1395</v>
      </c>
      <c r="AF201" s="39"/>
      <c r="AG201" s="39" t="s">
        <v>1388</v>
      </c>
      <c r="AH201" s="39" t="s">
        <v>1906</v>
      </c>
      <c r="AI201" s="39" t="s">
        <v>1389</v>
      </c>
      <c r="AJ201" s="39" t="s">
        <v>1937</v>
      </c>
      <c r="AK201" t="b">
        <f t="shared" si="9"/>
        <v>1</v>
      </c>
      <c r="AL201" t="b">
        <f t="shared" si="10"/>
        <v>1</v>
      </c>
      <c r="AN201" t="e">
        <v>#N/A</v>
      </c>
      <c r="AP201" t="e">
        <f>_xlfn.XLOOKUP(F201,'Kolom info id dse &amp; part cd'!D:D,'Kolom info id dse &amp; part cd'!I:I)</f>
        <v>#N/A</v>
      </c>
      <c r="AQ201" t="e">
        <f t="shared" si="11"/>
        <v>#N/A</v>
      </c>
      <c r="AR201" t="str">
        <f>_xlfn.XLOOKUP($E201,'[1]Referensi New'!$D:$D,'[1]Referensi New'!$V:$V)</f>
        <v>DSEIN012</v>
      </c>
    </row>
    <row r="202" spans="1:44" ht="16">
      <c r="A202" s="39" t="s">
        <v>20</v>
      </c>
      <c r="B202" s="39" t="s">
        <v>21</v>
      </c>
      <c r="C202" s="39" t="s">
        <v>805</v>
      </c>
      <c r="D202" s="39" t="s">
        <v>1386</v>
      </c>
      <c r="E202" s="39" t="s">
        <v>1387</v>
      </c>
      <c r="F202" s="39" t="s">
        <v>1388</v>
      </c>
      <c r="G202" s="39" t="s">
        <v>1389</v>
      </c>
      <c r="H202" s="39" t="s">
        <v>165</v>
      </c>
      <c r="I202" s="39" t="b">
        <v>0</v>
      </c>
      <c r="J202" s="39" t="s">
        <v>165</v>
      </c>
      <c r="K202" s="39" t="b">
        <v>0</v>
      </c>
      <c r="L202" s="39" t="s">
        <v>1396</v>
      </c>
      <c r="M202" s="39"/>
      <c r="N202" t="s">
        <v>1396</v>
      </c>
      <c r="O202" t="s">
        <v>1397</v>
      </c>
      <c r="P202" t="s">
        <v>43</v>
      </c>
      <c r="Q202" s="39" t="s">
        <v>88</v>
      </c>
      <c r="R202" s="39" t="s">
        <v>45</v>
      </c>
      <c r="S202" s="39" t="s">
        <v>1398</v>
      </c>
      <c r="T202" s="39" t="s">
        <v>1398</v>
      </c>
      <c r="U202" s="39" t="s">
        <v>1398</v>
      </c>
      <c r="V202" s="39"/>
      <c r="W202" s="39" t="s">
        <v>1399</v>
      </c>
      <c r="X202" s="39" t="s">
        <v>1400</v>
      </c>
      <c r="Y202" s="39" t="s">
        <v>68</v>
      </c>
      <c r="Z202" s="39"/>
      <c r="AA202" s="39"/>
      <c r="AB202" s="44">
        <v>628567330339</v>
      </c>
      <c r="AC202" s="39"/>
      <c r="AD202" s="39"/>
      <c r="AE202" s="39" t="s">
        <v>1401</v>
      </c>
      <c r="AF202" s="39"/>
      <c r="AG202" s="39" t="s">
        <v>1388</v>
      </c>
      <c r="AH202" s="39" t="s">
        <v>1906</v>
      </c>
      <c r="AI202" s="39" t="s">
        <v>1389</v>
      </c>
      <c r="AJ202" s="39" t="s">
        <v>1937</v>
      </c>
      <c r="AK202" t="b">
        <f t="shared" si="9"/>
        <v>1</v>
      </c>
      <c r="AL202" t="b">
        <f t="shared" si="10"/>
        <v>1</v>
      </c>
      <c r="AN202" t="e">
        <v>#N/A</v>
      </c>
      <c r="AP202" t="e">
        <f>_xlfn.XLOOKUP(F202,'Kolom info id dse &amp; part cd'!D:D,'Kolom info id dse &amp; part cd'!I:I)</f>
        <v>#N/A</v>
      </c>
      <c r="AQ202" t="e">
        <f t="shared" si="11"/>
        <v>#N/A</v>
      </c>
      <c r="AR202" t="str">
        <f>_xlfn.XLOOKUP($E202,'[1]Referensi New'!$D:$D,'[1]Referensi New'!$V:$V)</f>
        <v>DSEIN012</v>
      </c>
    </row>
    <row r="203" spans="1:44" ht="16">
      <c r="A203" s="39" t="s">
        <v>20</v>
      </c>
      <c r="B203" s="39" t="s">
        <v>21</v>
      </c>
      <c r="C203" s="39" t="s">
        <v>805</v>
      </c>
      <c r="D203" s="39" t="s">
        <v>1386</v>
      </c>
      <c r="E203" s="39" t="s">
        <v>1387</v>
      </c>
      <c r="F203" s="39" t="s">
        <v>1388</v>
      </c>
      <c r="G203" s="39" t="s">
        <v>1389</v>
      </c>
      <c r="H203" s="39" t="s">
        <v>165</v>
      </c>
      <c r="I203" s="39" t="b">
        <v>0</v>
      </c>
      <c r="J203" s="39" t="s">
        <v>165</v>
      </c>
      <c r="K203" s="39" t="b">
        <v>0</v>
      </c>
      <c r="L203" s="39" t="s">
        <v>1402</v>
      </c>
      <c r="M203" s="39"/>
      <c r="N203" t="s">
        <v>1402</v>
      </c>
      <c r="O203" t="s">
        <v>1403</v>
      </c>
      <c r="P203" t="s">
        <v>43</v>
      </c>
      <c r="Q203" s="39" t="s">
        <v>88</v>
      </c>
      <c r="R203" s="39" t="s">
        <v>45</v>
      </c>
      <c r="S203" s="39" t="s">
        <v>1404</v>
      </c>
      <c r="T203" s="39" t="s">
        <v>1404</v>
      </c>
      <c r="U203" s="39" t="s">
        <v>1404</v>
      </c>
      <c r="V203" s="39"/>
      <c r="W203" s="39" t="s">
        <v>1405</v>
      </c>
      <c r="X203" s="39" t="s">
        <v>1406</v>
      </c>
      <c r="Y203" s="39" t="s">
        <v>68</v>
      </c>
      <c r="Z203" s="39"/>
      <c r="AA203" s="39"/>
      <c r="AB203" s="44">
        <v>628561601601</v>
      </c>
      <c r="AC203" s="39"/>
      <c r="AD203" s="39"/>
      <c r="AE203" s="39" t="s">
        <v>1407</v>
      </c>
      <c r="AF203" s="39"/>
      <c r="AG203" s="39" t="s">
        <v>1388</v>
      </c>
      <c r="AH203" s="39" t="s">
        <v>1906</v>
      </c>
      <c r="AI203" s="39" t="s">
        <v>1389</v>
      </c>
      <c r="AJ203" s="39" t="s">
        <v>1937</v>
      </c>
      <c r="AK203" t="b">
        <f t="shared" si="9"/>
        <v>1</v>
      </c>
      <c r="AL203" t="b">
        <f t="shared" si="10"/>
        <v>1</v>
      </c>
      <c r="AN203" t="e">
        <v>#N/A</v>
      </c>
      <c r="AP203" t="e">
        <f>_xlfn.XLOOKUP(F203,'Kolom info id dse &amp; part cd'!D:D,'Kolom info id dse &amp; part cd'!I:I)</f>
        <v>#N/A</v>
      </c>
      <c r="AQ203" t="e">
        <f t="shared" si="11"/>
        <v>#N/A</v>
      </c>
      <c r="AR203" t="str">
        <f>_xlfn.XLOOKUP($E203,'[1]Referensi New'!$D:$D,'[1]Referensi New'!$V:$V)</f>
        <v>DSEIN012</v>
      </c>
    </row>
    <row r="204" spans="1:44" ht="16">
      <c r="A204" s="39" t="s">
        <v>20</v>
      </c>
      <c r="B204" s="39" t="s">
        <v>21</v>
      </c>
      <c r="C204" s="39" t="s">
        <v>805</v>
      </c>
      <c r="D204" s="39" t="s">
        <v>1386</v>
      </c>
      <c r="E204" s="39" t="s">
        <v>1387</v>
      </c>
      <c r="F204" s="39" t="s">
        <v>1388</v>
      </c>
      <c r="G204" s="39" t="s">
        <v>1389</v>
      </c>
      <c r="H204" s="39" t="s">
        <v>165</v>
      </c>
      <c r="I204" s="39" t="b">
        <v>0</v>
      </c>
      <c r="J204" s="39" t="s">
        <v>165</v>
      </c>
      <c r="K204" s="39" t="b">
        <v>0</v>
      </c>
      <c r="L204" s="39" t="s">
        <v>1408</v>
      </c>
      <c r="M204" s="39"/>
      <c r="N204" t="s">
        <v>1408</v>
      </c>
      <c r="O204" t="s">
        <v>1409</v>
      </c>
      <c r="P204" t="s">
        <v>43</v>
      </c>
      <c r="Q204" s="39" t="s">
        <v>88</v>
      </c>
      <c r="R204" s="39" t="s">
        <v>45</v>
      </c>
      <c r="S204" s="39" t="s">
        <v>1410</v>
      </c>
      <c r="T204" s="39" t="s">
        <v>1410</v>
      </c>
      <c r="U204" s="39" t="s">
        <v>1410</v>
      </c>
      <c r="V204" s="39"/>
      <c r="W204" s="39" t="s">
        <v>1411</v>
      </c>
      <c r="X204" s="39" t="s">
        <v>1412</v>
      </c>
      <c r="Y204" s="39" t="s">
        <v>68</v>
      </c>
      <c r="Z204" s="39"/>
      <c r="AA204" s="39"/>
      <c r="AB204" s="44">
        <v>6285772096969</v>
      </c>
      <c r="AC204" s="39"/>
      <c r="AD204" s="39"/>
      <c r="AE204" s="39" t="s">
        <v>1413</v>
      </c>
      <c r="AF204" s="39"/>
      <c r="AG204" s="39" t="s">
        <v>1388</v>
      </c>
      <c r="AH204" s="39" t="s">
        <v>1906</v>
      </c>
      <c r="AI204" s="39" t="s">
        <v>1389</v>
      </c>
      <c r="AJ204" s="39" t="s">
        <v>1937</v>
      </c>
      <c r="AK204" t="b">
        <f t="shared" si="9"/>
        <v>1</v>
      </c>
      <c r="AL204" t="b">
        <f t="shared" si="10"/>
        <v>1</v>
      </c>
      <c r="AN204" t="e">
        <v>#N/A</v>
      </c>
      <c r="AP204" t="e">
        <f>_xlfn.XLOOKUP(F204,'Kolom info id dse &amp; part cd'!D:D,'Kolom info id dse &amp; part cd'!I:I)</f>
        <v>#N/A</v>
      </c>
      <c r="AQ204" t="e">
        <f t="shared" si="11"/>
        <v>#N/A</v>
      </c>
      <c r="AR204" t="str">
        <f>_xlfn.XLOOKUP($E204,'[1]Referensi New'!$D:$D,'[1]Referensi New'!$V:$V)</f>
        <v>DSEIN012</v>
      </c>
    </row>
    <row r="205" spans="1:44" ht="16">
      <c r="A205" s="39" t="s">
        <v>20</v>
      </c>
      <c r="B205" s="39" t="s">
        <v>21</v>
      </c>
      <c r="C205" s="39" t="s">
        <v>805</v>
      </c>
      <c r="D205" s="39" t="s">
        <v>1414</v>
      </c>
      <c r="E205" s="39" t="s">
        <v>1415</v>
      </c>
      <c r="F205" s="39" t="s">
        <v>1416</v>
      </c>
      <c r="G205" s="39" t="s">
        <v>1417</v>
      </c>
      <c r="H205" s="39" t="s">
        <v>165</v>
      </c>
      <c r="I205" s="39" t="b">
        <v>0</v>
      </c>
      <c r="J205" s="39" t="s">
        <v>165</v>
      </c>
      <c r="K205" s="39" t="b">
        <v>0</v>
      </c>
      <c r="L205" s="39" t="s">
        <v>1418</v>
      </c>
      <c r="M205" s="39"/>
      <c r="N205" t="s">
        <v>1418</v>
      </c>
      <c r="O205" t="s">
        <v>1419</v>
      </c>
      <c r="P205" t="s">
        <v>43</v>
      </c>
      <c r="Q205" s="39" t="s">
        <v>88</v>
      </c>
      <c r="R205" s="39" t="s">
        <v>45</v>
      </c>
      <c r="S205" s="39" t="s">
        <v>1420</v>
      </c>
      <c r="T205" s="39" t="s">
        <v>1420</v>
      </c>
      <c r="U205" s="39" t="s">
        <v>1420</v>
      </c>
      <c r="V205" s="39"/>
      <c r="W205" s="39" t="s">
        <v>1421</v>
      </c>
      <c r="X205" s="39" t="s">
        <v>1422</v>
      </c>
      <c r="Y205" s="39" t="s">
        <v>68</v>
      </c>
      <c r="Z205" s="39"/>
      <c r="AA205" s="39"/>
      <c r="AB205" s="44">
        <v>62085697241191</v>
      </c>
      <c r="AC205" s="39"/>
      <c r="AD205" s="39"/>
      <c r="AE205" s="39" t="s">
        <v>1423</v>
      </c>
      <c r="AF205" s="39"/>
      <c r="AG205" s="39" t="s">
        <v>1416</v>
      </c>
      <c r="AH205" s="39" t="s">
        <v>1906</v>
      </c>
      <c r="AI205" s="39" t="s">
        <v>1417</v>
      </c>
      <c r="AJ205" s="39" t="s">
        <v>1937</v>
      </c>
      <c r="AK205" t="b">
        <f t="shared" si="9"/>
        <v>1</v>
      </c>
      <c r="AL205" t="b">
        <f t="shared" si="10"/>
        <v>1</v>
      </c>
      <c r="AN205" t="e">
        <v>#N/A</v>
      </c>
      <c r="AP205" t="e">
        <f>_xlfn.XLOOKUP(F205,'Kolom info id dse &amp; part cd'!D:D,'Kolom info id dse &amp; part cd'!I:I)</f>
        <v>#N/A</v>
      </c>
      <c r="AQ205" t="e">
        <f t="shared" si="11"/>
        <v>#N/A</v>
      </c>
      <c r="AR205" t="str">
        <f>_xlfn.XLOOKUP($E205,'[1]Referensi New'!$D:$D,'[1]Referensi New'!$V:$V)</f>
        <v>DSEIN008</v>
      </c>
    </row>
    <row r="206" spans="1:44" ht="16">
      <c r="A206" s="39" t="s">
        <v>20</v>
      </c>
      <c r="B206" s="39" t="s">
        <v>21</v>
      </c>
      <c r="C206" s="39" t="s">
        <v>805</v>
      </c>
      <c r="D206" s="39" t="s">
        <v>1414</v>
      </c>
      <c r="E206" s="39" t="s">
        <v>1415</v>
      </c>
      <c r="F206" s="39" t="s">
        <v>1416</v>
      </c>
      <c r="G206" s="39" t="s">
        <v>1417</v>
      </c>
      <c r="H206" s="39" t="s">
        <v>165</v>
      </c>
      <c r="I206" s="39" t="b">
        <v>0</v>
      </c>
      <c r="J206" s="39" t="s">
        <v>165</v>
      </c>
      <c r="K206" s="39" t="b">
        <v>0</v>
      </c>
      <c r="L206" s="39" t="s">
        <v>1424</v>
      </c>
      <c r="M206" s="39"/>
      <c r="N206" t="s">
        <v>1424</v>
      </c>
      <c r="O206" t="s">
        <v>1425</v>
      </c>
      <c r="P206" t="s">
        <v>43</v>
      </c>
      <c r="Q206" s="39" t="s">
        <v>88</v>
      </c>
      <c r="R206" s="39" t="s">
        <v>45</v>
      </c>
      <c r="S206" s="39" t="s">
        <v>1426</v>
      </c>
      <c r="T206" s="39" t="s">
        <v>1426</v>
      </c>
      <c r="U206" s="39" t="s">
        <v>1426</v>
      </c>
      <c r="V206" s="39"/>
      <c r="W206" s="39" t="s">
        <v>1427</v>
      </c>
      <c r="X206" s="39" t="s">
        <v>1428</v>
      </c>
      <c r="Y206" s="39" t="s">
        <v>68</v>
      </c>
      <c r="Z206" s="39"/>
      <c r="AA206" s="39"/>
      <c r="AB206" s="44">
        <v>6285770154721</v>
      </c>
      <c r="AC206" s="39"/>
      <c r="AD206" s="39"/>
      <c r="AE206" s="39" t="s">
        <v>1429</v>
      </c>
      <c r="AF206" s="39"/>
      <c r="AG206" s="39" t="s">
        <v>1416</v>
      </c>
      <c r="AH206" s="39" t="s">
        <v>1906</v>
      </c>
      <c r="AI206" s="39" t="s">
        <v>1417</v>
      </c>
      <c r="AJ206" s="39" t="s">
        <v>1937</v>
      </c>
      <c r="AK206" t="b">
        <f t="shared" si="9"/>
        <v>1</v>
      </c>
      <c r="AL206" t="b">
        <f t="shared" si="10"/>
        <v>1</v>
      </c>
      <c r="AN206" t="e">
        <v>#N/A</v>
      </c>
      <c r="AP206" t="e">
        <f>_xlfn.XLOOKUP(F206,'Kolom info id dse &amp; part cd'!D:D,'Kolom info id dse &amp; part cd'!I:I)</f>
        <v>#N/A</v>
      </c>
      <c r="AQ206" t="e">
        <f t="shared" si="11"/>
        <v>#N/A</v>
      </c>
      <c r="AR206" t="str">
        <f>_xlfn.XLOOKUP($E206,'[1]Referensi New'!$D:$D,'[1]Referensi New'!$V:$V)</f>
        <v>DSEIN008</v>
      </c>
    </row>
    <row r="207" spans="1:44" ht="16">
      <c r="A207" s="39" t="s">
        <v>20</v>
      </c>
      <c r="B207" s="39" t="s">
        <v>21</v>
      </c>
      <c r="C207" s="39" t="s">
        <v>805</v>
      </c>
      <c r="D207" s="39" t="s">
        <v>1414</v>
      </c>
      <c r="E207" s="39" t="s">
        <v>1415</v>
      </c>
      <c r="F207" s="39" t="s">
        <v>1416</v>
      </c>
      <c r="G207" s="39" t="s">
        <v>1417</v>
      </c>
      <c r="H207" s="39" t="s">
        <v>165</v>
      </c>
      <c r="I207" s="39" t="b">
        <v>0</v>
      </c>
      <c r="J207" s="39" t="s">
        <v>165</v>
      </c>
      <c r="K207" s="39" t="b">
        <v>0</v>
      </c>
      <c r="L207" s="39" t="s">
        <v>1430</v>
      </c>
      <c r="M207" s="39"/>
      <c r="N207" t="s">
        <v>1430</v>
      </c>
      <c r="O207" t="s">
        <v>1431</v>
      </c>
      <c r="P207" t="s">
        <v>43</v>
      </c>
      <c r="Q207" s="39" t="s">
        <v>88</v>
      </c>
      <c r="R207" s="39" t="s">
        <v>45</v>
      </c>
      <c r="S207" s="39" t="s">
        <v>1432</v>
      </c>
      <c r="T207" s="39" t="s">
        <v>1432</v>
      </c>
      <c r="U207" s="39" t="s">
        <v>1432</v>
      </c>
      <c r="V207" s="39"/>
      <c r="W207" s="39" t="s">
        <v>1433</v>
      </c>
      <c r="X207" s="39" t="s">
        <v>1434</v>
      </c>
      <c r="Y207" s="39" t="s">
        <v>68</v>
      </c>
      <c r="Z207" s="39"/>
      <c r="AA207" s="39"/>
      <c r="AB207" s="44">
        <v>6208567160016</v>
      </c>
      <c r="AC207" s="39"/>
      <c r="AD207" s="39"/>
      <c r="AE207" s="39" t="s">
        <v>1435</v>
      </c>
      <c r="AF207" s="39"/>
      <c r="AG207" s="39" t="s">
        <v>1416</v>
      </c>
      <c r="AH207" s="39" t="s">
        <v>1906</v>
      </c>
      <c r="AI207" s="39" t="s">
        <v>1417</v>
      </c>
      <c r="AJ207" s="39" t="s">
        <v>1937</v>
      </c>
      <c r="AK207" t="b">
        <f t="shared" si="9"/>
        <v>1</v>
      </c>
      <c r="AL207" t="b">
        <f t="shared" si="10"/>
        <v>1</v>
      </c>
      <c r="AN207" t="e">
        <v>#N/A</v>
      </c>
      <c r="AP207" t="e">
        <f>_xlfn.XLOOKUP(F207,'Kolom info id dse &amp; part cd'!D:D,'Kolom info id dse &amp; part cd'!I:I)</f>
        <v>#N/A</v>
      </c>
      <c r="AQ207" t="e">
        <f t="shared" si="11"/>
        <v>#N/A</v>
      </c>
      <c r="AR207" t="str">
        <f>_xlfn.XLOOKUP($E207,'[1]Referensi New'!$D:$D,'[1]Referensi New'!$V:$V)</f>
        <v>DSEIN008</v>
      </c>
    </row>
    <row r="208" spans="1:44" ht="16">
      <c r="A208" s="39" t="s">
        <v>20</v>
      </c>
      <c r="B208" s="39" t="s">
        <v>21</v>
      </c>
      <c r="C208" s="39" t="s">
        <v>314</v>
      </c>
      <c r="D208" s="39" t="s">
        <v>315</v>
      </c>
      <c r="E208" s="39" t="s">
        <v>316</v>
      </c>
      <c r="F208" s="39" t="s">
        <v>317</v>
      </c>
      <c r="G208" s="39" t="s">
        <v>318</v>
      </c>
      <c r="H208" s="39" t="s">
        <v>319</v>
      </c>
      <c r="I208" s="39" t="b">
        <v>0</v>
      </c>
      <c r="J208" s="39" t="s">
        <v>319</v>
      </c>
      <c r="K208" s="39" t="b">
        <v>0</v>
      </c>
      <c r="L208" s="39"/>
      <c r="M208" s="39" t="s">
        <v>1437</v>
      </c>
      <c r="N208" t="s">
        <v>1438</v>
      </c>
      <c r="O208" t="s">
        <v>1437</v>
      </c>
      <c r="P208" t="s">
        <v>1439</v>
      </c>
      <c r="Q208" s="39" t="s">
        <v>88</v>
      </c>
      <c r="R208" s="39" t="s">
        <v>44</v>
      </c>
      <c r="S208" s="39" t="s">
        <v>1440</v>
      </c>
      <c r="T208" s="39" t="s">
        <v>1440</v>
      </c>
      <c r="U208" s="39"/>
      <c r="V208" s="39" t="b">
        <v>0</v>
      </c>
      <c r="W208" s="39" t="s">
        <v>1441</v>
      </c>
      <c r="X208" s="39" t="s">
        <v>1442</v>
      </c>
      <c r="Y208" s="39" t="s">
        <v>68</v>
      </c>
      <c r="Z208" s="39" t="s">
        <v>32</v>
      </c>
      <c r="AA208" s="39" t="s">
        <v>1443</v>
      </c>
      <c r="AB208" s="44">
        <v>628985560045</v>
      </c>
      <c r="AC208" s="39" t="s">
        <v>1444</v>
      </c>
      <c r="AD208" s="39"/>
      <c r="AE208" s="39" t="s">
        <v>1445</v>
      </c>
      <c r="AF208" s="39" t="s">
        <v>609</v>
      </c>
      <c r="AG208" s="39" t="s">
        <v>317</v>
      </c>
      <c r="AH208" s="39" t="s">
        <v>1907</v>
      </c>
      <c r="AI208" s="39" t="s">
        <v>318</v>
      </c>
      <c r="AJ208" s="39" t="s">
        <v>1923</v>
      </c>
      <c r="AK208" t="b">
        <f t="shared" si="9"/>
        <v>1</v>
      </c>
      <c r="AL208" t="b">
        <f t="shared" si="10"/>
        <v>1</v>
      </c>
      <c r="AN208" t="e">
        <v>#N/A</v>
      </c>
      <c r="AP208" t="e">
        <f>_xlfn.XLOOKUP(F208,'Kolom info id dse &amp; part cd'!D:D,'Kolom info id dse &amp; part cd'!I:I)</f>
        <v>#N/A</v>
      </c>
      <c r="AQ208" t="e">
        <f t="shared" si="11"/>
        <v>#N/A</v>
      </c>
      <c r="AR208" t="str">
        <f>_xlfn.XLOOKUP($E208,'[1]Referensi New'!$D:$D,'[1]Referensi New'!$V:$V)</f>
        <v>CSOBKSB-16</v>
      </c>
    </row>
    <row r="209" spans="1:44" ht="16">
      <c r="A209" s="39" t="s">
        <v>20</v>
      </c>
      <c r="B209" s="39" t="s">
        <v>21</v>
      </c>
      <c r="C209" s="39" t="s">
        <v>314</v>
      </c>
      <c r="D209" s="39" t="s">
        <v>356</v>
      </c>
      <c r="E209" s="39" t="s">
        <v>357</v>
      </c>
      <c r="F209" s="39" t="s">
        <v>358</v>
      </c>
      <c r="G209" s="39" t="s">
        <v>359</v>
      </c>
      <c r="H209" s="39" t="s">
        <v>319</v>
      </c>
      <c r="I209" s="39" t="b">
        <v>0</v>
      </c>
      <c r="J209" s="39" t="s">
        <v>319</v>
      </c>
      <c r="K209" s="39" t="b">
        <v>0</v>
      </c>
      <c r="L209" s="39"/>
      <c r="M209" s="39" t="s">
        <v>1446</v>
      </c>
      <c r="N209" t="s">
        <v>1447</v>
      </c>
      <c r="O209" t="s">
        <v>1446</v>
      </c>
      <c r="P209" t="s">
        <v>1439</v>
      </c>
      <c r="Q209" s="39" t="s">
        <v>88</v>
      </c>
      <c r="R209" s="39" t="s">
        <v>45</v>
      </c>
      <c r="S209" s="39" t="s">
        <v>1448</v>
      </c>
      <c r="T209" s="39" t="s">
        <v>1448</v>
      </c>
      <c r="U209" s="39" t="s">
        <v>1448</v>
      </c>
      <c r="V209" s="39"/>
      <c r="W209" s="39" t="s">
        <v>1449</v>
      </c>
      <c r="X209" s="39" t="s">
        <v>1450</v>
      </c>
      <c r="Y209" s="39" t="s">
        <v>68</v>
      </c>
      <c r="Z209" s="39"/>
      <c r="AA209" s="39"/>
      <c r="AB209" s="44">
        <v>6289602778073</v>
      </c>
      <c r="AC209" s="39"/>
      <c r="AD209" s="39"/>
      <c r="AE209" s="39" t="s">
        <v>1451</v>
      </c>
      <c r="AF209" s="39"/>
      <c r="AG209" s="39" t="s">
        <v>358</v>
      </c>
      <c r="AH209" s="39" t="s">
        <v>1907</v>
      </c>
      <c r="AI209" s="39" t="s">
        <v>359</v>
      </c>
      <c r="AJ209" s="39" t="s">
        <v>1924</v>
      </c>
      <c r="AK209" t="b">
        <f t="shared" si="9"/>
        <v>1</v>
      </c>
      <c r="AL209" t="b">
        <f t="shared" si="10"/>
        <v>1</v>
      </c>
      <c r="AN209" t="e">
        <v>#N/A</v>
      </c>
      <c r="AP209" t="e">
        <f>_xlfn.XLOOKUP(F209,'Kolom info id dse &amp; part cd'!D:D,'Kolom info id dse &amp; part cd'!I:I)</f>
        <v>#N/A</v>
      </c>
      <c r="AQ209" t="e">
        <f t="shared" si="11"/>
        <v>#N/A</v>
      </c>
      <c r="AR209" t="str">
        <f>_xlfn.XLOOKUP($E209,'[1]Referensi New'!$D:$D,'[1]Referensi New'!$V:$V)</f>
        <v>DSEIN028</v>
      </c>
    </row>
    <row r="210" spans="1:44" ht="16">
      <c r="A210" s="39" t="s">
        <v>20</v>
      </c>
      <c r="B210" s="39" t="s">
        <v>21</v>
      </c>
      <c r="C210" s="39" t="s">
        <v>314</v>
      </c>
      <c r="D210" s="39" t="s">
        <v>381</v>
      </c>
      <c r="E210" s="39" t="s">
        <v>382</v>
      </c>
      <c r="F210" s="39" t="s">
        <v>383</v>
      </c>
      <c r="G210" s="39" t="s">
        <v>384</v>
      </c>
      <c r="H210" s="39" t="s">
        <v>165</v>
      </c>
      <c r="I210" s="39" t="b">
        <v>0</v>
      </c>
      <c r="J210" s="39" t="s">
        <v>165</v>
      </c>
      <c r="K210" s="39" t="b">
        <v>0</v>
      </c>
      <c r="L210" s="39"/>
      <c r="M210" s="39" t="s">
        <v>1452</v>
      </c>
      <c r="N210" t="s">
        <v>1453</v>
      </c>
      <c r="O210" t="s">
        <v>1452</v>
      </c>
      <c r="P210" t="s">
        <v>1439</v>
      </c>
      <c r="Q210" s="39" t="s">
        <v>88</v>
      </c>
      <c r="R210" s="39" t="s">
        <v>45</v>
      </c>
      <c r="S210" s="39" t="s">
        <v>1454</v>
      </c>
      <c r="T210" s="39" t="s">
        <v>1454</v>
      </c>
      <c r="U210" s="39" t="s">
        <v>1454</v>
      </c>
      <c r="V210" s="39"/>
      <c r="W210" s="39">
        <v>0</v>
      </c>
      <c r="X210" s="39" t="s">
        <v>1455</v>
      </c>
      <c r="Y210" s="39" t="s">
        <v>68</v>
      </c>
      <c r="Z210" s="39" t="s">
        <v>32</v>
      </c>
      <c r="AA210" s="39"/>
      <c r="AB210" s="44">
        <v>6289602778059</v>
      </c>
      <c r="AC210" s="39"/>
      <c r="AD210" s="39"/>
      <c r="AE210" s="39" t="s">
        <v>1456</v>
      </c>
      <c r="AF210" s="39"/>
      <c r="AG210" s="39" t="s">
        <v>383</v>
      </c>
      <c r="AH210" s="39" t="s">
        <v>1906</v>
      </c>
      <c r="AI210" s="39" t="s">
        <v>384</v>
      </c>
      <c r="AJ210" s="39" t="s">
        <v>1925</v>
      </c>
      <c r="AK210" t="b">
        <f t="shared" si="9"/>
        <v>1</v>
      </c>
      <c r="AL210" t="b">
        <f t="shared" si="10"/>
        <v>1</v>
      </c>
      <c r="AN210" t="e">
        <v>#N/A</v>
      </c>
      <c r="AP210" t="e">
        <f>_xlfn.XLOOKUP(F210,'Kolom info id dse &amp; part cd'!D:D,'Kolom info id dse &amp; part cd'!I:I)</f>
        <v>#N/A</v>
      </c>
      <c r="AQ210" t="e">
        <f t="shared" si="11"/>
        <v>#N/A</v>
      </c>
      <c r="AR210" t="str">
        <f>_xlfn.XLOOKUP($E210,'[1]Referensi New'!$D:$D,'[1]Referensi New'!$V:$V)</f>
        <v>DSEIN007</v>
      </c>
    </row>
    <row r="211" spans="1:44" ht="16">
      <c r="A211" s="39" t="s">
        <v>20</v>
      </c>
      <c r="B211" s="39" t="s">
        <v>21</v>
      </c>
      <c r="C211" s="39" t="s">
        <v>314</v>
      </c>
      <c r="D211" s="39" t="s">
        <v>315</v>
      </c>
      <c r="E211" s="39" t="s">
        <v>316</v>
      </c>
      <c r="F211" s="39" t="s">
        <v>317</v>
      </c>
      <c r="G211" s="39" t="s">
        <v>318</v>
      </c>
      <c r="H211" s="39" t="s">
        <v>319</v>
      </c>
      <c r="I211" s="39" t="b">
        <v>0</v>
      </c>
      <c r="J211" s="39" t="s">
        <v>319</v>
      </c>
      <c r="K211" s="39" t="b">
        <v>0</v>
      </c>
      <c r="L211" s="39"/>
      <c r="M211" s="39" t="s">
        <v>1457</v>
      </c>
      <c r="N211" t="s">
        <v>1458</v>
      </c>
      <c r="O211" t="s">
        <v>1457</v>
      </c>
      <c r="P211" t="s">
        <v>1439</v>
      </c>
      <c r="Q211" s="39" t="s">
        <v>88</v>
      </c>
      <c r="R211" s="39" t="s">
        <v>45</v>
      </c>
      <c r="S211" s="39" t="s">
        <v>1459</v>
      </c>
      <c r="T211" s="39" t="s">
        <v>1459</v>
      </c>
      <c r="U211" s="39" t="s">
        <v>1459</v>
      </c>
      <c r="V211" s="39"/>
      <c r="W211" s="39" t="s">
        <v>1460</v>
      </c>
      <c r="X211" s="39" t="s">
        <v>1461</v>
      </c>
      <c r="Y211" s="39" t="s">
        <v>68</v>
      </c>
      <c r="Z211" s="39"/>
      <c r="AA211" s="39"/>
      <c r="AB211" s="44">
        <v>6289602778076</v>
      </c>
      <c r="AC211" s="39"/>
      <c r="AD211" s="39"/>
      <c r="AE211" s="39" t="s">
        <v>1462</v>
      </c>
      <c r="AF211" s="39"/>
      <c r="AG211" s="39" t="s">
        <v>317</v>
      </c>
      <c r="AH211" s="39" t="s">
        <v>1907</v>
      </c>
      <c r="AI211" s="39" t="s">
        <v>318</v>
      </c>
      <c r="AJ211" s="39" t="s">
        <v>1923</v>
      </c>
      <c r="AK211" t="b">
        <f t="shared" si="9"/>
        <v>1</v>
      </c>
      <c r="AL211" t="b">
        <f t="shared" si="10"/>
        <v>1</v>
      </c>
      <c r="AN211" t="e">
        <v>#N/A</v>
      </c>
      <c r="AP211" t="e">
        <f>_xlfn.XLOOKUP(F211,'Kolom info id dse &amp; part cd'!D:D,'Kolom info id dse &amp; part cd'!I:I)</f>
        <v>#N/A</v>
      </c>
      <c r="AQ211" t="e">
        <f t="shared" si="11"/>
        <v>#N/A</v>
      </c>
      <c r="AR211" t="str">
        <f>_xlfn.XLOOKUP($E211,'[1]Referensi New'!$D:$D,'[1]Referensi New'!$V:$V)</f>
        <v>CSOBKSB-16</v>
      </c>
    </row>
    <row r="212" spans="1:44" ht="16">
      <c r="A212" s="39" t="s">
        <v>20</v>
      </c>
      <c r="B212" s="39" t="s">
        <v>21</v>
      </c>
      <c r="C212" s="39" t="s">
        <v>805</v>
      </c>
      <c r="D212" s="39" t="s">
        <v>820</v>
      </c>
      <c r="E212" s="39" t="s">
        <v>821</v>
      </c>
      <c r="F212" s="39" t="s">
        <v>822</v>
      </c>
      <c r="G212" s="39" t="s">
        <v>823</v>
      </c>
      <c r="H212" s="39" t="s">
        <v>635</v>
      </c>
      <c r="I212" s="39" t="b">
        <v>0</v>
      </c>
      <c r="J212" s="39" t="s">
        <v>635</v>
      </c>
      <c r="K212" s="39" t="b">
        <v>0</v>
      </c>
      <c r="L212" s="39"/>
      <c r="M212" s="39" t="s">
        <v>1463</v>
      </c>
      <c r="N212" t="s">
        <v>1464</v>
      </c>
      <c r="O212" t="s">
        <v>1463</v>
      </c>
      <c r="P212" t="s">
        <v>1439</v>
      </c>
      <c r="Q212" s="39" t="s">
        <v>88</v>
      </c>
      <c r="R212" s="39" t="s">
        <v>45</v>
      </c>
      <c r="S212" s="39" t="s">
        <v>1465</v>
      </c>
      <c r="T212" s="39" t="s">
        <v>1465</v>
      </c>
      <c r="U212" s="39" t="s">
        <v>1465</v>
      </c>
      <c r="V212" s="39"/>
      <c r="W212" s="39" t="s">
        <v>1466</v>
      </c>
      <c r="X212" s="39" t="s">
        <v>1467</v>
      </c>
      <c r="Y212" s="39" t="s">
        <v>68</v>
      </c>
      <c r="Z212" s="39"/>
      <c r="AA212" s="39"/>
      <c r="AB212" s="44">
        <v>6289602777917</v>
      </c>
      <c r="AC212" s="39"/>
      <c r="AD212" s="39"/>
      <c r="AE212" s="39" t="s">
        <v>1468</v>
      </c>
      <c r="AF212" s="39"/>
      <c r="AG212" s="39" t="s">
        <v>822</v>
      </c>
      <c r="AH212" s="39" t="s">
        <v>1908</v>
      </c>
      <c r="AI212" s="39" t="s">
        <v>823</v>
      </c>
      <c r="AJ212" s="39" t="s">
        <v>1931</v>
      </c>
      <c r="AK212" t="b">
        <f t="shared" si="9"/>
        <v>1</v>
      </c>
      <c r="AL212" t="b">
        <f t="shared" si="10"/>
        <v>1</v>
      </c>
      <c r="AN212" t="e">
        <v>#N/A</v>
      </c>
      <c r="AP212" t="e">
        <f>_xlfn.XLOOKUP(F212,'Kolom info id dse &amp; part cd'!D:D,'Kolom info id dse &amp; part cd'!I:I)</f>
        <v>#N/A</v>
      </c>
      <c r="AQ212" t="e">
        <f t="shared" si="11"/>
        <v>#N/A</v>
      </c>
      <c r="AR212" t="str">
        <f>_xlfn.XLOOKUP($E212,'[1]Referensi New'!$D:$D,'[1]Referensi New'!$V:$V)</f>
        <v>CSO-SELATAN-03</v>
      </c>
    </row>
    <row r="213" spans="1:44" ht="16">
      <c r="A213" s="39" t="s">
        <v>20</v>
      </c>
      <c r="B213" s="39" t="s">
        <v>21</v>
      </c>
      <c r="C213" s="39" t="s">
        <v>314</v>
      </c>
      <c r="D213" s="39" t="s">
        <v>381</v>
      </c>
      <c r="E213" s="39" t="s">
        <v>382</v>
      </c>
      <c r="F213" s="39" t="s">
        <v>383</v>
      </c>
      <c r="G213" s="39" t="s">
        <v>384</v>
      </c>
      <c r="H213" s="39" t="s">
        <v>165</v>
      </c>
      <c r="I213" s="39" t="b">
        <v>0</v>
      </c>
      <c r="J213" s="39" t="s">
        <v>165</v>
      </c>
      <c r="K213" s="39" t="b">
        <v>0</v>
      </c>
      <c r="L213" s="39"/>
      <c r="M213" s="39" t="s">
        <v>1469</v>
      </c>
      <c r="N213" t="s">
        <v>1470</v>
      </c>
      <c r="O213" t="s">
        <v>1469</v>
      </c>
      <c r="P213" t="s">
        <v>1439</v>
      </c>
      <c r="Q213" s="39" t="s">
        <v>88</v>
      </c>
      <c r="R213" s="39" t="s">
        <v>45</v>
      </c>
      <c r="S213" s="39" t="s">
        <v>1471</v>
      </c>
      <c r="T213" s="39" t="s">
        <v>1471</v>
      </c>
      <c r="U213" s="39" t="s">
        <v>1471</v>
      </c>
      <c r="V213" s="39"/>
      <c r="W213" s="39" t="s">
        <v>1472</v>
      </c>
      <c r="X213" s="39" t="s">
        <v>1473</v>
      </c>
      <c r="Y213" s="39" t="s">
        <v>68</v>
      </c>
      <c r="Z213" s="39"/>
      <c r="AA213" s="39"/>
      <c r="AB213" s="44">
        <v>6289602778055</v>
      </c>
      <c r="AC213" s="39"/>
      <c r="AD213" s="39"/>
      <c r="AE213" s="39" t="s">
        <v>1474</v>
      </c>
      <c r="AF213" s="39"/>
      <c r="AG213" s="39" t="s">
        <v>383</v>
      </c>
      <c r="AH213" s="39" t="s">
        <v>1906</v>
      </c>
      <c r="AI213" s="39" t="s">
        <v>384</v>
      </c>
      <c r="AJ213" s="39" t="s">
        <v>1925</v>
      </c>
      <c r="AK213" t="b">
        <f t="shared" si="9"/>
        <v>1</v>
      </c>
      <c r="AL213" t="b">
        <f t="shared" si="10"/>
        <v>1</v>
      </c>
      <c r="AN213" t="e">
        <v>#N/A</v>
      </c>
      <c r="AP213" t="e">
        <f>_xlfn.XLOOKUP(F213,'Kolom info id dse &amp; part cd'!D:D,'Kolom info id dse &amp; part cd'!I:I)</f>
        <v>#N/A</v>
      </c>
      <c r="AQ213" t="e">
        <f t="shared" si="11"/>
        <v>#N/A</v>
      </c>
      <c r="AR213" t="str">
        <f>_xlfn.XLOOKUP($E213,'[1]Referensi New'!$D:$D,'[1]Referensi New'!$V:$V)</f>
        <v>DSEIN007</v>
      </c>
    </row>
    <row r="214" spans="1:44" ht="16">
      <c r="A214" s="39" t="s">
        <v>20</v>
      </c>
      <c r="B214" s="39" t="s">
        <v>21</v>
      </c>
      <c r="C214" s="39" t="s">
        <v>314</v>
      </c>
      <c r="D214" s="39" t="s">
        <v>381</v>
      </c>
      <c r="E214" s="39" t="s">
        <v>382</v>
      </c>
      <c r="F214" s="39" t="s">
        <v>383</v>
      </c>
      <c r="G214" s="39" t="s">
        <v>384</v>
      </c>
      <c r="H214" s="39" t="s">
        <v>165</v>
      </c>
      <c r="I214" s="39" t="b">
        <v>0</v>
      </c>
      <c r="J214" s="39" t="s">
        <v>165</v>
      </c>
      <c r="K214" s="39" t="b">
        <v>0</v>
      </c>
      <c r="L214" s="39"/>
      <c r="M214" s="39" t="s">
        <v>1475</v>
      </c>
      <c r="N214" t="s">
        <v>1476</v>
      </c>
      <c r="O214" t="s">
        <v>1475</v>
      </c>
      <c r="P214" t="s">
        <v>1439</v>
      </c>
      <c r="Q214" s="39" t="s">
        <v>88</v>
      </c>
      <c r="R214" s="39" t="s">
        <v>44</v>
      </c>
      <c r="S214" s="39" t="s">
        <v>1477</v>
      </c>
      <c r="T214" s="39" t="s">
        <v>1478</v>
      </c>
      <c r="U214" s="39" t="s">
        <v>1477</v>
      </c>
      <c r="V214" s="39" t="b">
        <v>0</v>
      </c>
      <c r="W214" s="39" t="s">
        <v>1479</v>
      </c>
      <c r="X214" s="39" t="s">
        <v>1480</v>
      </c>
      <c r="Y214" s="39" t="s">
        <v>68</v>
      </c>
      <c r="Z214" s="39" t="s">
        <v>32</v>
      </c>
      <c r="AA214" s="39" t="s">
        <v>1481</v>
      </c>
      <c r="AB214" s="44">
        <v>628985561822</v>
      </c>
      <c r="AC214" s="39" t="s">
        <v>1482</v>
      </c>
      <c r="AD214" s="39"/>
      <c r="AE214" s="39" t="s">
        <v>1483</v>
      </c>
      <c r="AF214" s="39" t="s">
        <v>373</v>
      </c>
      <c r="AG214" s="39" t="s">
        <v>383</v>
      </c>
      <c r="AH214" s="39" t="s">
        <v>1906</v>
      </c>
      <c r="AI214" s="39" t="s">
        <v>384</v>
      </c>
      <c r="AJ214" s="39" t="s">
        <v>1925</v>
      </c>
      <c r="AK214" t="b">
        <f t="shared" si="9"/>
        <v>1</v>
      </c>
      <c r="AL214" t="b">
        <f t="shared" si="10"/>
        <v>1</v>
      </c>
      <c r="AN214" t="e">
        <v>#N/A</v>
      </c>
      <c r="AP214" t="e">
        <f>_xlfn.XLOOKUP(F214,'Kolom info id dse &amp; part cd'!D:D,'Kolom info id dse &amp; part cd'!I:I)</f>
        <v>#N/A</v>
      </c>
      <c r="AQ214" t="e">
        <f t="shared" si="11"/>
        <v>#N/A</v>
      </c>
      <c r="AR214" t="str">
        <f>_xlfn.XLOOKUP($E214,'[1]Referensi New'!$D:$D,'[1]Referensi New'!$V:$V)</f>
        <v>DSEIN007</v>
      </c>
    </row>
    <row r="215" spans="1:44" ht="16">
      <c r="A215" s="39" t="s">
        <v>20</v>
      </c>
      <c r="B215" s="39" t="s">
        <v>21</v>
      </c>
      <c r="C215" s="39" t="s">
        <v>805</v>
      </c>
      <c r="D215" s="39" t="s">
        <v>1414</v>
      </c>
      <c r="E215" s="39" t="s">
        <v>1415</v>
      </c>
      <c r="F215" s="39" t="s">
        <v>1416</v>
      </c>
      <c r="G215" s="39" t="s">
        <v>1417</v>
      </c>
      <c r="H215" s="39" t="s">
        <v>165</v>
      </c>
      <c r="I215" s="39" t="b">
        <v>0</v>
      </c>
      <c r="J215" s="39" t="s">
        <v>165</v>
      </c>
      <c r="K215" s="39" t="b">
        <v>0</v>
      </c>
      <c r="L215" s="39"/>
      <c r="M215" s="39" t="s">
        <v>1484</v>
      </c>
      <c r="N215" t="s">
        <v>1485</v>
      </c>
      <c r="O215" t="s">
        <v>1484</v>
      </c>
      <c r="P215" t="s">
        <v>1439</v>
      </c>
      <c r="Q215" s="39" t="s">
        <v>88</v>
      </c>
      <c r="R215" s="39" t="s">
        <v>45</v>
      </c>
      <c r="S215" s="39" t="s">
        <v>1486</v>
      </c>
      <c r="T215" s="39" t="s">
        <v>1486</v>
      </c>
      <c r="U215" s="39" t="s">
        <v>1486</v>
      </c>
      <c r="V215" s="39"/>
      <c r="W215" s="39" t="s">
        <v>1487</v>
      </c>
      <c r="X215" s="39" t="s">
        <v>1488</v>
      </c>
      <c r="Y215" s="39" t="s">
        <v>68</v>
      </c>
      <c r="Z215" s="39"/>
      <c r="AA215" s="39"/>
      <c r="AB215" s="44">
        <v>628985561827</v>
      </c>
      <c r="AC215" s="39"/>
      <c r="AD215" s="39"/>
      <c r="AE215" s="39" t="s">
        <v>1489</v>
      </c>
      <c r="AF215" s="39"/>
      <c r="AG215" s="39" t="s">
        <v>1416</v>
      </c>
      <c r="AH215" s="39" t="s">
        <v>1906</v>
      </c>
      <c r="AI215" s="39" t="s">
        <v>1417</v>
      </c>
      <c r="AJ215" s="39" t="s">
        <v>1937</v>
      </c>
      <c r="AK215" t="b">
        <f t="shared" si="9"/>
        <v>1</v>
      </c>
      <c r="AL215" t="b">
        <f t="shared" si="10"/>
        <v>1</v>
      </c>
      <c r="AN215" t="e">
        <v>#N/A</v>
      </c>
      <c r="AP215" t="e">
        <f>_xlfn.XLOOKUP(F215,'Kolom info id dse &amp; part cd'!D:D,'Kolom info id dse &amp; part cd'!I:I)</f>
        <v>#N/A</v>
      </c>
      <c r="AQ215" t="e">
        <f t="shared" si="11"/>
        <v>#N/A</v>
      </c>
      <c r="AR215" t="str">
        <f>_xlfn.XLOOKUP($E215,'[1]Referensi New'!$D:$D,'[1]Referensi New'!$V:$V)</f>
        <v>DSEIN008</v>
      </c>
    </row>
    <row r="216" spans="1:44" ht="16">
      <c r="A216" s="39" t="s">
        <v>20</v>
      </c>
      <c r="B216" s="39" t="s">
        <v>21</v>
      </c>
      <c r="C216" s="39" t="s">
        <v>805</v>
      </c>
      <c r="D216" s="39" t="s">
        <v>1414</v>
      </c>
      <c r="E216" s="39" t="s">
        <v>1415</v>
      </c>
      <c r="F216" s="39" t="s">
        <v>1416</v>
      </c>
      <c r="G216" s="39" t="s">
        <v>1417</v>
      </c>
      <c r="H216" s="39" t="s">
        <v>165</v>
      </c>
      <c r="I216" s="39" t="b">
        <v>0</v>
      </c>
      <c r="J216" s="39" t="s">
        <v>165</v>
      </c>
      <c r="K216" s="39" t="b">
        <v>0</v>
      </c>
      <c r="L216" s="39"/>
      <c r="M216" s="39" t="s">
        <v>1490</v>
      </c>
      <c r="N216" t="s">
        <v>1491</v>
      </c>
      <c r="O216" t="s">
        <v>1490</v>
      </c>
      <c r="P216" t="s">
        <v>1439</v>
      </c>
      <c r="Q216" s="39" t="s">
        <v>88</v>
      </c>
      <c r="R216" s="39" t="s">
        <v>45</v>
      </c>
      <c r="S216" s="39" t="s">
        <v>1492</v>
      </c>
      <c r="T216" s="39" t="s">
        <v>1492</v>
      </c>
      <c r="U216" s="39" t="s">
        <v>1492</v>
      </c>
      <c r="V216" s="39"/>
      <c r="W216" s="39" t="s">
        <v>1493</v>
      </c>
      <c r="X216" s="39" t="s">
        <v>1494</v>
      </c>
      <c r="Y216" s="39" t="s">
        <v>68</v>
      </c>
      <c r="Z216" s="39"/>
      <c r="AA216" s="39"/>
      <c r="AB216" s="44">
        <v>628985561829</v>
      </c>
      <c r="AC216" s="39"/>
      <c r="AD216" s="39"/>
      <c r="AE216" s="39" t="s">
        <v>1495</v>
      </c>
      <c r="AF216" s="39"/>
      <c r="AG216" s="39" t="s">
        <v>1416</v>
      </c>
      <c r="AH216" s="39" t="s">
        <v>1906</v>
      </c>
      <c r="AI216" s="39" t="s">
        <v>1417</v>
      </c>
      <c r="AJ216" s="39" t="s">
        <v>1937</v>
      </c>
      <c r="AK216" t="b">
        <f t="shared" si="9"/>
        <v>1</v>
      </c>
      <c r="AL216" t="b">
        <f t="shared" si="10"/>
        <v>1</v>
      </c>
      <c r="AN216" t="e">
        <v>#N/A</v>
      </c>
      <c r="AP216" t="e">
        <f>_xlfn.XLOOKUP(F216,'Kolom info id dse &amp; part cd'!D:D,'Kolom info id dse &amp; part cd'!I:I)</f>
        <v>#N/A</v>
      </c>
      <c r="AQ216" t="e">
        <f t="shared" si="11"/>
        <v>#N/A</v>
      </c>
      <c r="AR216" t="str">
        <f>_xlfn.XLOOKUP($E216,'[1]Referensi New'!$D:$D,'[1]Referensi New'!$V:$V)</f>
        <v>DSEIN008</v>
      </c>
    </row>
    <row r="217" spans="1:44" ht="16">
      <c r="A217" s="39" t="s">
        <v>20</v>
      </c>
      <c r="B217" s="39" t="s">
        <v>21</v>
      </c>
      <c r="C217" s="39" t="s">
        <v>805</v>
      </c>
      <c r="D217" s="39" t="s">
        <v>878</v>
      </c>
      <c r="E217" s="39" t="s">
        <v>879</v>
      </c>
      <c r="F217" s="39" t="s">
        <v>880</v>
      </c>
      <c r="G217" s="39" t="s">
        <v>881</v>
      </c>
      <c r="H217" s="39" t="s">
        <v>319</v>
      </c>
      <c r="I217" s="39" t="b">
        <v>0</v>
      </c>
      <c r="J217" s="39" t="s">
        <v>319</v>
      </c>
      <c r="K217" s="39" t="b">
        <v>0</v>
      </c>
      <c r="L217" s="39"/>
      <c r="M217" s="39" t="s">
        <v>1496</v>
      </c>
      <c r="N217" t="s">
        <v>1497</v>
      </c>
      <c r="O217" t="s">
        <v>1496</v>
      </c>
      <c r="P217" t="s">
        <v>1439</v>
      </c>
      <c r="Q217" s="39" t="s">
        <v>88</v>
      </c>
      <c r="R217" s="39" t="s">
        <v>45</v>
      </c>
      <c r="S217" s="39" t="s">
        <v>1498</v>
      </c>
      <c r="T217" s="39" t="s">
        <v>1498</v>
      </c>
      <c r="U217" s="39" t="s">
        <v>1498</v>
      </c>
      <c r="V217" s="39"/>
      <c r="W217" s="39" t="s">
        <v>1499</v>
      </c>
      <c r="X217" s="39" t="s">
        <v>1500</v>
      </c>
      <c r="Y217" s="39" t="s">
        <v>68</v>
      </c>
      <c r="Z217" s="39"/>
      <c r="AA217" s="39"/>
      <c r="AB217" s="44">
        <v>6289602777916</v>
      </c>
      <c r="AC217" s="39"/>
      <c r="AD217" s="39"/>
      <c r="AE217" s="39" t="s">
        <v>1501</v>
      </c>
      <c r="AF217" s="39"/>
      <c r="AG217" s="39" t="s">
        <v>880</v>
      </c>
      <c r="AH217" s="39" t="s">
        <v>1907</v>
      </c>
      <c r="AI217" s="39" t="s">
        <v>881</v>
      </c>
      <c r="AJ217" s="39" t="s">
        <v>1932</v>
      </c>
      <c r="AK217" t="b">
        <f t="shared" si="9"/>
        <v>1</v>
      </c>
      <c r="AL217" t="b">
        <f t="shared" si="10"/>
        <v>1</v>
      </c>
      <c r="AN217" t="e">
        <v>#N/A</v>
      </c>
      <c r="AP217" t="e">
        <f>_xlfn.XLOOKUP(F217,'Kolom info id dse &amp; part cd'!D:D,'Kolom info id dse &amp; part cd'!I:I)</f>
        <v>#N/A</v>
      </c>
      <c r="AQ217" t="e">
        <f t="shared" si="11"/>
        <v>#N/A</v>
      </c>
      <c r="AR217" t="str">
        <f>_xlfn.XLOOKUP($E217,'[1]Referensi New'!$D:$D,'[1]Referensi New'!$V:$V)</f>
        <v>CSO-UTARA-03</v>
      </c>
    </row>
    <row r="218" spans="1:44" ht="16">
      <c r="A218" s="39" t="s">
        <v>20</v>
      </c>
      <c r="B218" s="39" t="s">
        <v>21</v>
      </c>
      <c r="C218" s="39" t="s">
        <v>805</v>
      </c>
      <c r="D218" s="39" t="s">
        <v>878</v>
      </c>
      <c r="E218" s="39" t="s">
        <v>879</v>
      </c>
      <c r="F218" s="39" t="s">
        <v>880</v>
      </c>
      <c r="G218" s="39" t="s">
        <v>881</v>
      </c>
      <c r="H218" s="39" t="s">
        <v>319</v>
      </c>
      <c r="I218" s="39" t="b">
        <v>0</v>
      </c>
      <c r="J218" s="39" t="s">
        <v>319</v>
      </c>
      <c r="K218" s="39" t="b">
        <v>0</v>
      </c>
      <c r="L218" s="39"/>
      <c r="M218" s="39" t="s">
        <v>1502</v>
      </c>
      <c r="N218" t="s">
        <v>1503</v>
      </c>
      <c r="O218" t="s">
        <v>1502</v>
      </c>
      <c r="P218" t="s">
        <v>1439</v>
      </c>
      <c r="Q218" s="39" t="s">
        <v>88</v>
      </c>
      <c r="R218" s="39" t="s">
        <v>45</v>
      </c>
      <c r="S218" s="39" t="s">
        <v>1504</v>
      </c>
      <c r="T218" s="39" t="s">
        <v>1504</v>
      </c>
      <c r="U218" s="39" t="s">
        <v>1504</v>
      </c>
      <c r="V218" s="39"/>
      <c r="W218" s="39" t="s">
        <v>1505</v>
      </c>
      <c r="X218" s="39" t="s">
        <v>1506</v>
      </c>
      <c r="Y218" s="39" t="s">
        <v>68</v>
      </c>
      <c r="Z218" s="39"/>
      <c r="AA218" s="39"/>
      <c r="AB218" s="44">
        <v>6289602777912</v>
      </c>
      <c r="AC218" s="39"/>
      <c r="AD218" s="39"/>
      <c r="AE218" s="39" t="s">
        <v>1507</v>
      </c>
      <c r="AF218" s="39"/>
      <c r="AG218" s="39" t="s">
        <v>880</v>
      </c>
      <c r="AH218" s="39" t="s">
        <v>1907</v>
      </c>
      <c r="AI218" s="39" t="s">
        <v>881</v>
      </c>
      <c r="AJ218" s="39" t="s">
        <v>1932</v>
      </c>
      <c r="AK218" t="b">
        <f t="shared" si="9"/>
        <v>1</v>
      </c>
      <c r="AL218" t="b">
        <f t="shared" si="10"/>
        <v>1</v>
      </c>
      <c r="AN218" t="e">
        <v>#N/A</v>
      </c>
      <c r="AP218" t="e">
        <f>_xlfn.XLOOKUP(F218,'Kolom info id dse &amp; part cd'!D:D,'Kolom info id dse &amp; part cd'!I:I)</f>
        <v>#N/A</v>
      </c>
      <c r="AQ218" t="e">
        <f t="shared" si="11"/>
        <v>#N/A</v>
      </c>
      <c r="AR218" t="str">
        <f>_xlfn.XLOOKUP($E218,'[1]Referensi New'!$D:$D,'[1]Referensi New'!$V:$V)</f>
        <v>CSO-UTARA-03</v>
      </c>
    </row>
    <row r="219" spans="1:44" ht="16">
      <c r="A219" s="39" t="s">
        <v>20</v>
      </c>
      <c r="B219" s="39" t="s">
        <v>21</v>
      </c>
      <c r="C219" s="39" t="s">
        <v>805</v>
      </c>
      <c r="D219" s="39" t="s">
        <v>1386</v>
      </c>
      <c r="E219" s="39" t="s">
        <v>1387</v>
      </c>
      <c r="F219" s="39" t="s">
        <v>1388</v>
      </c>
      <c r="G219" s="39" t="s">
        <v>1389</v>
      </c>
      <c r="H219" s="39" t="s">
        <v>165</v>
      </c>
      <c r="I219" s="39" t="b">
        <v>0</v>
      </c>
      <c r="J219" s="39" t="s">
        <v>165</v>
      </c>
      <c r="K219" s="39" t="b">
        <v>0</v>
      </c>
      <c r="L219" s="39"/>
      <c r="M219" s="39" t="s">
        <v>1508</v>
      </c>
      <c r="N219" t="s">
        <v>1509</v>
      </c>
      <c r="O219" t="s">
        <v>1508</v>
      </c>
      <c r="P219" t="s">
        <v>1439</v>
      </c>
      <c r="Q219" s="39" t="s">
        <v>88</v>
      </c>
      <c r="R219" s="39" t="s">
        <v>44</v>
      </c>
      <c r="S219" s="39" t="s">
        <v>1510</v>
      </c>
      <c r="T219" s="39" t="s">
        <v>1510</v>
      </c>
      <c r="U219" s="39" t="s">
        <v>1510</v>
      </c>
      <c r="V219" s="39" t="b">
        <v>0</v>
      </c>
      <c r="W219" s="39" t="s">
        <v>1511</v>
      </c>
      <c r="X219" s="39" t="s">
        <v>1512</v>
      </c>
      <c r="Y219" s="39" t="s">
        <v>68</v>
      </c>
      <c r="Z219" s="39" t="s">
        <v>32</v>
      </c>
      <c r="AA219" s="39">
        <v>6289602777914</v>
      </c>
      <c r="AB219" s="44">
        <v>6289602777914</v>
      </c>
      <c r="AC219" s="39" t="s">
        <v>1513</v>
      </c>
      <c r="AD219" s="39" t="s">
        <v>35</v>
      </c>
      <c r="AE219" s="39" t="s">
        <v>1514</v>
      </c>
      <c r="AF219" s="39" t="s">
        <v>373</v>
      </c>
      <c r="AG219" s="39" t="s">
        <v>1388</v>
      </c>
      <c r="AH219" s="39" t="s">
        <v>1906</v>
      </c>
      <c r="AI219" s="39" t="s">
        <v>1389</v>
      </c>
      <c r="AJ219" s="39" t="s">
        <v>1937</v>
      </c>
      <c r="AK219" t="b">
        <f t="shared" si="9"/>
        <v>1</v>
      </c>
      <c r="AL219" t="b">
        <f t="shared" si="10"/>
        <v>1</v>
      </c>
      <c r="AN219" t="e">
        <v>#N/A</v>
      </c>
      <c r="AP219" t="e">
        <f>_xlfn.XLOOKUP(F219,'Kolom info id dse &amp; part cd'!D:D,'Kolom info id dse &amp; part cd'!I:I)</f>
        <v>#N/A</v>
      </c>
      <c r="AQ219" t="e">
        <f t="shared" si="11"/>
        <v>#N/A</v>
      </c>
      <c r="AR219" t="str">
        <f>_xlfn.XLOOKUP($E219,'[1]Referensi New'!$D:$D,'[1]Referensi New'!$V:$V)</f>
        <v>DSEIN012</v>
      </c>
    </row>
    <row r="220" spans="1:44" ht="16">
      <c r="A220" s="39" t="s">
        <v>20</v>
      </c>
      <c r="B220" s="39" t="s">
        <v>21</v>
      </c>
      <c r="C220" s="39" t="s">
        <v>58</v>
      </c>
      <c r="D220" s="39" t="s">
        <v>59</v>
      </c>
      <c r="E220" s="39" t="s">
        <v>60</v>
      </c>
      <c r="F220" s="39" t="s">
        <v>61</v>
      </c>
      <c r="G220" s="39" t="s">
        <v>62</v>
      </c>
      <c r="H220" s="39" t="s">
        <v>63</v>
      </c>
      <c r="I220" s="39" t="b">
        <v>0</v>
      </c>
      <c r="J220" s="39" t="s">
        <v>63</v>
      </c>
      <c r="K220" s="39" t="b">
        <v>0</v>
      </c>
      <c r="L220" s="39"/>
      <c r="M220" s="39" t="s">
        <v>1515</v>
      </c>
      <c r="N220" t="s">
        <v>1516</v>
      </c>
      <c r="O220" t="s">
        <v>1515</v>
      </c>
      <c r="P220" t="s">
        <v>1439</v>
      </c>
      <c r="Q220" s="39" t="s">
        <v>28</v>
      </c>
      <c r="R220" s="39" t="s">
        <v>45</v>
      </c>
      <c r="S220" s="39" t="s">
        <v>1517</v>
      </c>
      <c r="T220" s="39" t="s">
        <v>1517</v>
      </c>
      <c r="U220" s="39" t="s">
        <v>1517</v>
      </c>
      <c r="V220" s="39" t="b">
        <v>0</v>
      </c>
      <c r="W220" s="39" t="s">
        <v>1518</v>
      </c>
      <c r="X220" s="39" t="s">
        <v>1519</v>
      </c>
      <c r="Y220" s="39" t="s">
        <v>68</v>
      </c>
      <c r="Z220" s="39" t="s">
        <v>32</v>
      </c>
      <c r="AA220" s="39"/>
      <c r="AB220" s="44">
        <v>62895386853131</v>
      </c>
      <c r="AC220" s="39"/>
      <c r="AD220" s="39"/>
      <c r="AE220" s="39" t="s">
        <v>1520</v>
      </c>
      <c r="AF220" s="39" t="s">
        <v>519</v>
      </c>
      <c r="AG220" s="39" t="s">
        <v>61</v>
      </c>
      <c r="AH220" s="39" t="s">
        <v>1902</v>
      </c>
      <c r="AI220" s="39" t="s">
        <v>62</v>
      </c>
      <c r="AJ220" s="39" t="s">
        <v>1911</v>
      </c>
      <c r="AK220" t="b">
        <f t="shared" si="9"/>
        <v>1</v>
      </c>
      <c r="AL220" t="b">
        <f t="shared" si="10"/>
        <v>1</v>
      </c>
      <c r="AN220" t="e">
        <v>#N/A</v>
      </c>
      <c r="AP220" t="e">
        <f>_xlfn.XLOOKUP(F220,'Kolom info id dse &amp; part cd'!D:D,'Kolom info id dse &amp; part cd'!I:I)</f>
        <v>#N/A</v>
      </c>
      <c r="AQ220" t="e">
        <f t="shared" si="11"/>
        <v>#N/A</v>
      </c>
      <c r="AR220" t="str">
        <f>_xlfn.XLOOKUP($E220,'[1]Referensi New'!$D:$D,'[1]Referensi New'!$V:$V)</f>
        <v>DSEIN050</v>
      </c>
    </row>
    <row r="221" spans="1:44" ht="16">
      <c r="A221" s="39" t="s">
        <v>20</v>
      </c>
      <c r="B221" s="39" t="s">
        <v>21</v>
      </c>
      <c r="C221" s="39" t="s">
        <v>805</v>
      </c>
      <c r="D221" s="39" t="s">
        <v>866</v>
      </c>
      <c r="E221" s="39" t="s">
        <v>867</v>
      </c>
      <c r="F221" s="39" t="s">
        <v>868</v>
      </c>
      <c r="G221" s="39" t="s">
        <v>869</v>
      </c>
      <c r="H221" s="39" t="s">
        <v>319</v>
      </c>
      <c r="I221" s="39" t="b">
        <v>0</v>
      </c>
      <c r="J221" s="39" t="s">
        <v>319</v>
      </c>
      <c r="K221" s="39" t="b">
        <v>0</v>
      </c>
      <c r="L221" s="39"/>
      <c r="M221" s="39" t="s">
        <v>1529</v>
      </c>
      <c r="N221" t="s">
        <v>1530</v>
      </c>
      <c r="O221" t="s">
        <v>1529</v>
      </c>
      <c r="P221" t="s">
        <v>1439</v>
      </c>
      <c r="Q221" s="39" t="s">
        <v>88</v>
      </c>
      <c r="R221" s="39" t="s">
        <v>45</v>
      </c>
      <c r="S221" s="39" t="s">
        <v>1531</v>
      </c>
      <c r="T221" s="39" t="s">
        <v>1531</v>
      </c>
      <c r="U221" s="39" t="s">
        <v>1531</v>
      </c>
      <c r="V221" s="39"/>
      <c r="W221" s="39" t="s">
        <v>1532</v>
      </c>
      <c r="X221" s="39" t="s">
        <v>1533</v>
      </c>
      <c r="Y221" s="39" t="s">
        <v>68</v>
      </c>
      <c r="Z221" s="39"/>
      <c r="AA221" s="39"/>
      <c r="AB221" s="44">
        <v>6289602778083</v>
      </c>
      <c r="AC221" s="39"/>
      <c r="AD221" s="39"/>
      <c r="AE221" s="39" t="s">
        <v>1534</v>
      </c>
      <c r="AF221" s="39"/>
      <c r="AG221" s="39" t="s">
        <v>868</v>
      </c>
      <c r="AH221" s="39" t="s">
        <v>1907</v>
      </c>
      <c r="AI221" s="39" t="s">
        <v>869</v>
      </c>
      <c r="AJ221" s="39" t="s">
        <v>1932</v>
      </c>
      <c r="AK221" t="b">
        <f t="shared" si="9"/>
        <v>1</v>
      </c>
      <c r="AL221" t="b">
        <f t="shared" si="10"/>
        <v>1</v>
      </c>
      <c r="AN221" t="e">
        <v>#N/A</v>
      </c>
      <c r="AP221" t="e">
        <f>_xlfn.XLOOKUP(F221,'Kolom info id dse &amp; part cd'!D:D,'Kolom info id dse &amp; part cd'!I:I)</f>
        <v>#N/A</v>
      </c>
      <c r="AQ221" t="e">
        <f t="shared" si="11"/>
        <v>#N/A</v>
      </c>
      <c r="AR221" t="str">
        <f>_xlfn.XLOOKUP($E221,'[1]Referensi New'!$D:$D,'[1]Referensi New'!$V:$V)</f>
        <v>CSO-UTARA-02</v>
      </c>
    </row>
    <row r="222" spans="1:44" ht="16">
      <c r="A222" s="39" t="s">
        <v>20</v>
      </c>
      <c r="B222" s="39" t="s">
        <v>21</v>
      </c>
      <c r="C222" s="39" t="s">
        <v>805</v>
      </c>
      <c r="D222" s="39" t="s">
        <v>1386</v>
      </c>
      <c r="E222" s="39" t="s">
        <v>1387</v>
      </c>
      <c r="F222" s="39" t="s">
        <v>1388</v>
      </c>
      <c r="G222" s="39" t="s">
        <v>1389</v>
      </c>
      <c r="H222" s="39" t="s">
        <v>165</v>
      </c>
      <c r="I222" s="39" t="b">
        <v>0</v>
      </c>
      <c r="J222" s="39" t="s">
        <v>165</v>
      </c>
      <c r="K222" s="39" t="b">
        <v>0</v>
      </c>
      <c r="L222" s="39"/>
      <c r="M222" s="39" t="s">
        <v>1541</v>
      </c>
      <c r="N222" t="s">
        <v>1542</v>
      </c>
      <c r="O222" t="s">
        <v>1541</v>
      </c>
      <c r="P222" t="s">
        <v>1439</v>
      </c>
      <c r="Q222" s="39" t="s">
        <v>88</v>
      </c>
      <c r="R222" s="39" t="s">
        <v>45</v>
      </c>
      <c r="S222" s="39" t="s">
        <v>1543</v>
      </c>
      <c r="T222" s="39" t="s">
        <v>1543</v>
      </c>
      <c r="U222" s="39" t="s">
        <v>1543</v>
      </c>
      <c r="V222" s="39"/>
      <c r="W222" s="39" t="s">
        <v>1544</v>
      </c>
      <c r="X222" s="39" t="s">
        <v>1545</v>
      </c>
      <c r="Y222" s="39" t="s">
        <v>68</v>
      </c>
      <c r="Z222" s="39" t="s">
        <v>32</v>
      </c>
      <c r="AA222" s="39"/>
      <c r="AB222" s="44">
        <v>6289602777908</v>
      </c>
      <c r="AC222" s="39"/>
      <c r="AD222" s="39"/>
      <c r="AE222" s="39" t="s">
        <v>1546</v>
      </c>
      <c r="AF222" s="39"/>
      <c r="AG222" s="39" t="s">
        <v>1388</v>
      </c>
      <c r="AH222" s="39" t="s">
        <v>1906</v>
      </c>
      <c r="AI222" s="39" t="s">
        <v>1389</v>
      </c>
      <c r="AJ222" s="39" t="s">
        <v>1937</v>
      </c>
      <c r="AK222" t="b">
        <f t="shared" si="9"/>
        <v>1</v>
      </c>
      <c r="AL222" t="b">
        <f t="shared" si="10"/>
        <v>1</v>
      </c>
      <c r="AN222" t="e">
        <v>#N/A</v>
      </c>
      <c r="AP222" t="e">
        <f>_xlfn.XLOOKUP(F222,'Kolom info id dse &amp; part cd'!D:D,'Kolom info id dse &amp; part cd'!I:I)</f>
        <v>#N/A</v>
      </c>
      <c r="AQ222" t="e">
        <f t="shared" si="11"/>
        <v>#N/A</v>
      </c>
      <c r="AR222" t="str">
        <f>_xlfn.XLOOKUP($E222,'[1]Referensi New'!$D:$D,'[1]Referensi New'!$V:$V)</f>
        <v>DSEIN012</v>
      </c>
    </row>
    <row r="223" spans="1:44" ht="16">
      <c r="A223" s="39" t="s">
        <v>20</v>
      </c>
      <c r="B223" s="39" t="s">
        <v>21</v>
      </c>
      <c r="C223" s="39" t="s">
        <v>314</v>
      </c>
      <c r="D223" s="39" t="s">
        <v>356</v>
      </c>
      <c r="E223" s="39" t="s">
        <v>357</v>
      </c>
      <c r="F223" s="39" t="s">
        <v>358</v>
      </c>
      <c r="G223" s="39" t="s">
        <v>359</v>
      </c>
      <c r="H223" s="39" t="s">
        <v>319</v>
      </c>
      <c r="I223" s="39" t="b">
        <v>0</v>
      </c>
      <c r="J223" s="39" t="s">
        <v>319</v>
      </c>
      <c r="K223" s="39" t="b">
        <v>0</v>
      </c>
      <c r="L223" s="39"/>
      <c r="M223" s="39" t="s">
        <v>1547</v>
      </c>
      <c r="N223" t="s">
        <v>1548</v>
      </c>
      <c r="O223" t="s">
        <v>1547</v>
      </c>
      <c r="P223" t="s">
        <v>1439</v>
      </c>
      <c r="Q223" s="39" t="s">
        <v>88</v>
      </c>
      <c r="R223" s="39" t="s">
        <v>44</v>
      </c>
      <c r="S223" s="39" t="s">
        <v>1549</v>
      </c>
      <c r="T223" s="39" t="s">
        <v>1549</v>
      </c>
      <c r="U223" s="39" t="s">
        <v>1549</v>
      </c>
      <c r="V223" s="39" t="b">
        <v>0</v>
      </c>
      <c r="W223" s="39" t="s">
        <v>1550</v>
      </c>
      <c r="X223" s="39" t="s">
        <v>1551</v>
      </c>
      <c r="Y223" s="39" t="s">
        <v>68</v>
      </c>
      <c r="Z223" s="39" t="s">
        <v>32</v>
      </c>
      <c r="AA223" s="39" t="s">
        <v>1552</v>
      </c>
      <c r="AB223" s="44">
        <v>628985560042</v>
      </c>
      <c r="AC223" s="39" t="s">
        <v>1553</v>
      </c>
      <c r="AD223" s="39"/>
      <c r="AE223" s="39" t="s">
        <v>1554</v>
      </c>
      <c r="AF223" s="39" t="s">
        <v>373</v>
      </c>
      <c r="AG223" s="39" t="s">
        <v>358</v>
      </c>
      <c r="AH223" s="39" t="s">
        <v>1907</v>
      </c>
      <c r="AI223" s="39" t="s">
        <v>359</v>
      </c>
      <c r="AJ223" s="39" t="s">
        <v>1924</v>
      </c>
      <c r="AK223" t="b">
        <f t="shared" si="9"/>
        <v>1</v>
      </c>
      <c r="AL223" t="b">
        <f t="shared" si="10"/>
        <v>1</v>
      </c>
      <c r="AN223" t="e">
        <v>#N/A</v>
      </c>
      <c r="AP223" t="e">
        <f>_xlfn.XLOOKUP(F223,'Kolom info id dse &amp; part cd'!D:D,'Kolom info id dse &amp; part cd'!I:I)</f>
        <v>#N/A</v>
      </c>
      <c r="AQ223" t="e">
        <f t="shared" si="11"/>
        <v>#N/A</v>
      </c>
      <c r="AR223" t="str">
        <f>_xlfn.XLOOKUP($E223,'[1]Referensi New'!$D:$D,'[1]Referensi New'!$V:$V)</f>
        <v>DSEIN028</v>
      </c>
    </row>
    <row r="224" spans="1:44" ht="16">
      <c r="A224" s="39" t="s">
        <v>20</v>
      </c>
      <c r="B224" s="39" t="s">
        <v>21</v>
      </c>
      <c r="C224" s="39" t="s">
        <v>314</v>
      </c>
      <c r="D224" s="39" t="s">
        <v>381</v>
      </c>
      <c r="E224" s="39" t="s">
        <v>382</v>
      </c>
      <c r="F224" s="39" t="s">
        <v>383</v>
      </c>
      <c r="G224" s="39" t="s">
        <v>384</v>
      </c>
      <c r="H224" s="39" t="s">
        <v>165</v>
      </c>
      <c r="I224" s="39" t="b">
        <v>0</v>
      </c>
      <c r="J224" s="39" t="s">
        <v>165</v>
      </c>
      <c r="K224" s="39" t="b">
        <v>0</v>
      </c>
      <c r="L224" s="39"/>
      <c r="M224" s="39" t="s">
        <v>1555</v>
      </c>
      <c r="N224" t="s">
        <v>1556</v>
      </c>
      <c r="O224" t="s">
        <v>1555</v>
      </c>
      <c r="P224" t="s">
        <v>1439</v>
      </c>
      <c r="Q224" s="39" t="s">
        <v>88</v>
      </c>
      <c r="R224" s="39" t="s">
        <v>45</v>
      </c>
      <c r="S224" s="39" t="s">
        <v>1557</v>
      </c>
      <c r="T224" s="39" t="s">
        <v>1557</v>
      </c>
      <c r="U224" s="39" t="s">
        <v>1557</v>
      </c>
      <c r="V224" s="39"/>
      <c r="W224" s="39" t="s">
        <v>1558</v>
      </c>
      <c r="X224" s="39" t="s">
        <v>1559</v>
      </c>
      <c r="Y224" s="39" t="s">
        <v>68</v>
      </c>
      <c r="Z224" s="39"/>
      <c r="AA224" s="39"/>
      <c r="AB224" s="44">
        <v>6289602778072</v>
      </c>
      <c r="AC224" s="39"/>
      <c r="AD224" s="39"/>
      <c r="AE224" s="39" t="s">
        <v>1560</v>
      </c>
      <c r="AF224" s="39"/>
      <c r="AG224" s="39" t="s">
        <v>383</v>
      </c>
      <c r="AH224" s="39" t="s">
        <v>1906</v>
      </c>
      <c r="AI224" s="39" t="s">
        <v>384</v>
      </c>
      <c r="AJ224" s="39" t="s">
        <v>1925</v>
      </c>
      <c r="AK224" t="b">
        <f t="shared" si="9"/>
        <v>1</v>
      </c>
      <c r="AL224" t="b">
        <f t="shared" si="10"/>
        <v>1</v>
      </c>
      <c r="AN224" t="e">
        <v>#N/A</v>
      </c>
      <c r="AP224" t="e">
        <f>_xlfn.XLOOKUP(F224,'Kolom info id dse &amp; part cd'!D:D,'Kolom info id dse &amp; part cd'!I:I)</f>
        <v>#N/A</v>
      </c>
      <c r="AQ224" t="e">
        <f t="shared" si="11"/>
        <v>#N/A</v>
      </c>
      <c r="AR224" t="str">
        <f>_xlfn.XLOOKUP($E224,'[1]Referensi New'!$D:$D,'[1]Referensi New'!$V:$V)</f>
        <v>DSEIN007</v>
      </c>
    </row>
    <row r="225" spans="1:44" ht="16">
      <c r="A225" s="39" t="s">
        <v>20</v>
      </c>
      <c r="B225" s="39" t="s">
        <v>21</v>
      </c>
      <c r="C225" s="39" t="s">
        <v>314</v>
      </c>
      <c r="D225" s="39" t="s">
        <v>381</v>
      </c>
      <c r="E225" s="39" t="s">
        <v>382</v>
      </c>
      <c r="F225" s="39" t="s">
        <v>383</v>
      </c>
      <c r="G225" s="39" t="s">
        <v>384</v>
      </c>
      <c r="H225" s="39" t="s">
        <v>165</v>
      </c>
      <c r="I225" s="39" t="b">
        <v>0</v>
      </c>
      <c r="J225" s="39" t="s">
        <v>165</v>
      </c>
      <c r="K225" s="39" t="b">
        <v>0</v>
      </c>
      <c r="L225" s="39"/>
      <c r="M225" s="39" t="s">
        <v>1561</v>
      </c>
      <c r="N225" t="s">
        <v>1562</v>
      </c>
      <c r="O225" t="s">
        <v>1561</v>
      </c>
      <c r="P225" t="s">
        <v>1439</v>
      </c>
      <c r="Q225" s="39" t="s">
        <v>88</v>
      </c>
      <c r="R225" s="39" t="s">
        <v>44</v>
      </c>
      <c r="S225" s="39" t="s">
        <v>1563</v>
      </c>
      <c r="T225" s="39" t="s">
        <v>1563</v>
      </c>
      <c r="U225" s="39" t="s">
        <v>1564</v>
      </c>
      <c r="V225" s="39" t="b">
        <v>0</v>
      </c>
      <c r="W225" s="39" t="s">
        <v>1565</v>
      </c>
      <c r="X225" s="39" t="s">
        <v>1566</v>
      </c>
      <c r="Y225" s="39" t="s">
        <v>68</v>
      </c>
      <c r="Z225" s="39" t="s">
        <v>32</v>
      </c>
      <c r="AA225" s="39" t="s">
        <v>1567</v>
      </c>
      <c r="AB225" s="44">
        <v>628985560095</v>
      </c>
      <c r="AC225" s="39" t="s">
        <v>1568</v>
      </c>
      <c r="AD225" s="39"/>
      <c r="AE225" s="39" t="s">
        <v>1569</v>
      </c>
      <c r="AF225" s="39" t="s">
        <v>373</v>
      </c>
      <c r="AG225" s="39" t="s">
        <v>383</v>
      </c>
      <c r="AH225" s="39" t="s">
        <v>1906</v>
      </c>
      <c r="AI225" s="39" t="s">
        <v>384</v>
      </c>
      <c r="AJ225" s="39" t="s">
        <v>1925</v>
      </c>
      <c r="AK225" t="b">
        <f t="shared" si="9"/>
        <v>1</v>
      </c>
      <c r="AL225" t="b">
        <f t="shared" si="10"/>
        <v>1</v>
      </c>
      <c r="AN225" t="e">
        <v>#N/A</v>
      </c>
      <c r="AP225" t="e">
        <f>_xlfn.XLOOKUP(F225,'Kolom info id dse &amp; part cd'!D:D,'Kolom info id dse &amp; part cd'!I:I)</f>
        <v>#N/A</v>
      </c>
      <c r="AQ225" t="e">
        <f t="shared" si="11"/>
        <v>#N/A</v>
      </c>
      <c r="AR225" t="str">
        <f>_xlfn.XLOOKUP($E225,'[1]Referensi New'!$D:$D,'[1]Referensi New'!$V:$V)</f>
        <v>DSEIN007</v>
      </c>
    </row>
    <row r="226" spans="1:44" ht="16">
      <c r="A226" s="39" t="s">
        <v>20</v>
      </c>
      <c r="B226" s="39" t="s">
        <v>21</v>
      </c>
      <c r="C226" s="39" t="s">
        <v>805</v>
      </c>
      <c r="D226" s="39" t="s">
        <v>878</v>
      </c>
      <c r="E226" s="39" t="s">
        <v>879</v>
      </c>
      <c r="F226" s="39" t="s">
        <v>880</v>
      </c>
      <c r="G226" s="39" t="s">
        <v>881</v>
      </c>
      <c r="H226" s="39" t="s">
        <v>319</v>
      </c>
      <c r="I226" s="39" t="b">
        <v>0</v>
      </c>
      <c r="J226" s="39" t="s">
        <v>319</v>
      </c>
      <c r="K226" s="39" t="b">
        <v>0</v>
      </c>
      <c r="L226" s="39"/>
      <c r="M226" s="39" t="s">
        <v>1570</v>
      </c>
      <c r="N226" t="s">
        <v>1571</v>
      </c>
      <c r="O226" t="s">
        <v>1570</v>
      </c>
      <c r="P226" t="s">
        <v>1439</v>
      </c>
      <c r="Q226" s="39" t="s">
        <v>88</v>
      </c>
      <c r="R226" s="39" t="s">
        <v>45</v>
      </c>
      <c r="S226" s="39" t="s">
        <v>1572</v>
      </c>
      <c r="T226" s="39" t="s">
        <v>1572</v>
      </c>
      <c r="U226" s="39" t="s">
        <v>1572</v>
      </c>
      <c r="V226" s="39"/>
      <c r="W226" s="39" t="s">
        <v>1573</v>
      </c>
      <c r="X226" s="39" t="s">
        <v>1574</v>
      </c>
      <c r="Y226" s="39" t="s">
        <v>68</v>
      </c>
      <c r="Z226" s="39"/>
      <c r="AA226" s="39"/>
      <c r="AB226" s="44">
        <v>628998368366</v>
      </c>
      <c r="AC226" s="39"/>
      <c r="AD226" s="39"/>
      <c r="AE226" s="39" t="s">
        <v>1575</v>
      </c>
      <c r="AF226" s="39"/>
      <c r="AG226" s="39" t="s">
        <v>880</v>
      </c>
      <c r="AH226" s="39" t="s">
        <v>1907</v>
      </c>
      <c r="AI226" s="39" t="s">
        <v>881</v>
      </c>
      <c r="AJ226" s="39" t="s">
        <v>1932</v>
      </c>
      <c r="AK226" t="b">
        <f t="shared" si="9"/>
        <v>1</v>
      </c>
      <c r="AL226" t="b">
        <f t="shared" si="10"/>
        <v>1</v>
      </c>
      <c r="AN226" t="e">
        <v>#N/A</v>
      </c>
      <c r="AP226" t="e">
        <f>_xlfn.XLOOKUP(F226,'Kolom info id dse &amp; part cd'!D:D,'Kolom info id dse &amp; part cd'!I:I)</f>
        <v>#N/A</v>
      </c>
      <c r="AQ226" t="e">
        <f t="shared" si="11"/>
        <v>#N/A</v>
      </c>
      <c r="AR226" t="str">
        <f>_xlfn.XLOOKUP($E226,'[1]Referensi New'!$D:$D,'[1]Referensi New'!$V:$V)</f>
        <v>CSO-UTARA-03</v>
      </c>
    </row>
    <row r="227" spans="1:44" ht="16">
      <c r="A227" s="39" t="s">
        <v>20</v>
      </c>
      <c r="B227" s="39" t="s">
        <v>21</v>
      </c>
      <c r="C227" s="39" t="s">
        <v>314</v>
      </c>
      <c r="D227" s="39" t="s">
        <v>315</v>
      </c>
      <c r="E227" s="39" t="s">
        <v>316</v>
      </c>
      <c r="F227" s="39" t="s">
        <v>317</v>
      </c>
      <c r="G227" s="39" t="s">
        <v>318</v>
      </c>
      <c r="H227" s="39" t="s">
        <v>319</v>
      </c>
      <c r="I227" s="39" t="b">
        <v>0</v>
      </c>
      <c r="J227" s="39" t="s">
        <v>319</v>
      </c>
      <c r="K227" s="39" t="b">
        <v>0</v>
      </c>
      <c r="L227" s="39"/>
      <c r="M227" s="39" t="s">
        <v>1576</v>
      </c>
      <c r="N227" t="s">
        <v>1577</v>
      </c>
      <c r="O227" t="s">
        <v>1576</v>
      </c>
      <c r="P227" t="s">
        <v>1439</v>
      </c>
      <c r="Q227" s="39" t="s">
        <v>88</v>
      </c>
      <c r="R227" s="39" t="s">
        <v>44</v>
      </c>
      <c r="S227" s="39" t="s">
        <v>1578</v>
      </c>
      <c r="T227" s="39" t="s">
        <v>1579</v>
      </c>
      <c r="U227" s="39" t="s">
        <v>1578</v>
      </c>
      <c r="V227" s="39" t="b">
        <v>0</v>
      </c>
      <c r="W227" s="39" t="s">
        <v>1580</v>
      </c>
      <c r="X227" s="39" t="s">
        <v>1581</v>
      </c>
      <c r="Y227" s="39" t="s">
        <v>68</v>
      </c>
      <c r="Z227" s="39" t="s">
        <v>32</v>
      </c>
      <c r="AA227" s="39" t="s">
        <v>1582</v>
      </c>
      <c r="AB227" s="44">
        <v>6289602778077</v>
      </c>
      <c r="AC227" s="39" t="s">
        <v>1583</v>
      </c>
      <c r="AD227" s="39"/>
      <c r="AE227" s="39" t="s">
        <v>1584</v>
      </c>
      <c r="AF227" s="39" t="s">
        <v>373</v>
      </c>
      <c r="AG227" s="39" t="s">
        <v>317</v>
      </c>
      <c r="AH227" s="39" t="s">
        <v>1907</v>
      </c>
      <c r="AI227" s="39" t="s">
        <v>318</v>
      </c>
      <c r="AJ227" s="39" t="s">
        <v>1923</v>
      </c>
      <c r="AK227" t="b">
        <f t="shared" si="9"/>
        <v>1</v>
      </c>
      <c r="AL227" t="b">
        <f t="shared" si="10"/>
        <v>1</v>
      </c>
      <c r="AN227" t="e">
        <v>#N/A</v>
      </c>
      <c r="AP227" t="e">
        <f>_xlfn.XLOOKUP(F227,'Kolom info id dse &amp; part cd'!D:D,'Kolom info id dse &amp; part cd'!I:I)</f>
        <v>#N/A</v>
      </c>
      <c r="AQ227" t="e">
        <f t="shared" si="11"/>
        <v>#N/A</v>
      </c>
      <c r="AR227" t="str">
        <f>_xlfn.XLOOKUP($E227,'[1]Referensi New'!$D:$D,'[1]Referensi New'!$V:$V)</f>
        <v>CSOBKSB-16</v>
      </c>
    </row>
    <row r="228" spans="1:44" ht="16">
      <c r="A228" s="39" t="s">
        <v>20</v>
      </c>
      <c r="B228" s="39" t="s">
        <v>21</v>
      </c>
      <c r="C228" s="39" t="s">
        <v>805</v>
      </c>
      <c r="D228" s="39" t="s">
        <v>838</v>
      </c>
      <c r="E228" s="39" t="s">
        <v>839</v>
      </c>
      <c r="F228" s="39" t="s">
        <v>840</v>
      </c>
      <c r="G228" s="39" t="s">
        <v>841</v>
      </c>
      <c r="H228" s="39" t="s">
        <v>635</v>
      </c>
      <c r="I228" s="39" t="b">
        <v>0</v>
      </c>
      <c r="J228" s="39" t="s">
        <v>635</v>
      </c>
      <c r="K228" s="39" t="b">
        <v>0</v>
      </c>
      <c r="L228" s="39"/>
      <c r="M228" s="39" t="s">
        <v>1592</v>
      </c>
      <c r="N228" t="s">
        <v>1593</v>
      </c>
      <c r="O228" t="s">
        <v>1592</v>
      </c>
      <c r="P228" t="s">
        <v>1439</v>
      </c>
      <c r="Q228" s="39" t="s">
        <v>88</v>
      </c>
      <c r="R228" s="39" t="s">
        <v>45</v>
      </c>
      <c r="S228" s="39" t="s">
        <v>1594</v>
      </c>
      <c r="T228" s="39" t="s">
        <v>1594</v>
      </c>
      <c r="U228" s="39" t="s">
        <v>1594</v>
      </c>
      <c r="V228" s="39"/>
      <c r="W228" s="39" t="s">
        <v>1595</v>
      </c>
      <c r="X228" s="39" t="s">
        <v>1596</v>
      </c>
      <c r="Y228" s="39" t="s">
        <v>68</v>
      </c>
      <c r="Z228" s="39"/>
      <c r="AA228" s="39"/>
      <c r="AB228" s="44">
        <v>6289602777922</v>
      </c>
      <c r="AC228" s="39"/>
      <c r="AD228" s="39"/>
      <c r="AE228" s="39" t="s">
        <v>1597</v>
      </c>
      <c r="AF228" s="39"/>
      <c r="AG228" s="39" t="s">
        <v>840</v>
      </c>
      <c r="AH228" s="39" t="s">
        <v>1908</v>
      </c>
      <c r="AI228" s="39" t="s">
        <v>841</v>
      </c>
      <c r="AJ228" s="39" t="s">
        <v>1931</v>
      </c>
      <c r="AK228" t="b">
        <f t="shared" si="9"/>
        <v>1</v>
      </c>
      <c r="AL228" t="b">
        <f t="shared" si="10"/>
        <v>1</v>
      </c>
      <c r="AN228" t="e">
        <v>#N/A</v>
      </c>
      <c r="AP228" t="e">
        <f>_xlfn.XLOOKUP(F228,'Kolom info id dse &amp; part cd'!D:D,'Kolom info id dse &amp; part cd'!I:I)</f>
        <v>#N/A</v>
      </c>
      <c r="AQ228" t="e">
        <f t="shared" si="11"/>
        <v>#N/A</v>
      </c>
      <c r="AR228" t="str">
        <f>_xlfn.XLOOKUP($E228,'[1]Referensi New'!$D:$D,'[1]Referensi New'!$V:$V)</f>
        <v>CSO-SELATAN-07</v>
      </c>
    </row>
    <row r="229" spans="1:44" ht="16">
      <c r="A229" s="39" t="s">
        <v>20</v>
      </c>
      <c r="B229" s="39" t="s">
        <v>21</v>
      </c>
      <c r="C229" s="39" t="s">
        <v>805</v>
      </c>
      <c r="D229" s="39" t="s">
        <v>866</v>
      </c>
      <c r="E229" s="39" t="s">
        <v>867</v>
      </c>
      <c r="F229" s="39" t="s">
        <v>868</v>
      </c>
      <c r="G229" s="39" t="s">
        <v>869</v>
      </c>
      <c r="H229" s="39" t="s">
        <v>319</v>
      </c>
      <c r="I229" s="39" t="b">
        <v>0</v>
      </c>
      <c r="J229" s="39" t="s">
        <v>319</v>
      </c>
      <c r="K229" s="39" t="b">
        <v>0</v>
      </c>
      <c r="L229" s="39"/>
      <c r="M229" s="39" t="s">
        <v>1598</v>
      </c>
      <c r="N229" t="s">
        <v>1599</v>
      </c>
      <c r="O229" t="s">
        <v>1598</v>
      </c>
      <c r="P229" t="s">
        <v>1439</v>
      </c>
      <c r="Q229" s="39" t="s">
        <v>88</v>
      </c>
      <c r="R229" s="39" t="s">
        <v>45</v>
      </c>
      <c r="S229" s="39" t="s">
        <v>1600</v>
      </c>
      <c r="T229" s="39" t="s">
        <v>1600</v>
      </c>
      <c r="U229" s="39" t="s">
        <v>1600</v>
      </c>
      <c r="V229" s="39"/>
      <c r="W229" s="39" t="s">
        <v>1601</v>
      </c>
      <c r="X229" s="39" t="s">
        <v>1602</v>
      </c>
      <c r="Y229" s="39" t="s">
        <v>68</v>
      </c>
      <c r="Z229" s="39"/>
      <c r="AA229" s="39"/>
      <c r="AB229" s="44">
        <v>628985561838</v>
      </c>
      <c r="AC229" s="39"/>
      <c r="AD229" s="39"/>
      <c r="AE229" s="39" t="s">
        <v>1603</v>
      </c>
      <c r="AF229" s="39"/>
      <c r="AG229" s="39" t="s">
        <v>868</v>
      </c>
      <c r="AH229" s="39" t="s">
        <v>1907</v>
      </c>
      <c r="AI229" s="39" t="s">
        <v>869</v>
      </c>
      <c r="AJ229" s="39" t="s">
        <v>1932</v>
      </c>
      <c r="AK229" t="b">
        <f t="shared" si="9"/>
        <v>1</v>
      </c>
      <c r="AL229" t="b">
        <f t="shared" si="10"/>
        <v>1</v>
      </c>
      <c r="AN229" t="e">
        <v>#N/A</v>
      </c>
      <c r="AP229" t="e">
        <f>_xlfn.XLOOKUP(F229,'Kolom info id dse &amp; part cd'!D:D,'Kolom info id dse &amp; part cd'!I:I)</f>
        <v>#N/A</v>
      </c>
      <c r="AQ229" t="e">
        <f t="shared" si="11"/>
        <v>#N/A</v>
      </c>
      <c r="AR229" t="str">
        <f>_xlfn.XLOOKUP($E229,'[1]Referensi New'!$D:$D,'[1]Referensi New'!$V:$V)</f>
        <v>CSO-UTARA-02</v>
      </c>
    </row>
    <row r="230" spans="1:44" ht="16">
      <c r="A230" s="39" t="s">
        <v>20</v>
      </c>
      <c r="B230" s="39" t="s">
        <v>21</v>
      </c>
      <c r="C230" s="39" t="s">
        <v>314</v>
      </c>
      <c r="D230" s="39" t="s">
        <v>381</v>
      </c>
      <c r="E230" s="39" t="s">
        <v>382</v>
      </c>
      <c r="F230" s="39" t="s">
        <v>383</v>
      </c>
      <c r="G230" s="39" t="s">
        <v>384</v>
      </c>
      <c r="H230" s="39" t="s">
        <v>165</v>
      </c>
      <c r="I230" s="39" t="b">
        <v>0</v>
      </c>
      <c r="J230" s="39" t="s">
        <v>165</v>
      </c>
      <c r="K230" s="39" t="b">
        <v>0</v>
      </c>
      <c r="L230" s="39"/>
      <c r="M230" s="39" t="s">
        <v>1610</v>
      </c>
      <c r="N230" t="s">
        <v>1611</v>
      </c>
      <c r="O230" t="s">
        <v>1610</v>
      </c>
      <c r="P230" t="s">
        <v>1439</v>
      </c>
      <c r="Q230" s="39" t="s">
        <v>88</v>
      </c>
      <c r="R230" s="39" t="s">
        <v>44</v>
      </c>
      <c r="S230" s="39" t="s">
        <v>1564</v>
      </c>
      <c r="T230" s="39" t="s">
        <v>1564</v>
      </c>
      <c r="U230" s="39" t="s">
        <v>1563</v>
      </c>
      <c r="V230" s="39" t="b">
        <v>0</v>
      </c>
      <c r="W230" s="39" t="s">
        <v>1612</v>
      </c>
      <c r="X230" s="39" t="s">
        <v>1613</v>
      </c>
      <c r="Y230" s="39" t="s">
        <v>68</v>
      </c>
      <c r="Z230" s="39" t="s">
        <v>32</v>
      </c>
      <c r="AA230" s="39" t="s">
        <v>1614</v>
      </c>
      <c r="AB230" s="44">
        <v>628985561832</v>
      </c>
      <c r="AC230" s="39" t="s">
        <v>1615</v>
      </c>
      <c r="AD230" s="39"/>
      <c r="AE230" s="39" t="s">
        <v>1616</v>
      </c>
      <c r="AF230" s="39" t="s">
        <v>373</v>
      </c>
      <c r="AG230" s="39" t="s">
        <v>383</v>
      </c>
      <c r="AH230" s="39" t="s">
        <v>1906</v>
      </c>
      <c r="AI230" s="39" t="s">
        <v>384</v>
      </c>
      <c r="AJ230" s="39" t="s">
        <v>1925</v>
      </c>
      <c r="AK230" t="b">
        <f t="shared" si="9"/>
        <v>1</v>
      </c>
      <c r="AL230" t="b">
        <f t="shared" si="10"/>
        <v>1</v>
      </c>
      <c r="AN230" t="e">
        <v>#N/A</v>
      </c>
      <c r="AP230" t="e">
        <f>_xlfn.XLOOKUP(F230,'Kolom info id dse &amp; part cd'!D:D,'Kolom info id dse &amp; part cd'!I:I)</f>
        <v>#N/A</v>
      </c>
      <c r="AQ230" t="e">
        <f t="shared" si="11"/>
        <v>#N/A</v>
      </c>
      <c r="AR230" t="str">
        <f>_xlfn.XLOOKUP($E230,'[1]Referensi New'!$D:$D,'[1]Referensi New'!$V:$V)</f>
        <v>DSEIN007</v>
      </c>
    </row>
    <row r="231" spans="1:44" ht="16">
      <c r="A231" s="39" t="s">
        <v>20</v>
      </c>
      <c r="B231" s="39" t="s">
        <v>21</v>
      </c>
      <c r="C231" s="39" t="s">
        <v>314</v>
      </c>
      <c r="D231" s="39" t="s">
        <v>356</v>
      </c>
      <c r="E231" s="39" t="s">
        <v>357</v>
      </c>
      <c r="F231" s="39" t="s">
        <v>358</v>
      </c>
      <c r="G231" s="39" t="s">
        <v>359</v>
      </c>
      <c r="H231" s="39" t="s">
        <v>319</v>
      </c>
      <c r="I231" s="39" t="b">
        <v>0</v>
      </c>
      <c r="J231" s="39" t="s">
        <v>319</v>
      </c>
      <c r="K231" s="39" t="b">
        <v>0</v>
      </c>
      <c r="L231" s="39"/>
      <c r="M231" s="39" t="s">
        <v>1617</v>
      </c>
      <c r="N231" t="s">
        <v>1618</v>
      </c>
      <c r="O231" t="s">
        <v>1617</v>
      </c>
      <c r="P231" t="s">
        <v>1439</v>
      </c>
      <c r="Q231" s="39" t="s">
        <v>88</v>
      </c>
      <c r="R231" s="39" t="s">
        <v>45</v>
      </c>
      <c r="S231" s="39" t="s">
        <v>1619</v>
      </c>
      <c r="T231" s="39" t="s">
        <v>1619</v>
      </c>
      <c r="U231" s="39" t="s">
        <v>1619</v>
      </c>
      <c r="V231" s="39"/>
      <c r="W231" s="39" t="s">
        <v>1620</v>
      </c>
      <c r="X231" s="39" t="s">
        <v>1621</v>
      </c>
      <c r="Y231" s="39" t="s">
        <v>68</v>
      </c>
      <c r="Z231" s="39"/>
      <c r="AA231" s="39"/>
      <c r="AB231" s="44">
        <v>6289602778079</v>
      </c>
      <c r="AC231" s="39"/>
      <c r="AD231" s="39"/>
      <c r="AE231" s="39" t="s">
        <v>1622</v>
      </c>
      <c r="AF231" s="39"/>
      <c r="AG231" s="39" t="s">
        <v>358</v>
      </c>
      <c r="AH231" s="39" t="s">
        <v>1907</v>
      </c>
      <c r="AI231" s="39" t="s">
        <v>359</v>
      </c>
      <c r="AJ231" s="39" t="s">
        <v>1924</v>
      </c>
      <c r="AK231" t="b">
        <f t="shared" si="9"/>
        <v>1</v>
      </c>
      <c r="AL231" t="b">
        <f t="shared" si="10"/>
        <v>1</v>
      </c>
      <c r="AN231" t="e">
        <v>#N/A</v>
      </c>
      <c r="AP231" t="e">
        <f>_xlfn.XLOOKUP(F231,'Kolom info id dse &amp; part cd'!D:D,'Kolom info id dse &amp; part cd'!I:I)</f>
        <v>#N/A</v>
      </c>
      <c r="AQ231" t="e">
        <f t="shared" si="11"/>
        <v>#N/A</v>
      </c>
      <c r="AR231" t="str">
        <f>_xlfn.XLOOKUP($E231,'[1]Referensi New'!$D:$D,'[1]Referensi New'!$V:$V)</f>
        <v>DSEIN028</v>
      </c>
    </row>
    <row r="232" spans="1:44" ht="16">
      <c r="A232" s="39" t="s">
        <v>20</v>
      </c>
      <c r="B232" s="39" t="s">
        <v>21</v>
      </c>
      <c r="C232" s="39" t="s">
        <v>805</v>
      </c>
      <c r="D232" s="39" t="s">
        <v>1386</v>
      </c>
      <c r="E232" s="39" t="s">
        <v>1387</v>
      </c>
      <c r="F232" s="39" t="s">
        <v>1388</v>
      </c>
      <c r="G232" s="39" t="s">
        <v>1389</v>
      </c>
      <c r="H232" s="39" t="s">
        <v>165</v>
      </c>
      <c r="I232" s="39" t="b">
        <v>0</v>
      </c>
      <c r="J232" s="39" t="s">
        <v>165</v>
      </c>
      <c r="K232" s="39" t="b">
        <v>0</v>
      </c>
      <c r="L232" s="39"/>
      <c r="M232" s="39" t="s">
        <v>1623</v>
      </c>
      <c r="N232" t="s">
        <v>1624</v>
      </c>
      <c r="O232" t="s">
        <v>1623</v>
      </c>
      <c r="P232" t="s">
        <v>1439</v>
      </c>
      <c r="Q232" s="39" t="s">
        <v>88</v>
      </c>
      <c r="R232" s="39" t="s">
        <v>45</v>
      </c>
      <c r="S232" s="39" t="s">
        <v>1625</v>
      </c>
      <c r="T232" s="39" t="s">
        <v>1625</v>
      </c>
      <c r="U232" s="39" t="s">
        <v>1625</v>
      </c>
      <c r="V232" s="39"/>
      <c r="W232" s="39" t="s">
        <v>1626</v>
      </c>
      <c r="X232" s="39" t="s">
        <v>1627</v>
      </c>
      <c r="Y232" s="39" t="s">
        <v>68</v>
      </c>
      <c r="Z232" s="39"/>
      <c r="AA232" s="39"/>
      <c r="AB232" s="44">
        <v>628985560072</v>
      </c>
      <c r="AC232" s="39"/>
      <c r="AD232" s="39"/>
      <c r="AE232" s="39" t="s">
        <v>1628</v>
      </c>
      <c r="AF232" s="39"/>
      <c r="AG232" s="39" t="s">
        <v>1388</v>
      </c>
      <c r="AH232" s="39" t="s">
        <v>1906</v>
      </c>
      <c r="AI232" s="39" t="s">
        <v>1389</v>
      </c>
      <c r="AJ232" s="39" t="s">
        <v>1937</v>
      </c>
      <c r="AK232" t="b">
        <f t="shared" si="9"/>
        <v>1</v>
      </c>
      <c r="AL232" t="b">
        <f t="shared" si="10"/>
        <v>1</v>
      </c>
      <c r="AN232" t="e">
        <v>#N/A</v>
      </c>
      <c r="AP232" t="e">
        <f>_xlfn.XLOOKUP(F232,'Kolom info id dse &amp; part cd'!D:D,'Kolom info id dse &amp; part cd'!I:I)</f>
        <v>#N/A</v>
      </c>
      <c r="AQ232" t="e">
        <f t="shared" si="11"/>
        <v>#N/A</v>
      </c>
      <c r="AR232" t="str">
        <f>_xlfn.XLOOKUP($E232,'[1]Referensi New'!$D:$D,'[1]Referensi New'!$V:$V)</f>
        <v>DSEIN012</v>
      </c>
    </row>
    <row r="233" spans="1:44" ht="16">
      <c r="A233" s="39" t="s">
        <v>20</v>
      </c>
      <c r="B233" s="39" t="s">
        <v>21</v>
      </c>
      <c r="C233" s="39" t="s">
        <v>314</v>
      </c>
      <c r="D233" s="39" t="s">
        <v>397</v>
      </c>
      <c r="E233" s="39" t="s">
        <v>398</v>
      </c>
      <c r="F233" s="39" t="s">
        <v>399</v>
      </c>
      <c r="G233" s="39" t="s">
        <v>400</v>
      </c>
      <c r="H233" s="39" t="s">
        <v>165</v>
      </c>
      <c r="I233" s="39" t="b">
        <v>0</v>
      </c>
      <c r="J233" s="39" t="s">
        <v>165</v>
      </c>
      <c r="K233" s="39" t="b">
        <v>0</v>
      </c>
      <c r="L233" s="39"/>
      <c r="M233" s="39" t="s">
        <v>1629</v>
      </c>
      <c r="N233" t="s">
        <v>1630</v>
      </c>
      <c r="O233" t="s">
        <v>1629</v>
      </c>
      <c r="P233" t="s">
        <v>1439</v>
      </c>
      <c r="Q233" s="39" t="s">
        <v>88</v>
      </c>
      <c r="R233" s="39" t="s">
        <v>45</v>
      </c>
      <c r="S233" s="39" t="s">
        <v>1631</v>
      </c>
      <c r="T233" s="39" t="s">
        <v>1631</v>
      </c>
      <c r="U233" s="39" t="s">
        <v>1631</v>
      </c>
      <c r="V233" s="39"/>
      <c r="W233" s="39" t="s">
        <v>1632</v>
      </c>
      <c r="X233" s="39" t="s">
        <v>1633</v>
      </c>
      <c r="Y233" s="39" t="s">
        <v>68</v>
      </c>
      <c r="Z233" s="39"/>
      <c r="AA233" s="39"/>
      <c r="AB233" s="44">
        <v>6289602778054</v>
      </c>
      <c r="AC233" s="39"/>
      <c r="AD233" s="39"/>
      <c r="AE233" s="39" t="s">
        <v>1634</v>
      </c>
      <c r="AF233" s="39"/>
      <c r="AG233" s="39" t="s">
        <v>399</v>
      </c>
      <c r="AH233" s="39" t="s">
        <v>1906</v>
      </c>
      <c r="AI233" s="39" t="s">
        <v>400</v>
      </c>
      <c r="AJ233" s="39" t="s">
        <v>1925</v>
      </c>
      <c r="AK233" t="b">
        <f t="shared" si="9"/>
        <v>1</v>
      </c>
      <c r="AL233" t="b">
        <f t="shared" si="10"/>
        <v>1</v>
      </c>
      <c r="AN233" t="e">
        <v>#N/A</v>
      </c>
      <c r="AP233" t="e">
        <f>_xlfn.XLOOKUP(F233,'Kolom info id dse &amp; part cd'!D:D,'Kolom info id dse &amp; part cd'!I:I)</f>
        <v>#N/A</v>
      </c>
      <c r="AQ233" t="e">
        <f t="shared" si="11"/>
        <v>#N/A</v>
      </c>
      <c r="AR233" t="str">
        <f>_xlfn.XLOOKUP($E233,'[1]Referensi New'!$D:$D,'[1]Referensi New'!$V:$V)</f>
        <v>CSOBKST-06</v>
      </c>
    </row>
    <row r="234" spans="1:44" ht="16">
      <c r="A234" s="39" t="s">
        <v>20</v>
      </c>
      <c r="B234" s="39" t="s">
        <v>21</v>
      </c>
      <c r="C234" s="39" t="s">
        <v>805</v>
      </c>
      <c r="D234" s="39" t="s">
        <v>806</v>
      </c>
      <c r="E234" s="39" t="s">
        <v>807</v>
      </c>
      <c r="F234" s="39" t="s">
        <v>808</v>
      </c>
      <c r="G234" s="39" t="s">
        <v>809</v>
      </c>
      <c r="H234" s="39" t="s">
        <v>635</v>
      </c>
      <c r="I234" s="39" t="b">
        <v>0</v>
      </c>
      <c r="J234" s="39" t="s">
        <v>635</v>
      </c>
      <c r="K234" s="39" t="b">
        <v>0</v>
      </c>
      <c r="L234" s="39"/>
      <c r="M234" s="39" t="s">
        <v>1641</v>
      </c>
      <c r="N234" t="s">
        <v>1642</v>
      </c>
      <c r="O234" t="s">
        <v>1641</v>
      </c>
      <c r="P234" t="s">
        <v>1439</v>
      </c>
      <c r="Q234" s="39" t="s">
        <v>88</v>
      </c>
      <c r="R234" s="39" t="s">
        <v>45</v>
      </c>
      <c r="S234" s="39" t="s">
        <v>1643</v>
      </c>
      <c r="T234" s="39" t="s">
        <v>1643</v>
      </c>
      <c r="U234" s="39" t="s">
        <v>1643</v>
      </c>
      <c r="V234" s="39"/>
      <c r="W234" s="39" t="s">
        <v>1644</v>
      </c>
      <c r="X234" s="39" t="s">
        <v>1645</v>
      </c>
      <c r="Y234" s="39" t="s">
        <v>68</v>
      </c>
      <c r="Z234" s="39"/>
      <c r="AA234" s="39"/>
      <c r="AB234" s="44">
        <v>6289602777915</v>
      </c>
      <c r="AC234" s="39"/>
      <c r="AD234" s="39"/>
      <c r="AE234" s="39" t="s">
        <v>1646</v>
      </c>
      <c r="AF234" s="39"/>
      <c r="AG234" s="39" t="s">
        <v>808</v>
      </c>
      <c r="AH234" s="39" t="s">
        <v>1908</v>
      </c>
      <c r="AI234" s="39" t="s">
        <v>809</v>
      </c>
      <c r="AJ234" s="39" t="s">
        <v>1931</v>
      </c>
      <c r="AK234" t="b">
        <f t="shared" si="9"/>
        <v>1</v>
      </c>
      <c r="AL234" t="b">
        <f t="shared" si="10"/>
        <v>1</v>
      </c>
      <c r="AN234" t="e">
        <v>#N/A</v>
      </c>
      <c r="AP234" t="e">
        <f>_xlfn.XLOOKUP(F234,'Kolom info id dse &amp; part cd'!D:D,'Kolom info id dse &amp; part cd'!I:I)</f>
        <v>#N/A</v>
      </c>
      <c r="AQ234" t="e">
        <f t="shared" si="11"/>
        <v>#N/A</v>
      </c>
      <c r="AR234" t="str">
        <f>_xlfn.XLOOKUP($E234,'[1]Referensi New'!$D:$D,'[1]Referensi New'!$V:$V)</f>
        <v>CSO-SELATAN-01</v>
      </c>
    </row>
    <row r="235" spans="1:44" ht="16">
      <c r="A235" s="39" t="s">
        <v>20</v>
      </c>
      <c r="B235" s="39" t="s">
        <v>21</v>
      </c>
      <c r="C235" s="39" t="s">
        <v>805</v>
      </c>
      <c r="D235" s="39" t="s">
        <v>838</v>
      </c>
      <c r="E235" s="39" t="s">
        <v>839</v>
      </c>
      <c r="F235" s="39" t="s">
        <v>840</v>
      </c>
      <c r="G235" s="39" t="s">
        <v>841</v>
      </c>
      <c r="H235" s="39" t="s">
        <v>635</v>
      </c>
      <c r="I235" s="39" t="b">
        <v>0</v>
      </c>
      <c r="J235" s="39" t="s">
        <v>635</v>
      </c>
      <c r="K235" s="39" t="b">
        <v>0</v>
      </c>
      <c r="L235" s="39"/>
      <c r="M235" s="39" t="s">
        <v>1647</v>
      </c>
      <c r="N235" t="s">
        <v>1648</v>
      </c>
      <c r="O235" t="s">
        <v>1647</v>
      </c>
      <c r="P235" t="s">
        <v>1439</v>
      </c>
      <c r="Q235" s="39" t="s">
        <v>88</v>
      </c>
      <c r="R235" s="39" t="s">
        <v>45</v>
      </c>
      <c r="S235" s="39" t="s">
        <v>1649</v>
      </c>
      <c r="T235" s="39" t="s">
        <v>1649</v>
      </c>
      <c r="U235" s="39" t="s">
        <v>1649</v>
      </c>
      <c r="V235" s="39"/>
      <c r="W235" s="39" t="s">
        <v>1650</v>
      </c>
      <c r="X235" s="39" t="s">
        <v>1651</v>
      </c>
      <c r="Y235" s="39" t="s">
        <v>68</v>
      </c>
      <c r="Z235" s="39"/>
      <c r="AA235" s="39"/>
      <c r="AB235" s="44">
        <v>6289602777921</v>
      </c>
      <c r="AC235" s="39"/>
      <c r="AD235" s="39"/>
      <c r="AE235" s="39" t="s">
        <v>1652</v>
      </c>
      <c r="AF235" s="39"/>
      <c r="AG235" s="39" t="s">
        <v>840</v>
      </c>
      <c r="AH235" s="39" t="s">
        <v>1908</v>
      </c>
      <c r="AI235" s="39" t="s">
        <v>841</v>
      </c>
      <c r="AJ235" s="39" t="s">
        <v>1931</v>
      </c>
      <c r="AK235" t="b">
        <f t="shared" si="9"/>
        <v>1</v>
      </c>
      <c r="AL235" t="b">
        <f t="shared" si="10"/>
        <v>1</v>
      </c>
      <c r="AN235" t="e">
        <v>#N/A</v>
      </c>
      <c r="AP235" t="e">
        <f>_xlfn.XLOOKUP(F235,'Kolom info id dse &amp; part cd'!D:D,'Kolom info id dse &amp; part cd'!I:I)</f>
        <v>#N/A</v>
      </c>
      <c r="AQ235" t="e">
        <f t="shared" si="11"/>
        <v>#N/A</v>
      </c>
      <c r="AR235" t="str">
        <f>_xlfn.XLOOKUP($E235,'[1]Referensi New'!$D:$D,'[1]Referensi New'!$V:$V)</f>
        <v>CSO-SELATAN-07</v>
      </c>
    </row>
    <row r="236" spans="1:44" ht="16">
      <c r="A236" s="39" t="s">
        <v>20</v>
      </c>
      <c r="B236" s="39" t="s">
        <v>21</v>
      </c>
      <c r="C236" s="39" t="s">
        <v>805</v>
      </c>
      <c r="D236" s="39" t="s">
        <v>806</v>
      </c>
      <c r="E236" s="39" t="s">
        <v>807</v>
      </c>
      <c r="F236" s="39" t="s">
        <v>808</v>
      </c>
      <c r="G236" s="39" t="s">
        <v>809</v>
      </c>
      <c r="H236" s="39" t="s">
        <v>635</v>
      </c>
      <c r="I236" s="39" t="b">
        <v>0</v>
      </c>
      <c r="J236" s="39" t="s">
        <v>635</v>
      </c>
      <c r="K236" s="39" t="b">
        <v>0</v>
      </c>
      <c r="L236" s="39"/>
      <c r="M236" s="39" t="s">
        <v>1653</v>
      </c>
      <c r="N236" t="s">
        <v>1654</v>
      </c>
      <c r="O236" t="s">
        <v>1653</v>
      </c>
      <c r="P236" t="s">
        <v>1439</v>
      </c>
      <c r="Q236" s="39" t="s">
        <v>88</v>
      </c>
      <c r="R236" s="39" t="s">
        <v>45</v>
      </c>
      <c r="S236" s="39" t="s">
        <v>1655</v>
      </c>
      <c r="T236" s="39" t="s">
        <v>1655</v>
      </c>
      <c r="U236" s="39" t="s">
        <v>1655</v>
      </c>
      <c r="V236" s="39"/>
      <c r="W236" s="39" t="s">
        <v>1656</v>
      </c>
      <c r="X236" s="39" t="s">
        <v>1657</v>
      </c>
      <c r="Y236" s="39" t="s">
        <v>119</v>
      </c>
      <c r="Z236" s="39"/>
      <c r="AA236" s="39"/>
      <c r="AB236" s="44">
        <v>6289602777919</v>
      </c>
      <c r="AC236" s="39"/>
      <c r="AD236" s="39"/>
      <c r="AE236" s="39" t="s">
        <v>1658</v>
      </c>
      <c r="AF236" s="39"/>
      <c r="AG236" s="39" t="s">
        <v>808</v>
      </c>
      <c r="AH236" s="39" t="s">
        <v>1908</v>
      </c>
      <c r="AI236" s="39" t="s">
        <v>809</v>
      </c>
      <c r="AJ236" s="39" t="s">
        <v>1931</v>
      </c>
      <c r="AK236" t="b">
        <f t="shared" si="9"/>
        <v>1</v>
      </c>
      <c r="AL236" t="b">
        <f t="shared" si="10"/>
        <v>1</v>
      </c>
      <c r="AN236" t="e">
        <v>#N/A</v>
      </c>
      <c r="AP236" t="e">
        <f>_xlfn.XLOOKUP(F236,'Kolom info id dse &amp; part cd'!D:D,'Kolom info id dse &amp; part cd'!I:I)</f>
        <v>#N/A</v>
      </c>
      <c r="AQ236" t="e">
        <f t="shared" si="11"/>
        <v>#N/A</v>
      </c>
      <c r="AR236" t="str">
        <f>_xlfn.XLOOKUP($E236,'[1]Referensi New'!$D:$D,'[1]Referensi New'!$V:$V)</f>
        <v>CSO-SELATAN-01</v>
      </c>
    </row>
    <row r="237" spans="1:44" ht="16">
      <c r="A237" s="39" t="s">
        <v>20</v>
      </c>
      <c r="B237" s="39" t="s">
        <v>21</v>
      </c>
      <c r="C237" s="39" t="s">
        <v>805</v>
      </c>
      <c r="D237" s="39" t="s">
        <v>806</v>
      </c>
      <c r="E237" s="39" t="s">
        <v>807</v>
      </c>
      <c r="F237" s="39" t="s">
        <v>808</v>
      </c>
      <c r="G237" s="39" t="s">
        <v>809</v>
      </c>
      <c r="H237" s="39" t="s">
        <v>635</v>
      </c>
      <c r="I237" s="39" t="b">
        <v>0</v>
      </c>
      <c r="J237" s="39" t="s">
        <v>635</v>
      </c>
      <c r="K237" s="39" t="b">
        <v>0</v>
      </c>
      <c r="L237" s="39"/>
      <c r="M237" s="39" t="s">
        <v>1659</v>
      </c>
      <c r="N237" t="s">
        <v>1660</v>
      </c>
      <c r="O237" t="s">
        <v>1659</v>
      </c>
      <c r="P237" t="s">
        <v>1439</v>
      </c>
      <c r="Q237" s="39" t="s">
        <v>88</v>
      </c>
      <c r="R237" s="39" t="s">
        <v>45</v>
      </c>
      <c r="S237" s="39" t="s">
        <v>1661</v>
      </c>
      <c r="T237" s="39" t="s">
        <v>1661</v>
      </c>
      <c r="U237" s="39" t="s">
        <v>1661</v>
      </c>
      <c r="V237" s="39"/>
      <c r="W237" s="39" t="s">
        <v>1662</v>
      </c>
      <c r="X237" s="39" t="s">
        <v>1663</v>
      </c>
      <c r="Y237" s="39" t="s">
        <v>68</v>
      </c>
      <c r="Z237" s="39"/>
      <c r="AA237" s="39"/>
      <c r="AB237" s="44">
        <v>6289602777920</v>
      </c>
      <c r="AC237" s="39"/>
      <c r="AD237" s="39"/>
      <c r="AE237" s="39" t="s">
        <v>1664</v>
      </c>
      <c r="AF237" s="39"/>
      <c r="AG237" s="39" t="s">
        <v>808</v>
      </c>
      <c r="AH237" s="39" t="s">
        <v>1908</v>
      </c>
      <c r="AI237" s="39" t="s">
        <v>809</v>
      </c>
      <c r="AJ237" s="39" t="s">
        <v>1931</v>
      </c>
      <c r="AK237" t="b">
        <f t="shared" si="9"/>
        <v>1</v>
      </c>
      <c r="AL237" t="b">
        <f t="shared" si="10"/>
        <v>1</v>
      </c>
      <c r="AN237" t="e">
        <v>#N/A</v>
      </c>
      <c r="AP237" t="e">
        <f>_xlfn.XLOOKUP(F237,'Kolom info id dse &amp; part cd'!D:D,'Kolom info id dse &amp; part cd'!I:I)</f>
        <v>#N/A</v>
      </c>
      <c r="AQ237" t="e">
        <f t="shared" si="11"/>
        <v>#N/A</v>
      </c>
      <c r="AR237" t="str">
        <f>_xlfn.XLOOKUP($E237,'[1]Referensi New'!$D:$D,'[1]Referensi New'!$V:$V)</f>
        <v>CSO-SELATAN-01</v>
      </c>
    </row>
    <row r="238" spans="1:44" ht="16">
      <c r="A238" s="39" t="s">
        <v>20</v>
      </c>
      <c r="B238" s="39" t="s">
        <v>21</v>
      </c>
      <c r="C238" s="39" t="s">
        <v>805</v>
      </c>
      <c r="D238" s="39" t="s">
        <v>820</v>
      </c>
      <c r="E238" s="39" t="s">
        <v>821</v>
      </c>
      <c r="F238" s="39" t="s">
        <v>822</v>
      </c>
      <c r="G238" s="39" t="s">
        <v>823</v>
      </c>
      <c r="H238" s="39" t="s">
        <v>635</v>
      </c>
      <c r="I238" s="39" t="b">
        <v>0</v>
      </c>
      <c r="J238" s="39" t="s">
        <v>635</v>
      </c>
      <c r="K238" s="39" t="b">
        <v>0</v>
      </c>
      <c r="L238" s="39"/>
      <c r="M238" s="39" t="s">
        <v>1665</v>
      </c>
      <c r="N238" t="s">
        <v>1666</v>
      </c>
      <c r="O238" t="s">
        <v>1665</v>
      </c>
      <c r="P238" t="s">
        <v>1439</v>
      </c>
      <c r="Q238" s="39" t="s">
        <v>88</v>
      </c>
      <c r="R238" s="39" t="s">
        <v>45</v>
      </c>
      <c r="S238" s="39" t="s">
        <v>1667</v>
      </c>
      <c r="T238" s="39" t="s">
        <v>1667</v>
      </c>
      <c r="U238" s="39" t="s">
        <v>1667</v>
      </c>
      <c r="V238" s="39"/>
      <c r="W238" s="39">
        <v>0</v>
      </c>
      <c r="X238" s="39" t="s">
        <v>1668</v>
      </c>
      <c r="Y238" s="39" t="s">
        <v>68</v>
      </c>
      <c r="Z238" s="39" t="s">
        <v>32</v>
      </c>
      <c r="AA238" s="39"/>
      <c r="AB238" s="44">
        <v>628985558965</v>
      </c>
      <c r="AC238" s="39"/>
      <c r="AD238" s="39"/>
      <c r="AE238" s="39" t="s">
        <v>1669</v>
      </c>
      <c r="AF238" s="39"/>
      <c r="AG238" s="39" t="s">
        <v>822</v>
      </c>
      <c r="AH238" s="39" t="s">
        <v>1908</v>
      </c>
      <c r="AI238" s="39" t="s">
        <v>823</v>
      </c>
      <c r="AJ238" s="39" t="s">
        <v>1931</v>
      </c>
      <c r="AK238" t="b">
        <f t="shared" si="9"/>
        <v>1</v>
      </c>
      <c r="AL238" t="b">
        <f t="shared" si="10"/>
        <v>1</v>
      </c>
      <c r="AN238" t="e">
        <v>#N/A</v>
      </c>
      <c r="AP238" t="e">
        <f>_xlfn.XLOOKUP(F238,'Kolom info id dse &amp; part cd'!D:D,'Kolom info id dse &amp; part cd'!I:I)</f>
        <v>#N/A</v>
      </c>
      <c r="AQ238" t="e">
        <f t="shared" si="11"/>
        <v>#N/A</v>
      </c>
      <c r="AR238" t="str">
        <f>_xlfn.XLOOKUP($E238,'[1]Referensi New'!$D:$D,'[1]Referensi New'!$V:$V)</f>
        <v>CSO-SELATAN-03</v>
      </c>
    </row>
    <row r="239" spans="1:44" ht="16">
      <c r="A239" s="39" t="s">
        <v>20</v>
      </c>
      <c r="B239" s="39" t="s">
        <v>21</v>
      </c>
      <c r="C239" s="39" t="s">
        <v>314</v>
      </c>
      <c r="D239" s="39" t="s">
        <v>315</v>
      </c>
      <c r="E239" s="39" t="s">
        <v>316</v>
      </c>
      <c r="F239" s="39" t="s">
        <v>317</v>
      </c>
      <c r="G239" s="39" t="s">
        <v>318</v>
      </c>
      <c r="H239" s="39" t="s">
        <v>319</v>
      </c>
      <c r="I239" s="39" t="b">
        <v>0</v>
      </c>
      <c r="J239" s="39" t="s">
        <v>319</v>
      </c>
      <c r="K239" s="39" t="b">
        <v>0</v>
      </c>
      <c r="L239" s="39"/>
      <c r="M239" s="39" t="s">
        <v>1670</v>
      </c>
      <c r="N239" t="s">
        <v>1671</v>
      </c>
      <c r="O239" t="s">
        <v>1670</v>
      </c>
      <c r="P239" t="s">
        <v>1439</v>
      </c>
      <c r="Q239" s="39" t="s">
        <v>88</v>
      </c>
      <c r="R239" s="39" t="s">
        <v>45</v>
      </c>
      <c r="S239" s="39" t="s">
        <v>1672</v>
      </c>
      <c r="T239" s="39" t="s">
        <v>1672</v>
      </c>
      <c r="U239" s="39" t="s">
        <v>1672</v>
      </c>
      <c r="V239" s="39"/>
      <c r="W239" s="39" t="s">
        <v>1673</v>
      </c>
      <c r="X239" s="39" t="s">
        <v>1674</v>
      </c>
      <c r="Y239" s="39" t="s">
        <v>68</v>
      </c>
      <c r="Z239" s="39"/>
      <c r="AA239" s="39"/>
      <c r="AB239" s="44">
        <v>6289602778078</v>
      </c>
      <c r="AC239" s="39"/>
      <c r="AD239" s="39"/>
      <c r="AE239" s="39" t="s">
        <v>1675</v>
      </c>
      <c r="AF239" s="39"/>
      <c r="AG239" s="39" t="s">
        <v>317</v>
      </c>
      <c r="AH239" s="39" t="s">
        <v>1907</v>
      </c>
      <c r="AI239" s="39" t="s">
        <v>318</v>
      </c>
      <c r="AJ239" s="39" t="s">
        <v>1923</v>
      </c>
      <c r="AK239" t="b">
        <f t="shared" si="9"/>
        <v>1</v>
      </c>
      <c r="AL239" t="b">
        <f t="shared" si="10"/>
        <v>1</v>
      </c>
      <c r="AN239" t="e">
        <v>#N/A</v>
      </c>
      <c r="AP239" t="e">
        <f>_xlfn.XLOOKUP(F239,'Kolom info id dse &amp; part cd'!D:D,'Kolom info id dse &amp; part cd'!I:I)</f>
        <v>#N/A</v>
      </c>
      <c r="AQ239" t="e">
        <f t="shared" si="11"/>
        <v>#N/A</v>
      </c>
      <c r="AR239" t="str">
        <f>_xlfn.XLOOKUP($E239,'[1]Referensi New'!$D:$D,'[1]Referensi New'!$V:$V)</f>
        <v>CSOBKSB-16</v>
      </c>
    </row>
    <row r="240" spans="1:44" ht="16">
      <c r="A240" s="39" t="s">
        <v>20</v>
      </c>
      <c r="B240" s="39" t="s">
        <v>21</v>
      </c>
      <c r="C240" s="39" t="s">
        <v>314</v>
      </c>
      <c r="D240" s="39" t="s">
        <v>381</v>
      </c>
      <c r="E240" s="39" t="s">
        <v>382</v>
      </c>
      <c r="F240" s="39" t="s">
        <v>383</v>
      </c>
      <c r="G240" s="39" t="s">
        <v>384</v>
      </c>
      <c r="H240" s="39" t="s">
        <v>165</v>
      </c>
      <c r="I240" s="39" t="b">
        <v>0</v>
      </c>
      <c r="J240" s="39" t="s">
        <v>165</v>
      </c>
      <c r="K240" s="39" t="b">
        <v>0</v>
      </c>
      <c r="L240" s="39"/>
      <c r="M240" s="39" t="s">
        <v>1676</v>
      </c>
      <c r="N240" t="s">
        <v>1677</v>
      </c>
      <c r="O240" t="s">
        <v>1676</v>
      </c>
      <c r="P240" t="s">
        <v>1439</v>
      </c>
      <c r="Q240" s="39" t="s">
        <v>88</v>
      </c>
      <c r="R240" s="39" t="s">
        <v>45</v>
      </c>
      <c r="S240" s="39" t="s">
        <v>1678</v>
      </c>
      <c r="T240" s="39" t="s">
        <v>1678</v>
      </c>
      <c r="U240" s="39" t="s">
        <v>1678</v>
      </c>
      <c r="V240" s="39"/>
      <c r="W240" s="39" t="s">
        <v>1679</v>
      </c>
      <c r="X240" s="39" t="s">
        <v>1680</v>
      </c>
      <c r="Y240" s="39" t="s">
        <v>68</v>
      </c>
      <c r="Z240" s="39" t="s">
        <v>32</v>
      </c>
      <c r="AA240" s="39"/>
      <c r="AB240" s="44">
        <v>6289607902966</v>
      </c>
      <c r="AC240" s="39"/>
      <c r="AD240" s="39"/>
      <c r="AE240" s="39" t="s">
        <v>1681</v>
      </c>
      <c r="AF240" s="39"/>
      <c r="AG240" s="39" t="s">
        <v>383</v>
      </c>
      <c r="AH240" s="39" t="s">
        <v>1906</v>
      </c>
      <c r="AI240" s="39" t="s">
        <v>384</v>
      </c>
      <c r="AJ240" s="39" t="s">
        <v>1925</v>
      </c>
      <c r="AK240" t="b">
        <f t="shared" si="9"/>
        <v>1</v>
      </c>
      <c r="AL240" t="b">
        <f t="shared" si="10"/>
        <v>1</v>
      </c>
      <c r="AN240" t="e">
        <v>#N/A</v>
      </c>
      <c r="AP240" t="e">
        <f>_xlfn.XLOOKUP(F240,'Kolom info id dse &amp; part cd'!D:D,'Kolom info id dse &amp; part cd'!I:I)</f>
        <v>#N/A</v>
      </c>
      <c r="AQ240" t="e">
        <f t="shared" si="11"/>
        <v>#N/A</v>
      </c>
      <c r="AR240" t="str">
        <f>_xlfn.XLOOKUP($E240,'[1]Referensi New'!$D:$D,'[1]Referensi New'!$V:$V)</f>
        <v>DSEIN007</v>
      </c>
    </row>
    <row r="241" spans="1:44" ht="16">
      <c r="A241" s="39" t="s">
        <v>20</v>
      </c>
      <c r="B241" s="39" t="s">
        <v>21</v>
      </c>
      <c r="C241" s="39" t="s">
        <v>805</v>
      </c>
      <c r="D241" s="39" t="s">
        <v>1414</v>
      </c>
      <c r="E241" s="39" t="s">
        <v>1415</v>
      </c>
      <c r="F241" s="39" t="s">
        <v>1416</v>
      </c>
      <c r="G241" s="39" t="s">
        <v>1417</v>
      </c>
      <c r="H241" s="39" t="s">
        <v>165</v>
      </c>
      <c r="I241" s="39" t="b">
        <v>0</v>
      </c>
      <c r="J241" s="39" t="s">
        <v>165</v>
      </c>
      <c r="K241" s="39" t="b">
        <v>0</v>
      </c>
      <c r="L241" s="39"/>
      <c r="M241" s="39" t="s">
        <v>1682</v>
      </c>
      <c r="N241" t="s">
        <v>1683</v>
      </c>
      <c r="O241" t="s">
        <v>1682</v>
      </c>
      <c r="P241" t="s">
        <v>1439</v>
      </c>
      <c r="Q241" s="39" t="s">
        <v>88</v>
      </c>
      <c r="R241" s="39" t="s">
        <v>44</v>
      </c>
      <c r="S241" s="39" t="s">
        <v>1684</v>
      </c>
      <c r="T241" s="39" t="s">
        <v>1684</v>
      </c>
      <c r="U241" s="39" t="s">
        <v>1684</v>
      </c>
      <c r="V241" s="39" t="b">
        <v>0</v>
      </c>
      <c r="W241" s="39" t="s">
        <v>1685</v>
      </c>
      <c r="X241" s="39" t="s">
        <v>1686</v>
      </c>
      <c r="Y241" s="39" t="s">
        <v>68</v>
      </c>
      <c r="Z241" s="39" t="s">
        <v>32</v>
      </c>
      <c r="AA241" s="39">
        <v>6289673403339</v>
      </c>
      <c r="AB241" s="44">
        <v>6289673403339</v>
      </c>
      <c r="AC241" s="39" t="s">
        <v>1687</v>
      </c>
      <c r="AD241" s="39" t="s">
        <v>35</v>
      </c>
      <c r="AE241" s="39" t="s">
        <v>1688</v>
      </c>
      <c r="AF241" s="39" t="s">
        <v>373</v>
      </c>
      <c r="AG241" s="39" t="s">
        <v>1416</v>
      </c>
      <c r="AH241" s="39" t="s">
        <v>1906</v>
      </c>
      <c r="AI241" s="39" t="s">
        <v>1417</v>
      </c>
      <c r="AJ241" s="39" t="s">
        <v>1937</v>
      </c>
      <c r="AK241" t="b">
        <f t="shared" si="9"/>
        <v>1</v>
      </c>
      <c r="AL241" t="b">
        <f t="shared" si="10"/>
        <v>1</v>
      </c>
      <c r="AN241" t="e">
        <v>#N/A</v>
      </c>
      <c r="AP241" t="e">
        <f>_xlfn.XLOOKUP(F241,'Kolom info id dse &amp; part cd'!D:D,'Kolom info id dse &amp; part cd'!I:I)</f>
        <v>#N/A</v>
      </c>
      <c r="AQ241" t="e">
        <f t="shared" si="11"/>
        <v>#N/A</v>
      </c>
      <c r="AR241" t="str">
        <f>_xlfn.XLOOKUP($E241,'[1]Referensi New'!$D:$D,'[1]Referensi New'!$V:$V)</f>
        <v>DSEIN008</v>
      </c>
    </row>
    <row r="242" spans="1:44" ht="16">
      <c r="A242" s="39" t="s">
        <v>20</v>
      </c>
      <c r="B242" s="39" t="s">
        <v>21</v>
      </c>
      <c r="C242" s="39" t="s">
        <v>314</v>
      </c>
      <c r="D242" s="39" t="s">
        <v>397</v>
      </c>
      <c r="E242" s="39" t="s">
        <v>398</v>
      </c>
      <c r="F242" s="39" t="s">
        <v>399</v>
      </c>
      <c r="G242" s="39" t="s">
        <v>400</v>
      </c>
      <c r="H242" s="39" t="s">
        <v>165</v>
      </c>
      <c r="I242" s="39" t="b">
        <v>0</v>
      </c>
      <c r="J242" s="39" t="s">
        <v>165</v>
      </c>
      <c r="K242" s="39" t="b">
        <v>0</v>
      </c>
      <c r="L242" s="39"/>
      <c r="M242" s="39" t="s">
        <v>1689</v>
      </c>
      <c r="N242" t="s">
        <v>1690</v>
      </c>
      <c r="O242" t="s">
        <v>1689</v>
      </c>
      <c r="P242" t="s">
        <v>1439</v>
      </c>
      <c r="Q242" s="39" t="s">
        <v>88</v>
      </c>
      <c r="R242" s="39" t="s">
        <v>45</v>
      </c>
      <c r="S242" s="39" t="s">
        <v>1691</v>
      </c>
      <c r="T242" s="39" t="s">
        <v>1691</v>
      </c>
      <c r="U242" s="39" t="s">
        <v>1691</v>
      </c>
      <c r="V242" s="39"/>
      <c r="W242" s="39" t="s">
        <v>1692</v>
      </c>
      <c r="X242" s="39" t="s">
        <v>1693</v>
      </c>
      <c r="Y242" s="39" t="s">
        <v>68</v>
      </c>
      <c r="Z242" s="39"/>
      <c r="AA242" s="39"/>
      <c r="AB242" s="44">
        <v>6289602778053</v>
      </c>
      <c r="AC242" s="39"/>
      <c r="AD242" s="39"/>
      <c r="AE242" s="39" t="s">
        <v>1694</v>
      </c>
      <c r="AF242" s="39"/>
      <c r="AG242" s="39" t="s">
        <v>399</v>
      </c>
      <c r="AH242" s="39" t="s">
        <v>1906</v>
      </c>
      <c r="AI242" s="39" t="s">
        <v>400</v>
      </c>
      <c r="AJ242" s="39" t="s">
        <v>1925</v>
      </c>
      <c r="AK242" t="b">
        <f t="shared" si="9"/>
        <v>1</v>
      </c>
      <c r="AL242" t="b">
        <f t="shared" si="10"/>
        <v>1</v>
      </c>
      <c r="AN242" t="e">
        <v>#N/A</v>
      </c>
      <c r="AP242" t="e">
        <f>_xlfn.XLOOKUP(F242,'Kolom info id dse &amp; part cd'!D:D,'Kolom info id dse &amp; part cd'!I:I)</f>
        <v>#N/A</v>
      </c>
      <c r="AQ242" t="e">
        <f t="shared" si="11"/>
        <v>#N/A</v>
      </c>
      <c r="AR242" t="str">
        <f>_xlfn.XLOOKUP($E242,'[1]Referensi New'!$D:$D,'[1]Referensi New'!$V:$V)</f>
        <v>CSOBKST-06</v>
      </c>
    </row>
    <row r="243" spans="1:44" ht="16">
      <c r="A243" s="39" t="s">
        <v>20</v>
      </c>
      <c r="B243" s="39" t="s">
        <v>21</v>
      </c>
      <c r="C243" s="39" t="s">
        <v>314</v>
      </c>
      <c r="D243" s="39" t="s">
        <v>397</v>
      </c>
      <c r="E243" s="39" t="s">
        <v>398</v>
      </c>
      <c r="F243" s="39" t="s">
        <v>399</v>
      </c>
      <c r="G243" s="39" t="s">
        <v>400</v>
      </c>
      <c r="H243" s="39" t="s">
        <v>165</v>
      </c>
      <c r="I243" s="39" t="b">
        <v>0</v>
      </c>
      <c r="J243" s="39" t="s">
        <v>165</v>
      </c>
      <c r="K243" s="39" t="b">
        <v>0</v>
      </c>
      <c r="L243" s="39"/>
      <c r="M243" s="39" t="s">
        <v>1695</v>
      </c>
      <c r="N243" t="s">
        <v>1696</v>
      </c>
      <c r="O243" t="s">
        <v>1695</v>
      </c>
      <c r="P243" t="s">
        <v>1439</v>
      </c>
      <c r="Q243" s="39" t="s">
        <v>88</v>
      </c>
      <c r="R243" s="39" t="s">
        <v>45</v>
      </c>
      <c r="S243" s="39" t="s">
        <v>1697</v>
      </c>
      <c r="T243" s="39"/>
      <c r="U243" s="39"/>
      <c r="V243" s="39"/>
      <c r="W243" s="39" t="s">
        <v>1698</v>
      </c>
      <c r="X243" s="39" t="s">
        <v>1699</v>
      </c>
      <c r="Y243" s="39" t="s">
        <v>68</v>
      </c>
      <c r="Z243" s="39" t="s">
        <v>32</v>
      </c>
      <c r="AA243" s="39"/>
      <c r="AB243" s="44">
        <v>0</v>
      </c>
      <c r="AC243" s="39"/>
      <c r="AD243" s="39"/>
      <c r="AE243" s="39" t="s">
        <v>1700</v>
      </c>
      <c r="AF243" s="39"/>
      <c r="AG243" s="39" t="s">
        <v>399</v>
      </c>
      <c r="AH243" s="39" t="s">
        <v>1906</v>
      </c>
      <c r="AI243" s="39" t="s">
        <v>400</v>
      </c>
      <c r="AJ243" s="39" t="s">
        <v>1925</v>
      </c>
      <c r="AK243" t="b">
        <f t="shared" si="9"/>
        <v>1</v>
      </c>
      <c r="AL243" t="b">
        <f t="shared" si="10"/>
        <v>1</v>
      </c>
      <c r="AN243" t="e">
        <v>#N/A</v>
      </c>
      <c r="AP243" t="e">
        <f>_xlfn.XLOOKUP(F243,'Kolom info id dse &amp; part cd'!D:D,'Kolom info id dse &amp; part cd'!I:I)</f>
        <v>#N/A</v>
      </c>
      <c r="AQ243" t="e">
        <f t="shared" si="11"/>
        <v>#N/A</v>
      </c>
      <c r="AR243" t="str">
        <f>_xlfn.XLOOKUP($E243,'[1]Referensi New'!$D:$D,'[1]Referensi New'!$V:$V)</f>
        <v>CSOBKST-06</v>
      </c>
    </row>
    <row r="244" spans="1:44" ht="16">
      <c r="A244" s="39" t="s">
        <v>20</v>
      </c>
      <c r="B244" s="39" t="s">
        <v>21</v>
      </c>
      <c r="C244" s="39" t="s">
        <v>22</v>
      </c>
      <c r="D244" s="39" t="s">
        <v>443</v>
      </c>
      <c r="E244" s="39" t="s">
        <v>24</v>
      </c>
      <c r="F244" s="39" t="s">
        <v>444</v>
      </c>
      <c r="G244" s="39" t="s">
        <v>445</v>
      </c>
      <c r="H244" s="39" t="s">
        <v>75</v>
      </c>
      <c r="I244" s="39" t="b">
        <v>0</v>
      </c>
      <c r="J244" s="39" t="s">
        <v>75</v>
      </c>
      <c r="K244" s="39" t="b">
        <v>0</v>
      </c>
      <c r="L244" s="39"/>
      <c r="M244" s="39" t="s">
        <v>1701</v>
      </c>
      <c r="N244" t="s">
        <v>1702</v>
      </c>
      <c r="O244" t="s">
        <v>1701</v>
      </c>
      <c r="P244" t="s">
        <v>1439</v>
      </c>
      <c r="Q244" s="39" t="s">
        <v>28</v>
      </c>
      <c r="R244" s="39" t="s">
        <v>45</v>
      </c>
      <c r="S244" s="39" t="s">
        <v>1703</v>
      </c>
      <c r="T244" s="39"/>
      <c r="U244" s="39"/>
      <c r="V244" s="39"/>
      <c r="W244" s="39" t="s">
        <v>1704</v>
      </c>
      <c r="X244" s="39" t="s">
        <v>1705</v>
      </c>
      <c r="Y244" s="39" t="s">
        <v>68</v>
      </c>
      <c r="Z244" s="39" t="s">
        <v>32</v>
      </c>
      <c r="AA244" s="39"/>
      <c r="AB244" s="44">
        <v>62895396000770</v>
      </c>
      <c r="AC244" s="39"/>
      <c r="AD244" s="39"/>
      <c r="AE244" s="39" t="s">
        <v>1706</v>
      </c>
      <c r="AF244" s="39"/>
      <c r="AG244" s="39" t="s">
        <v>444</v>
      </c>
      <c r="AH244" s="39" t="s">
        <v>1903</v>
      </c>
      <c r="AI244" s="39" t="s">
        <v>445</v>
      </c>
      <c r="AJ244" s="39" t="s">
        <v>1926</v>
      </c>
      <c r="AK244" t="b">
        <f t="shared" si="9"/>
        <v>1</v>
      </c>
      <c r="AL244" t="b">
        <f t="shared" si="10"/>
        <v>1</v>
      </c>
      <c r="AN244" t="e">
        <v>#N/A</v>
      </c>
      <c r="AP244" t="e">
        <f>_xlfn.XLOOKUP(F244,'Kolom info id dse &amp; part cd'!D:D,'Kolom info id dse &amp; part cd'!I:I)</f>
        <v>#N/A</v>
      </c>
      <c r="AQ244" t="e">
        <f t="shared" si="11"/>
        <v>#N/A</v>
      </c>
      <c r="AR244" t="str">
        <f>_xlfn.XLOOKUP($E244,'[1]Referensi New'!$D:$D,'[1]Referensi New'!$V:$V)</f>
        <v>CSOBUANAJKB001</v>
      </c>
    </row>
    <row r="245" spans="1:44" ht="16">
      <c r="A245" s="39" t="s">
        <v>20</v>
      </c>
      <c r="B245" s="39" t="s">
        <v>21</v>
      </c>
      <c r="C245" s="39" t="s">
        <v>22</v>
      </c>
      <c r="D245" s="39" t="s">
        <v>498</v>
      </c>
      <c r="E245" s="39" t="s">
        <v>499</v>
      </c>
      <c r="F245" s="39" t="s">
        <v>500</v>
      </c>
      <c r="G245" s="39" t="s">
        <v>501</v>
      </c>
      <c r="H245" s="39" t="s">
        <v>75</v>
      </c>
      <c r="I245" s="39" t="b">
        <v>0</v>
      </c>
      <c r="J245" s="39" t="s">
        <v>75</v>
      </c>
      <c r="K245" s="39" t="b">
        <v>0</v>
      </c>
      <c r="L245" s="39"/>
      <c r="M245" s="39" t="s">
        <v>1707</v>
      </c>
      <c r="N245" t="s">
        <v>1708</v>
      </c>
      <c r="O245" t="s">
        <v>1707</v>
      </c>
      <c r="P245" t="s">
        <v>1439</v>
      </c>
      <c r="Q245" s="39" t="s">
        <v>28</v>
      </c>
      <c r="R245" s="39" t="s">
        <v>44</v>
      </c>
      <c r="S245" s="39" t="s">
        <v>1709</v>
      </c>
      <c r="T245" s="39"/>
      <c r="U245" s="39"/>
      <c r="V245" s="39"/>
      <c r="W245" s="39" t="s">
        <v>1710</v>
      </c>
      <c r="X245" s="39" t="s">
        <v>1711</v>
      </c>
      <c r="Y245" s="39" t="s">
        <v>31</v>
      </c>
      <c r="Z245" s="39" t="s">
        <v>32</v>
      </c>
      <c r="AA245" s="39">
        <v>6289602777986</v>
      </c>
      <c r="AB245" s="44">
        <v>6289602777986</v>
      </c>
      <c r="AC245" s="39"/>
      <c r="AD245" s="39"/>
      <c r="AE245" s="39" t="s">
        <v>1712</v>
      </c>
      <c r="AF245" s="39"/>
      <c r="AG245" s="39" t="s">
        <v>500</v>
      </c>
      <c r="AH245" s="39" t="s">
        <v>1903</v>
      </c>
      <c r="AI245" s="39" t="s">
        <v>501</v>
      </c>
      <c r="AJ245" s="39" t="s">
        <v>1926</v>
      </c>
      <c r="AK245" t="b">
        <f t="shared" si="9"/>
        <v>1</v>
      </c>
      <c r="AL245" t="b">
        <f t="shared" si="10"/>
        <v>1</v>
      </c>
      <c r="AN245" t="e">
        <v>#N/A</v>
      </c>
      <c r="AP245" t="e">
        <f>_xlfn.XLOOKUP(F245,'Kolom info id dse &amp; part cd'!D:D,'Kolom info id dse &amp; part cd'!I:I)</f>
        <v>#N/A</v>
      </c>
      <c r="AQ245" t="e">
        <f t="shared" si="11"/>
        <v>#N/A</v>
      </c>
      <c r="AR245" t="str">
        <f>_xlfn.XLOOKUP($E245,'[1]Referensi New'!$D:$D,'[1]Referensi New'!$V:$V)</f>
        <v>CSOBUANAJKB06</v>
      </c>
    </row>
    <row r="246" spans="1:44" ht="16">
      <c r="A246" s="39" t="s">
        <v>20</v>
      </c>
      <c r="B246" s="39" t="s">
        <v>21</v>
      </c>
      <c r="C246" s="39" t="s">
        <v>22</v>
      </c>
      <c r="D246" s="39" t="s">
        <v>443</v>
      </c>
      <c r="E246" s="39" t="s">
        <v>24</v>
      </c>
      <c r="F246" s="39" t="s">
        <v>444</v>
      </c>
      <c r="G246" s="39" t="s">
        <v>445</v>
      </c>
      <c r="H246" s="39" t="s">
        <v>75</v>
      </c>
      <c r="I246" s="39" t="b">
        <v>0</v>
      </c>
      <c r="J246" s="39" t="s">
        <v>75</v>
      </c>
      <c r="K246" s="39" t="b">
        <v>0</v>
      </c>
      <c r="L246" s="39"/>
      <c r="M246" s="39" t="s">
        <v>1713</v>
      </c>
      <c r="N246" t="s">
        <v>1714</v>
      </c>
      <c r="O246" t="s">
        <v>1713</v>
      </c>
      <c r="P246" t="s">
        <v>1439</v>
      </c>
      <c r="Q246" s="39" t="s">
        <v>28</v>
      </c>
      <c r="R246" s="39" t="s">
        <v>45</v>
      </c>
      <c r="S246" s="39" t="s">
        <v>1715</v>
      </c>
      <c r="T246" s="39"/>
      <c r="U246" s="39"/>
      <c r="V246" s="39"/>
      <c r="W246" s="39" t="s">
        <v>1716</v>
      </c>
      <c r="X246" s="39" t="s">
        <v>1717</v>
      </c>
      <c r="Y246" s="39" t="s">
        <v>68</v>
      </c>
      <c r="Z246" s="39" t="s">
        <v>32</v>
      </c>
      <c r="AA246" s="39"/>
      <c r="AB246" s="44">
        <v>6289602777992</v>
      </c>
      <c r="AC246" s="39"/>
      <c r="AD246" s="39"/>
      <c r="AE246" s="39" t="s">
        <v>1718</v>
      </c>
      <c r="AF246" s="39"/>
      <c r="AG246" s="39" t="s">
        <v>444</v>
      </c>
      <c r="AH246" s="39" t="s">
        <v>1903</v>
      </c>
      <c r="AI246" s="39" t="s">
        <v>445</v>
      </c>
      <c r="AJ246" s="39" t="s">
        <v>1926</v>
      </c>
      <c r="AK246" t="b">
        <f t="shared" si="9"/>
        <v>1</v>
      </c>
      <c r="AL246" t="b">
        <f t="shared" si="10"/>
        <v>1</v>
      </c>
      <c r="AN246" t="e">
        <v>#N/A</v>
      </c>
      <c r="AP246" t="e">
        <f>_xlfn.XLOOKUP(F246,'Kolom info id dse &amp; part cd'!D:D,'Kolom info id dse &amp; part cd'!I:I)</f>
        <v>#N/A</v>
      </c>
      <c r="AQ246" t="e">
        <f t="shared" si="11"/>
        <v>#N/A</v>
      </c>
      <c r="AR246" t="str">
        <f>_xlfn.XLOOKUP($E246,'[1]Referensi New'!$D:$D,'[1]Referensi New'!$V:$V)</f>
        <v>CSOBUANAJKB001</v>
      </c>
    </row>
    <row r="247" spans="1:44" ht="16">
      <c r="A247" s="39" t="s">
        <v>20</v>
      </c>
      <c r="B247" s="39" t="s">
        <v>21</v>
      </c>
      <c r="C247" s="39" t="s">
        <v>281</v>
      </c>
      <c r="D247" s="39" t="s">
        <v>702</v>
      </c>
      <c r="E247" s="39" t="s">
        <v>703</v>
      </c>
      <c r="F247" s="39" t="s">
        <v>704</v>
      </c>
      <c r="G247" s="39" t="s">
        <v>705</v>
      </c>
      <c r="H247" s="39" t="s">
        <v>695</v>
      </c>
      <c r="I247" s="39" t="b">
        <v>0</v>
      </c>
      <c r="J247" s="39" t="s">
        <v>695</v>
      </c>
      <c r="K247" s="39" t="b">
        <v>0</v>
      </c>
      <c r="L247" s="39"/>
      <c r="M247" s="39" t="s">
        <v>1719</v>
      </c>
      <c r="N247" t="s">
        <v>1720</v>
      </c>
      <c r="O247" t="s">
        <v>1719</v>
      </c>
      <c r="P247" t="s">
        <v>1439</v>
      </c>
      <c r="Q247" s="39" t="s">
        <v>28</v>
      </c>
      <c r="R247" s="39" t="s">
        <v>45</v>
      </c>
      <c r="S247" s="39" t="s">
        <v>1721</v>
      </c>
      <c r="T247" s="39"/>
      <c r="U247" s="39"/>
      <c r="V247" s="39"/>
      <c r="W247" s="39" t="s">
        <v>1722</v>
      </c>
      <c r="X247" s="39" t="s">
        <v>1723</v>
      </c>
      <c r="Y247" s="39" t="s">
        <v>68</v>
      </c>
      <c r="Z247" s="39" t="s">
        <v>32</v>
      </c>
      <c r="AA247" s="39"/>
      <c r="AB247" s="44">
        <v>62895386577171</v>
      </c>
      <c r="AC247" s="39"/>
      <c r="AD247" s="39"/>
      <c r="AE247" s="39" t="s">
        <v>1724</v>
      </c>
      <c r="AF247" s="39"/>
      <c r="AG247" s="39" t="s">
        <v>704</v>
      </c>
      <c r="AH247" s="39" t="s">
        <v>1909</v>
      </c>
      <c r="AI247" s="39" t="s">
        <v>705</v>
      </c>
      <c r="AJ247" s="39" t="s">
        <v>1929</v>
      </c>
      <c r="AK247" t="b">
        <f t="shared" si="9"/>
        <v>1</v>
      </c>
      <c r="AL247" t="b">
        <f t="shared" si="10"/>
        <v>1</v>
      </c>
      <c r="AN247" t="e">
        <v>#N/A</v>
      </c>
      <c r="AP247" t="e">
        <f>_xlfn.XLOOKUP(F247,'Kolom info id dse &amp; part cd'!D:D,'Kolom info id dse &amp; part cd'!I:I)</f>
        <v>#N/A</v>
      </c>
      <c r="AQ247" t="e">
        <f t="shared" si="11"/>
        <v>#N/A</v>
      </c>
      <c r="AR247" t="str">
        <f>_xlfn.XLOOKUP($E247,'[1]Referensi New'!$D:$D,'[1]Referensi New'!$V:$V)</f>
        <v>CSO-LOKADPK26</v>
      </c>
    </row>
    <row r="248" spans="1:44" ht="16">
      <c r="A248" s="39" t="s">
        <v>20</v>
      </c>
      <c r="B248" s="39" t="s">
        <v>21</v>
      </c>
      <c r="C248" s="39" t="s">
        <v>58</v>
      </c>
      <c r="D248" s="39" t="s">
        <v>59</v>
      </c>
      <c r="E248" s="39" t="s">
        <v>60</v>
      </c>
      <c r="F248" s="39" t="s">
        <v>61</v>
      </c>
      <c r="G248" s="39" t="s">
        <v>62</v>
      </c>
      <c r="H248" s="39" t="s">
        <v>63</v>
      </c>
      <c r="I248" s="39" t="b">
        <v>0</v>
      </c>
      <c r="J248" s="39" t="s">
        <v>63</v>
      </c>
      <c r="K248" s="39" t="b">
        <v>0</v>
      </c>
      <c r="L248" s="39"/>
      <c r="M248" s="39" t="s">
        <v>1725</v>
      </c>
      <c r="N248" t="s">
        <v>1726</v>
      </c>
      <c r="O248" t="s">
        <v>1725</v>
      </c>
      <c r="P248" t="s">
        <v>1439</v>
      </c>
      <c r="Q248" s="39" t="s">
        <v>28</v>
      </c>
      <c r="R248" s="39" t="s">
        <v>45</v>
      </c>
      <c r="S248" s="39" t="s">
        <v>1727</v>
      </c>
      <c r="T248" s="39"/>
      <c r="U248" s="39"/>
      <c r="V248" s="39"/>
      <c r="W248" s="39" t="s">
        <v>1728</v>
      </c>
      <c r="X248" s="39" t="s">
        <v>1729</v>
      </c>
      <c r="Y248" s="39" t="s">
        <v>68</v>
      </c>
      <c r="Z248" s="39" t="s">
        <v>32</v>
      </c>
      <c r="AA248" s="39"/>
      <c r="AB248" s="44">
        <v>62895386584545</v>
      </c>
      <c r="AC248" s="39"/>
      <c r="AD248" s="39"/>
      <c r="AE248" s="39" t="s">
        <v>1730</v>
      </c>
      <c r="AF248" s="39"/>
      <c r="AG248" s="39" t="s">
        <v>61</v>
      </c>
      <c r="AH248" s="39" t="s">
        <v>1902</v>
      </c>
      <c r="AI248" s="39" t="s">
        <v>62</v>
      </c>
      <c r="AJ248" s="39" t="s">
        <v>1911</v>
      </c>
      <c r="AK248" t="b">
        <f t="shared" si="9"/>
        <v>1</v>
      </c>
      <c r="AL248" t="b">
        <f t="shared" si="10"/>
        <v>1</v>
      </c>
      <c r="AN248" t="e">
        <v>#N/A</v>
      </c>
      <c r="AP248" t="e">
        <f>_xlfn.XLOOKUP(F248,'Kolom info id dse &amp; part cd'!D:D,'Kolom info id dse &amp; part cd'!I:I)</f>
        <v>#N/A</v>
      </c>
      <c r="AQ248" t="e">
        <f t="shared" si="11"/>
        <v>#N/A</v>
      </c>
      <c r="AR248" t="str">
        <f>_xlfn.XLOOKUP($E248,'[1]Referensi New'!$D:$D,'[1]Referensi New'!$V:$V)</f>
        <v>DSEIN050</v>
      </c>
    </row>
    <row r="249" spans="1:44" ht="16">
      <c r="A249" s="39" t="s">
        <v>20</v>
      </c>
      <c r="B249" s="39" t="s">
        <v>21</v>
      </c>
      <c r="C249" s="39" t="s">
        <v>58</v>
      </c>
      <c r="D249" s="39" t="s">
        <v>93</v>
      </c>
      <c r="E249" s="39" t="s">
        <v>94</v>
      </c>
      <c r="F249" s="39" t="s">
        <v>95</v>
      </c>
      <c r="G249" s="39" t="s">
        <v>96</v>
      </c>
      <c r="H249" s="39" t="s">
        <v>63</v>
      </c>
      <c r="I249" s="39" t="b">
        <v>0</v>
      </c>
      <c r="J249" s="39" t="s">
        <v>63</v>
      </c>
      <c r="K249" s="39" t="b">
        <v>0</v>
      </c>
      <c r="L249" s="39"/>
      <c r="M249" s="39" t="s">
        <v>1731</v>
      </c>
      <c r="N249" t="s">
        <v>1732</v>
      </c>
      <c r="O249" t="s">
        <v>1731</v>
      </c>
      <c r="P249" t="s">
        <v>1439</v>
      </c>
      <c r="Q249" s="39" t="s">
        <v>28</v>
      </c>
      <c r="R249" s="39" t="s">
        <v>45</v>
      </c>
      <c r="S249" s="39" t="s">
        <v>1733</v>
      </c>
      <c r="T249" s="39"/>
      <c r="U249" s="39"/>
      <c r="V249" s="39"/>
      <c r="W249" s="39" t="s">
        <v>1734</v>
      </c>
      <c r="X249" s="39" t="s">
        <v>1735</v>
      </c>
      <c r="Y249" s="39" t="s">
        <v>68</v>
      </c>
      <c r="Z249" s="39" t="s">
        <v>32</v>
      </c>
      <c r="AA249" s="39"/>
      <c r="AB249" s="44">
        <v>62895386853434</v>
      </c>
      <c r="AC249" s="39"/>
      <c r="AD249" s="39"/>
      <c r="AE249" s="39" t="s">
        <v>1736</v>
      </c>
      <c r="AF249" s="39"/>
      <c r="AG249" s="39" t="s">
        <v>95</v>
      </c>
      <c r="AH249" s="39" t="s">
        <v>1902</v>
      </c>
      <c r="AI249" s="39" t="s">
        <v>96</v>
      </c>
      <c r="AJ249" s="39" t="s">
        <v>1911</v>
      </c>
      <c r="AK249" t="b">
        <f t="shared" si="9"/>
        <v>1</v>
      </c>
      <c r="AL249" t="b">
        <f t="shared" si="10"/>
        <v>1</v>
      </c>
      <c r="AN249" t="e">
        <v>#N/A</v>
      </c>
      <c r="AP249" t="e">
        <f>_xlfn.XLOOKUP(F249,'Kolom info id dse &amp; part cd'!D:D,'Kolom info id dse &amp; part cd'!I:I)</f>
        <v>#N/A</v>
      </c>
      <c r="AQ249" t="e">
        <f t="shared" si="11"/>
        <v>#N/A</v>
      </c>
      <c r="AR249" t="str">
        <f>_xlfn.XLOOKUP($E249,'[1]Referensi New'!$D:$D,'[1]Referensi New'!$V:$V)</f>
        <v>DSEIN047</v>
      </c>
    </row>
    <row r="250" spans="1:44" ht="16">
      <c r="A250" s="39" t="s">
        <v>20</v>
      </c>
      <c r="B250" s="39" t="s">
        <v>21</v>
      </c>
      <c r="C250" s="39" t="s">
        <v>58</v>
      </c>
      <c r="D250" s="39" t="s">
        <v>59</v>
      </c>
      <c r="E250" s="39" t="s">
        <v>60</v>
      </c>
      <c r="F250" s="39" t="s">
        <v>61</v>
      </c>
      <c r="G250" s="39" t="s">
        <v>62</v>
      </c>
      <c r="H250" s="39" t="s">
        <v>63</v>
      </c>
      <c r="I250" s="39" t="b">
        <v>0</v>
      </c>
      <c r="J250" s="39" t="s">
        <v>63</v>
      </c>
      <c r="K250" s="39" t="b">
        <v>0</v>
      </c>
      <c r="L250" s="39"/>
      <c r="M250" s="39" t="s">
        <v>1737</v>
      </c>
      <c r="N250" t="s">
        <v>1738</v>
      </c>
      <c r="O250" t="s">
        <v>1737</v>
      </c>
      <c r="P250" t="s">
        <v>1439</v>
      </c>
      <c r="Q250" s="39" t="s">
        <v>28</v>
      </c>
      <c r="R250" s="39" t="s">
        <v>45</v>
      </c>
      <c r="S250" s="39" t="s">
        <v>1739</v>
      </c>
      <c r="T250" s="39"/>
      <c r="U250" s="39"/>
      <c r="V250" s="39"/>
      <c r="W250" s="39" t="s">
        <v>1740</v>
      </c>
      <c r="X250" s="39" t="s">
        <v>1741</v>
      </c>
      <c r="Y250" s="39" t="s">
        <v>119</v>
      </c>
      <c r="Z250" s="39" t="s">
        <v>32</v>
      </c>
      <c r="AA250" s="39"/>
      <c r="AB250" s="44">
        <v>62895386854646</v>
      </c>
      <c r="AC250" s="39"/>
      <c r="AD250" s="39"/>
      <c r="AE250" s="39" t="s">
        <v>1742</v>
      </c>
      <c r="AF250" s="39"/>
      <c r="AG250" s="39" t="s">
        <v>61</v>
      </c>
      <c r="AH250" s="39" t="s">
        <v>1902</v>
      </c>
      <c r="AI250" s="39" t="s">
        <v>62</v>
      </c>
      <c r="AJ250" s="39" t="s">
        <v>1911</v>
      </c>
      <c r="AK250" t="b">
        <f t="shared" si="9"/>
        <v>1</v>
      </c>
      <c r="AL250" t="b">
        <f t="shared" si="10"/>
        <v>1</v>
      </c>
      <c r="AN250" t="e">
        <v>#N/A</v>
      </c>
      <c r="AP250" t="e">
        <f>_xlfn.XLOOKUP(F250,'Kolom info id dse &amp; part cd'!D:D,'Kolom info id dse &amp; part cd'!I:I)</f>
        <v>#N/A</v>
      </c>
      <c r="AQ250" t="e">
        <f t="shared" si="11"/>
        <v>#N/A</v>
      </c>
      <c r="AR250" t="str">
        <f>_xlfn.XLOOKUP($E250,'[1]Referensi New'!$D:$D,'[1]Referensi New'!$V:$V)</f>
        <v>DSEIN050</v>
      </c>
    </row>
    <row r="251" spans="1:44" ht="16">
      <c r="A251" s="39" t="s">
        <v>20</v>
      </c>
      <c r="B251" s="39" t="s">
        <v>21</v>
      </c>
      <c r="C251" s="39" t="s">
        <v>58</v>
      </c>
      <c r="D251" s="39" t="s">
        <v>93</v>
      </c>
      <c r="E251" s="39" t="s">
        <v>94</v>
      </c>
      <c r="F251" s="39" t="s">
        <v>95</v>
      </c>
      <c r="G251" s="39" t="s">
        <v>96</v>
      </c>
      <c r="H251" s="39" t="s">
        <v>63</v>
      </c>
      <c r="I251" s="39" t="b">
        <v>0</v>
      </c>
      <c r="J251" s="39" t="s">
        <v>63</v>
      </c>
      <c r="K251" s="39" t="b">
        <v>0</v>
      </c>
      <c r="L251" s="39"/>
      <c r="M251" s="39" t="s">
        <v>1743</v>
      </c>
      <c r="N251" t="s">
        <v>1744</v>
      </c>
      <c r="O251" t="s">
        <v>1743</v>
      </c>
      <c r="P251" t="s">
        <v>1439</v>
      </c>
      <c r="Q251" s="39" t="s">
        <v>28</v>
      </c>
      <c r="R251" s="39" t="s">
        <v>45</v>
      </c>
      <c r="S251" s="39" t="s">
        <v>1745</v>
      </c>
      <c r="T251" s="39"/>
      <c r="U251" s="39"/>
      <c r="V251" s="39"/>
      <c r="W251" s="39" t="s">
        <v>1746</v>
      </c>
      <c r="X251" s="39" t="s">
        <v>1747</v>
      </c>
      <c r="Y251" s="39" t="s">
        <v>68</v>
      </c>
      <c r="Z251" s="39" t="s">
        <v>32</v>
      </c>
      <c r="AA251" s="39"/>
      <c r="AB251" s="44">
        <v>62895386859030</v>
      </c>
      <c r="AC251" s="39"/>
      <c r="AD251" s="39"/>
      <c r="AE251" s="39" t="s">
        <v>1748</v>
      </c>
      <c r="AF251" s="39"/>
      <c r="AG251" s="39" t="s">
        <v>95</v>
      </c>
      <c r="AH251" s="39" t="s">
        <v>1902</v>
      </c>
      <c r="AI251" s="39" t="s">
        <v>96</v>
      </c>
      <c r="AJ251" s="39" t="s">
        <v>1911</v>
      </c>
      <c r="AK251" t="b">
        <f t="shared" si="9"/>
        <v>1</v>
      </c>
      <c r="AL251" t="b">
        <f t="shared" si="10"/>
        <v>1</v>
      </c>
      <c r="AN251" t="e">
        <v>#N/A</v>
      </c>
      <c r="AP251" t="e">
        <f>_xlfn.XLOOKUP(F251,'Kolom info id dse &amp; part cd'!D:D,'Kolom info id dse &amp; part cd'!I:I)</f>
        <v>#N/A</v>
      </c>
      <c r="AQ251" t="e">
        <f t="shared" si="11"/>
        <v>#N/A</v>
      </c>
      <c r="AR251" t="str">
        <f>_xlfn.XLOOKUP($E251,'[1]Referensi New'!$D:$D,'[1]Referensi New'!$V:$V)</f>
        <v>DSEIN047</v>
      </c>
    </row>
    <row r="252" spans="1:44" ht="16">
      <c r="A252" s="39" t="s">
        <v>20</v>
      </c>
      <c r="B252" s="39" t="s">
        <v>21</v>
      </c>
      <c r="C252" s="39" t="s">
        <v>58</v>
      </c>
      <c r="D252" s="39" t="s">
        <v>59</v>
      </c>
      <c r="E252" s="39" t="s">
        <v>60</v>
      </c>
      <c r="F252" s="39" t="s">
        <v>61</v>
      </c>
      <c r="G252" s="39" t="s">
        <v>62</v>
      </c>
      <c r="H252" s="39" t="s">
        <v>63</v>
      </c>
      <c r="I252" s="39" t="b">
        <v>0</v>
      </c>
      <c r="J252" s="39" t="s">
        <v>63</v>
      </c>
      <c r="K252" s="39" t="b">
        <v>0</v>
      </c>
      <c r="L252" s="39"/>
      <c r="M252" s="39" t="s">
        <v>1749</v>
      </c>
      <c r="N252" t="s">
        <v>1750</v>
      </c>
      <c r="O252" t="s">
        <v>1749</v>
      </c>
      <c r="P252" t="s">
        <v>1439</v>
      </c>
      <c r="Q252" s="39" t="s">
        <v>28</v>
      </c>
      <c r="R252" s="39" t="s">
        <v>45</v>
      </c>
      <c r="S252" s="39" t="s">
        <v>1751</v>
      </c>
      <c r="T252" s="39"/>
      <c r="U252" s="39"/>
      <c r="V252" s="39"/>
      <c r="W252" s="39" t="s">
        <v>1752</v>
      </c>
      <c r="X252" s="39" t="s">
        <v>1753</v>
      </c>
      <c r="Y252" s="39" t="s">
        <v>68</v>
      </c>
      <c r="Z252" s="39" t="s">
        <v>32</v>
      </c>
      <c r="AA252" s="39"/>
      <c r="AB252" s="44">
        <v>62895386870202</v>
      </c>
      <c r="AC252" s="39"/>
      <c r="AD252" s="39"/>
      <c r="AE252" s="39" t="s">
        <v>1754</v>
      </c>
      <c r="AF252" s="39"/>
      <c r="AG252" s="39" t="s">
        <v>61</v>
      </c>
      <c r="AH252" s="39" t="s">
        <v>1902</v>
      </c>
      <c r="AI252" s="39" t="s">
        <v>62</v>
      </c>
      <c r="AJ252" s="39" t="s">
        <v>1911</v>
      </c>
      <c r="AK252" t="b">
        <f t="shared" si="9"/>
        <v>1</v>
      </c>
      <c r="AL252" t="b">
        <f t="shared" si="10"/>
        <v>1</v>
      </c>
      <c r="AN252" t="e">
        <v>#N/A</v>
      </c>
      <c r="AP252" t="e">
        <f>_xlfn.XLOOKUP(F252,'Kolom info id dse &amp; part cd'!D:D,'Kolom info id dse &amp; part cd'!I:I)</f>
        <v>#N/A</v>
      </c>
      <c r="AQ252" t="e">
        <f t="shared" si="11"/>
        <v>#N/A</v>
      </c>
      <c r="AR252" t="str">
        <f>_xlfn.XLOOKUP($E252,'[1]Referensi New'!$D:$D,'[1]Referensi New'!$V:$V)</f>
        <v>DSEIN050</v>
      </c>
    </row>
    <row r="253" spans="1:44" ht="16">
      <c r="A253" s="39" t="s">
        <v>20</v>
      </c>
      <c r="B253" s="39" t="s">
        <v>21</v>
      </c>
      <c r="C253" s="39" t="s">
        <v>281</v>
      </c>
      <c r="D253" s="39" t="s">
        <v>282</v>
      </c>
      <c r="E253" s="39" t="s">
        <v>283</v>
      </c>
      <c r="F253" s="39" t="s">
        <v>284</v>
      </c>
      <c r="G253" s="39" t="s">
        <v>285</v>
      </c>
      <c r="H253" s="39" t="s">
        <v>63</v>
      </c>
      <c r="I253" s="39" t="b">
        <v>0</v>
      </c>
      <c r="J253" s="39" t="s">
        <v>63</v>
      </c>
      <c r="K253" s="39" t="b">
        <v>0</v>
      </c>
      <c r="L253" s="39"/>
      <c r="M253" s="39" t="s">
        <v>1761</v>
      </c>
      <c r="N253" t="s">
        <v>1762</v>
      </c>
      <c r="O253" t="s">
        <v>1761</v>
      </c>
      <c r="P253" t="s">
        <v>1439</v>
      </c>
      <c r="Q253" s="39" t="s">
        <v>28</v>
      </c>
      <c r="R253" s="39" t="s">
        <v>45</v>
      </c>
      <c r="S253" s="39" t="s">
        <v>1763</v>
      </c>
      <c r="T253" s="39"/>
      <c r="U253" s="39"/>
      <c r="V253" s="39"/>
      <c r="W253" s="39" t="s">
        <v>1764</v>
      </c>
      <c r="X253" s="39" t="s">
        <v>1765</v>
      </c>
      <c r="Y253" s="39" t="s">
        <v>68</v>
      </c>
      <c r="Z253" s="39" t="s">
        <v>32</v>
      </c>
      <c r="AA253" s="39"/>
      <c r="AB253" s="44">
        <v>6289507336727</v>
      </c>
      <c r="AC253" s="39"/>
      <c r="AD253" s="39"/>
      <c r="AE253" s="39" t="s">
        <v>1766</v>
      </c>
      <c r="AF253" s="39"/>
      <c r="AG253" s="39" t="s">
        <v>284</v>
      </c>
      <c r="AH253" s="39" t="s">
        <v>1902</v>
      </c>
      <c r="AI253" s="39" t="s">
        <v>285</v>
      </c>
      <c r="AJ253" s="39" t="s">
        <v>1921</v>
      </c>
      <c r="AK253" t="b">
        <f t="shared" si="9"/>
        <v>1</v>
      </c>
      <c r="AL253" t="b">
        <f t="shared" si="10"/>
        <v>1</v>
      </c>
      <c r="AN253" t="e">
        <v>#N/A</v>
      </c>
      <c r="AP253" t="e">
        <f>_xlfn.XLOOKUP(F253,'Kolom info id dse &amp; part cd'!D:D,'Kolom info id dse &amp; part cd'!I:I)</f>
        <v>#N/A</v>
      </c>
      <c r="AQ253" t="e">
        <f t="shared" si="11"/>
        <v>#N/A</v>
      </c>
      <c r="AR253">
        <f>_xlfn.XLOOKUP($E253,'[1]Referensi New'!$D:$D,'[1]Referensi New'!$V:$V)</f>
        <v>2613052261</v>
      </c>
    </row>
    <row r="254" spans="1:44" ht="16">
      <c r="A254" s="39" t="s">
        <v>20</v>
      </c>
      <c r="B254" s="39" t="s">
        <v>21</v>
      </c>
      <c r="C254" s="39" t="s">
        <v>281</v>
      </c>
      <c r="D254" s="39" t="s">
        <v>282</v>
      </c>
      <c r="E254" s="39" t="s">
        <v>283</v>
      </c>
      <c r="F254" s="39" t="s">
        <v>284</v>
      </c>
      <c r="G254" s="39" t="s">
        <v>285</v>
      </c>
      <c r="H254" s="39" t="s">
        <v>63</v>
      </c>
      <c r="I254" s="39" t="b">
        <v>0</v>
      </c>
      <c r="J254" s="39" t="s">
        <v>63</v>
      </c>
      <c r="K254" s="39" t="b">
        <v>0</v>
      </c>
      <c r="L254" s="39"/>
      <c r="M254" s="39" t="s">
        <v>1773</v>
      </c>
      <c r="N254" t="s">
        <v>1774</v>
      </c>
      <c r="O254" t="s">
        <v>1773</v>
      </c>
      <c r="P254" t="s">
        <v>1439</v>
      </c>
      <c r="Q254" s="39" t="s">
        <v>28</v>
      </c>
      <c r="R254" s="39" t="s">
        <v>45</v>
      </c>
      <c r="S254" s="39" t="s">
        <v>1775</v>
      </c>
      <c r="T254" s="39"/>
      <c r="U254" s="39"/>
      <c r="V254" s="39"/>
      <c r="W254" s="39" t="s">
        <v>1776</v>
      </c>
      <c r="X254" s="39" t="s">
        <v>1777</v>
      </c>
      <c r="Y254" s="39" t="s">
        <v>119</v>
      </c>
      <c r="Z254" s="39" t="s">
        <v>32</v>
      </c>
      <c r="AA254" s="39"/>
      <c r="AB254" s="44">
        <v>6289507363417</v>
      </c>
      <c r="AC254" s="39"/>
      <c r="AD254" s="39"/>
      <c r="AE254" s="39" t="s">
        <v>1778</v>
      </c>
      <c r="AF254" s="39"/>
      <c r="AG254" s="39" t="s">
        <v>284</v>
      </c>
      <c r="AH254" s="39" t="s">
        <v>1902</v>
      </c>
      <c r="AI254" s="39" t="s">
        <v>285</v>
      </c>
      <c r="AJ254" s="39" t="s">
        <v>1921</v>
      </c>
      <c r="AK254" t="b">
        <f t="shared" si="9"/>
        <v>1</v>
      </c>
      <c r="AL254" t="b">
        <f t="shared" si="10"/>
        <v>1</v>
      </c>
      <c r="AN254" t="e">
        <v>#N/A</v>
      </c>
      <c r="AP254" t="e">
        <f>_xlfn.XLOOKUP(F254,'Kolom info id dse &amp; part cd'!D:D,'Kolom info id dse &amp; part cd'!I:I)</f>
        <v>#N/A</v>
      </c>
      <c r="AQ254" t="e">
        <f t="shared" si="11"/>
        <v>#N/A</v>
      </c>
      <c r="AR254">
        <f>_xlfn.XLOOKUP($E254,'[1]Referensi New'!$D:$D,'[1]Referensi New'!$V:$V)</f>
        <v>2613052261</v>
      </c>
    </row>
    <row r="255" spans="1:44" ht="16">
      <c r="A255" s="39" t="s">
        <v>20</v>
      </c>
      <c r="B255" s="39" t="s">
        <v>21</v>
      </c>
      <c r="C255" s="39" t="s">
        <v>22</v>
      </c>
      <c r="D255" s="39" t="s">
        <v>443</v>
      </c>
      <c r="E255" s="39" t="s">
        <v>24</v>
      </c>
      <c r="F255" s="39" t="s">
        <v>444</v>
      </c>
      <c r="G255" s="39" t="s">
        <v>445</v>
      </c>
      <c r="H255" s="39" t="s">
        <v>75</v>
      </c>
      <c r="I255" s="39" t="b">
        <v>0</v>
      </c>
      <c r="J255" s="39" t="s">
        <v>75</v>
      </c>
      <c r="K255" s="39" t="b">
        <v>0</v>
      </c>
      <c r="L255" s="39"/>
      <c r="M255" s="39" t="s">
        <v>1779</v>
      </c>
      <c r="N255" t="s">
        <v>1780</v>
      </c>
      <c r="O255" t="s">
        <v>1779</v>
      </c>
      <c r="P255" t="s">
        <v>1439</v>
      </c>
      <c r="Q255" s="39" t="s">
        <v>28</v>
      </c>
      <c r="R255" s="39" t="s">
        <v>45</v>
      </c>
      <c r="S255" s="39" t="s">
        <v>1781</v>
      </c>
      <c r="T255" s="39"/>
      <c r="U255" s="39"/>
      <c r="V255" s="39"/>
      <c r="W255" s="39" t="s">
        <v>1782</v>
      </c>
      <c r="X255" s="39" t="s">
        <v>1783</v>
      </c>
      <c r="Y255" s="39" t="s">
        <v>68</v>
      </c>
      <c r="Z255" s="39" t="s">
        <v>32</v>
      </c>
      <c r="AA255" s="39"/>
      <c r="AB255" s="44">
        <v>6289602777984</v>
      </c>
      <c r="AC255" s="39"/>
      <c r="AD255" s="39"/>
      <c r="AE255" s="39" t="s">
        <v>1784</v>
      </c>
      <c r="AF255" s="39"/>
      <c r="AG255" s="39" t="s">
        <v>444</v>
      </c>
      <c r="AH255" s="39" t="s">
        <v>1903</v>
      </c>
      <c r="AI255" s="39" t="s">
        <v>445</v>
      </c>
      <c r="AJ255" s="39" t="s">
        <v>1926</v>
      </c>
      <c r="AK255" t="b">
        <f t="shared" si="9"/>
        <v>1</v>
      </c>
      <c r="AL255" t="b">
        <f t="shared" si="10"/>
        <v>1</v>
      </c>
      <c r="AN255" t="e">
        <v>#N/A</v>
      </c>
      <c r="AP255" t="e">
        <f>_xlfn.XLOOKUP(F255,'Kolom info id dse &amp; part cd'!D:D,'Kolom info id dse &amp; part cd'!I:I)</f>
        <v>#N/A</v>
      </c>
      <c r="AQ255" t="e">
        <f t="shared" si="11"/>
        <v>#N/A</v>
      </c>
      <c r="AR255" t="str">
        <f>_xlfn.XLOOKUP($E255,'[1]Referensi New'!$D:$D,'[1]Referensi New'!$V:$V)</f>
        <v>CSOBUANAJKB001</v>
      </c>
    </row>
    <row r="256" spans="1:44" ht="16">
      <c r="A256" s="39" t="s">
        <v>20</v>
      </c>
      <c r="B256" s="39" t="s">
        <v>21</v>
      </c>
      <c r="C256" s="39" t="s">
        <v>22</v>
      </c>
      <c r="D256" s="39" t="s">
        <v>498</v>
      </c>
      <c r="E256" s="39" t="s">
        <v>499</v>
      </c>
      <c r="F256" s="39" t="s">
        <v>500</v>
      </c>
      <c r="G256" s="39" t="s">
        <v>501</v>
      </c>
      <c r="H256" s="39" t="s">
        <v>75</v>
      </c>
      <c r="I256" s="39" t="b">
        <v>0</v>
      </c>
      <c r="J256" s="39" t="s">
        <v>75</v>
      </c>
      <c r="K256" s="39" t="b">
        <v>0</v>
      </c>
      <c r="L256" s="39"/>
      <c r="M256" s="39" t="s">
        <v>1785</v>
      </c>
      <c r="N256" t="s">
        <v>1786</v>
      </c>
      <c r="O256" t="s">
        <v>1785</v>
      </c>
      <c r="P256" t="s">
        <v>1439</v>
      </c>
      <c r="Q256" s="39" t="s">
        <v>28</v>
      </c>
      <c r="R256" s="39" t="s">
        <v>45</v>
      </c>
      <c r="S256" s="39" t="s">
        <v>1787</v>
      </c>
      <c r="T256" s="39"/>
      <c r="U256" s="39"/>
      <c r="V256" s="39"/>
      <c r="W256" s="39" t="s">
        <v>1788</v>
      </c>
      <c r="X256" s="39" t="s">
        <v>1789</v>
      </c>
      <c r="Y256" s="39" t="s">
        <v>68</v>
      </c>
      <c r="Z256" s="39" t="s">
        <v>32</v>
      </c>
      <c r="AA256" s="39"/>
      <c r="AB256" s="44">
        <v>6289602777985</v>
      </c>
      <c r="AC256" s="39"/>
      <c r="AD256" s="39"/>
      <c r="AE256" s="39" t="s">
        <v>1790</v>
      </c>
      <c r="AF256" s="39"/>
      <c r="AG256" s="39" t="s">
        <v>500</v>
      </c>
      <c r="AH256" s="39" t="s">
        <v>1903</v>
      </c>
      <c r="AI256" s="39" t="s">
        <v>501</v>
      </c>
      <c r="AJ256" s="39" t="s">
        <v>1926</v>
      </c>
      <c r="AK256" t="b">
        <f t="shared" si="9"/>
        <v>1</v>
      </c>
      <c r="AL256" t="b">
        <f t="shared" si="10"/>
        <v>1</v>
      </c>
      <c r="AN256" t="e">
        <v>#N/A</v>
      </c>
      <c r="AP256" t="e">
        <f>_xlfn.XLOOKUP(F256,'Kolom info id dse &amp; part cd'!D:D,'Kolom info id dse &amp; part cd'!I:I)</f>
        <v>#N/A</v>
      </c>
      <c r="AQ256" t="e">
        <f t="shared" si="11"/>
        <v>#N/A</v>
      </c>
      <c r="AR256" t="str">
        <f>_xlfn.XLOOKUP($E256,'[1]Referensi New'!$D:$D,'[1]Referensi New'!$V:$V)</f>
        <v>CSOBUANAJKB06</v>
      </c>
    </row>
    <row r="257" spans="1:44" ht="16">
      <c r="A257" s="39" t="s">
        <v>20</v>
      </c>
      <c r="B257" s="39" t="s">
        <v>21</v>
      </c>
      <c r="C257" s="39" t="s">
        <v>22</v>
      </c>
      <c r="D257" s="39" t="s">
        <v>498</v>
      </c>
      <c r="E257" s="39" t="s">
        <v>499</v>
      </c>
      <c r="F257" s="39" t="s">
        <v>500</v>
      </c>
      <c r="G257" s="39" t="s">
        <v>501</v>
      </c>
      <c r="H257" s="39" t="s">
        <v>75</v>
      </c>
      <c r="I257" s="39" t="b">
        <v>0</v>
      </c>
      <c r="J257" s="39" t="s">
        <v>75</v>
      </c>
      <c r="K257" s="39" t="b">
        <v>0</v>
      </c>
      <c r="L257" s="39"/>
      <c r="M257" s="39" t="s">
        <v>1791</v>
      </c>
      <c r="N257" t="s">
        <v>1792</v>
      </c>
      <c r="O257" t="s">
        <v>1791</v>
      </c>
      <c r="P257" t="s">
        <v>1439</v>
      </c>
      <c r="Q257" s="39" t="s">
        <v>28</v>
      </c>
      <c r="R257" s="39" t="s">
        <v>45</v>
      </c>
      <c r="S257" s="39" t="s">
        <v>1793</v>
      </c>
      <c r="T257" s="39"/>
      <c r="U257" s="39"/>
      <c r="V257" s="39"/>
      <c r="W257" s="39" t="s">
        <v>1794</v>
      </c>
      <c r="X257" s="39" t="s">
        <v>1795</v>
      </c>
      <c r="Y257" s="39" t="s">
        <v>68</v>
      </c>
      <c r="Z257" s="39" t="s">
        <v>32</v>
      </c>
      <c r="AA257" s="39"/>
      <c r="AB257" s="44">
        <v>6289602777988</v>
      </c>
      <c r="AC257" s="39"/>
      <c r="AD257" s="39"/>
      <c r="AE257" s="39" t="s">
        <v>1796</v>
      </c>
      <c r="AF257" s="39"/>
      <c r="AG257" s="39" t="s">
        <v>500</v>
      </c>
      <c r="AH257" s="39" t="s">
        <v>1903</v>
      </c>
      <c r="AI257" s="39" t="s">
        <v>501</v>
      </c>
      <c r="AJ257" s="39" t="s">
        <v>1926</v>
      </c>
      <c r="AK257" t="b">
        <f t="shared" si="9"/>
        <v>1</v>
      </c>
      <c r="AL257" t="b">
        <f t="shared" si="10"/>
        <v>1</v>
      </c>
      <c r="AN257" t="e">
        <v>#N/A</v>
      </c>
      <c r="AP257" t="e">
        <f>_xlfn.XLOOKUP(F257,'Kolom info id dse &amp; part cd'!D:D,'Kolom info id dse &amp; part cd'!I:I)</f>
        <v>#N/A</v>
      </c>
      <c r="AQ257" t="e">
        <f t="shared" si="11"/>
        <v>#N/A</v>
      </c>
      <c r="AR257" t="str">
        <f>_xlfn.XLOOKUP($E257,'[1]Referensi New'!$D:$D,'[1]Referensi New'!$V:$V)</f>
        <v>CSOBUANAJKB06</v>
      </c>
    </row>
    <row r="258" spans="1:44" ht="16">
      <c r="A258" s="39" t="s">
        <v>20</v>
      </c>
      <c r="B258" s="39" t="s">
        <v>21</v>
      </c>
      <c r="C258" s="39" t="s">
        <v>22</v>
      </c>
      <c r="D258" s="39" t="s">
        <v>443</v>
      </c>
      <c r="E258" s="39" t="s">
        <v>24</v>
      </c>
      <c r="F258" s="39" t="s">
        <v>444</v>
      </c>
      <c r="G258" s="39" t="s">
        <v>445</v>
      </c>
      <c r="H258" s="39" t="s">
        <v>75</v>
      </c>
      <c r="I258" s="39" t="b">
        <v>0</v>
      </c>
      <c r="J258" s="39" t="s">
        <v>75</v>
      </c>
      <c r="K258" s="39" t="b">
        <v>0</v>
      </c>
      <c r="L258" s="39"/>
      <c r="M258" s="39" t="s">
        <v>1797</v>
      </c>
      <c r="N258" t="s">
        <v>1798</v>
      </c>
      <c r="O258" t="s">
        <v>1797</v>
      </c>
      <c r="P258" t="s">
        <v>1439</v>
      </c>
      <c r="Q258" s="39" t="s">
        <v>28</v>
      </c>
      <c r="R258" s="39" t="s">
        <v>44</v>
      </c>
      <c r="S258" s="39" t="s">
        <v>1799</v>
      </c>
      <c r="T258" s="39"/>
      <c r="U258" s="39"/>
      <c r="V258" s="39"/>
      <c r="W258" s="39" t="s">
        <v>1800</v>
      </c>
      <c r="X258" s="39" t="s">
        <v>1801</v>
      </c>
      <c r="Y258" s="39" t="s">
        <v>68</v>
      </c>
      <c r="Z258" s="39" t="s">
        <v>32</v>
      </c>
      <c r="AA258" s="39">
        <v>6295396000709</v>
      </c>
      <c r="AB258" s="44">
        <v>628999998911</v>
      </c>
      <c r="AC258" s="39"/>
      <c r="AD258" s="39"/>
      <c r="AE258" s="39" t="s">
        <v>1802</v>
      </c>
      <c r="AF258" s="39"/>
      <c r="AG258" s="39" t="s">
        <v>444</v>
      </c>
      <c r="AH258" s="39" t="s">
        <v>1903</v>
      </c>
      <c r="AI258" s="39" t="s">
        <v>445</v>
      </c>
      <c r="AJ258" s="39" t="s">
        <v>1926</v>
      </c>
      <c r="AK258" t="b">
        <f t="shared" ref="AK258:AK273" si="12">AG258=F258</f>
        <v>1</v>
      </c>
      <c r="AL258" t="b">
        <f t="shared" ref="AL258:AL273" si="13">AI258=G258</f>
        <v>1</v>
      </c>
      <c r="AN258" t="e">
        <v>#N/A</v>
      </c>
      <c r="AP258" t="e">
        <f>_xlfn.XLOOKUP(F258,'Kolom info id dse &amp; part cd'!D:D,'Kolom info id dse &amp; part cd'!I:I)</f>
        <v>#N/A</v>
      </c>
      <c r="AQ258" t="e">
        <f t="shared" si="11"/>
        <v>#N/A</v>
      </c>
      <c r="AR258" t="str">
        <f>_xlfn.XLOOKUP($E258,'[1]Referensi New'!$D:$D,'[1]Referensi New'!$V:$V)</f>
        <v>CSOBUANAJKB001</v>
      </c>
    </row>
    <row r="259" spans="1:44" ht="16">
      <c r="A259" s="39" t="s">
        <v>20</v>
      </c>
      <c r="B259" s="39" t="s">
        <v>21</v>
      </c>
      <c r="C259" s="39" t="s">
        <v>22</v>
      </c>
      <c r="D259" s="39" t="s">
        <v>470</v>
      </c>
      <c r="E259" s="39" t="s">
        <v>471</v>
      </c>
      <c r="F259" s="39" t="s">
        <v>472</v>
      </c>
      <c r="G259" s="39" t="s">
        <v>473</v>
      </c>
      <c r="H259" s="39" t="s">
        <v>75</v>
      </c>
      <c r="I259" s="39" t="b">
        <v>0</v>
      </c>
      <c r="J259" s="39" t="s">
        <v>75</v>
      </c>
      <c r="K259" s="39" t="b">
        <v>0</v>
      </c>
      <c r="L259" s="39"/>
      <c r="M259" s="39" t="s">
        <v>1803</v>
      </c>
      <c r="N259" t="s">
        <v>1804</v>
      </c>
      <c r="O259" t="s">
        <v>1803</v>
      </c>
      <c r="P259" t="s">
        <v>1439</v>
      </c>
      <c r="Q259" s="39" t="s">
        <v>28</v>
      </c>
      <c r="R259" s="39" t="s">
        <v>45</v>
      </c>
      <c r="S259" s="39" t="s">
        <v>1805</v>
      </c>
      <c r="T259" s="39"/>
      <c r="U259" s="39"/>
      <c r="V259" s="39"/>
      <c r="W259" s="39" t="s">
        <v>1806</v>
      </c>
      <c r="X259" s="39" t="s">
        <v>1807</v>
      </c>
      <c r="Y259" s="39" t="s">
        <v>68</v>
      </c>
      <c r="Z259" s="39" t="s">
        <v>32</v>
      </c>
      <c r="AA259" s="39"/>
      <c r="AB259" s="44">
        <v>6289602777994</v>
      </c>
      <c r="AC259" s="39"/>
      <c r="AD259" s="39"/>
      <c r="AE259" s="39" t="s">
        <v>1808</v>
      </c>
      <c r="AF259" s="39"/>
      <c r="AG259" s="39" t="s">
        <v>472</v>
      </c>
      <c r="AH259" s="39" t="s">
        <v>1903</v>
      </c>
      <c r="AI259" s="39" t="s">
        <v>473</v>
      </c>
      <c r="AJ259" s="39" t="s">
        <v>1927</v>
      </c>
      <c r="AK259" t="b">
        <f t="shared" si="12"/>
        <v>1</v>
      </c>
      <c r="AL259" t="b">
        <f t="shared" si="13"/>
        <v>1</v>
      </c>
      <c r="AN259" t="e">
        <v>#N/A</v>
      </c>
      <c r="AP259" t="e">
        <f>_xlfn.XLOOKUP(F259,'Kolom info id dse &amp; part cd'!D:D,'Kolom info id dse &amp; part cd'!I:I)</f>
        <v>#N/A</v>
      </c>
      <c r="AQ259" t="e">
        <f t="shared" ref="AQ259:AQ276" si="14">AP259=D259</f>
        <v>#N/A</v>
      </c>
      <c r="AR259">
        <f>_xlfn.XLOOKUP($E259,'[1]Referensi New'!$D:$D,'[1]Referensi New'!$V:$V)</f>
        <v>2613051407</v>
      </c>
    </row>
    <row r="260" spans="1:44" ht="16">
      <c r="A260" s="39" t="s">
        <v>20</v>
      </c>
      <c r="B260" s="39" t="s">
        <v>21</v>
      </c>
      <c r="C260" s="39" t="s">
        <v>22</v>
      </c>
      <c r="D260" s="39" t="s">
        <v>498</v>
      </c>
      <c r="E260" s="39" t="s">
        <v>499</v>
      </c>
      <c r="F260" s="39" t="s">
        <v>500</v>
      </c>
      <c r="G260" s="39" t="s">
        <v>501</v>
      </c>
      <c r="H260" s="39" t="s">
        <v>75</v>
      </c>
      <c r="I260" s="39" t="b">
        <v>0</v>
      </c>
      <c r="J260" s="39" t="s">
        <v>75</v>
      </c>
      <c r="K260" s="39" t="b">
        <v>0</v>
      </c>
      <c r="L260" s="39"/>
      <c r="M260" s="39" t="s">
        <v>1809</v>
      </c>
      <c r="N260" t="s">
        <v>1810</v>
      </c>
      <c r="O260" t="s">
        <v>1809</v>
      </c>
      <c r="P260" t="s">
        <v>1439</v>
      </c>
      <c r="Q260" s="39" t="s">
        <v>28</v>
      </c>
      <c r="R260" s="39" t="s">
        <v>45</v>
      </c>
      <c r="S260" s="39" t="s">
        <v>1811</v>
      </c>
      <c r="T260" s="39"/>
      <c r="U260" s="39"/>
      <c r="V260" s="39"/>
      <c r="W260" s="39" t="s">
        <v>1812</v>
      </c>
      <c r="X260" s="39" t="s">
        <v>1813</v>
      </c>
      <c r="Y260" s="39" t="s">
        <v>68</v>
      </c>
      <c r="Z260" s="39" t="s">
        <v>32</v>
      </c>
      <c r="AA260" s="39"/>
      <c r="AB260" s="44">
        <v>6289602777998</v>
      </c>
      <c r="AC260" s="39"/>
      <c r="AD260" s="39"/>
      <c r="AE260" s="39" t="s">
        <v>1814</v>
      </c>
      <c r="AF260" s="39"/>
      <c r="AG260" s="39" t="s">
        <v>500</v>
      </c>
      <c r="AH260" s="39" t="s">
        <v>1903</v>
      </c>
      <c r="AI260" s="39" t="s">
        <v>501</v>
      </c>
      <c r="AJ260" s="39" t="s">
        <v>1926</v>
      </c>
      <c r="AK260" t="b">
        <f t="shared" si="12"/>
        <v>1</v>
      </c>
      <c r="AL260" t="b">
        <f t="shared" si="13"/>
        <v>1</v>
      </c>
      <c r="AN260" t="e">
        <v>#N/A</v>
      </c>
      <c r="AP260" t="e">
        <f>_xlfn.XLOOKUP(F260,'Kolom info id dse &amp; part cd'!D:D,'Kolom info id dse &amp; part cd'!I:I)</f>
        <v>#N/A</v>
      </c>
      <c r="AQ260" t="e">
        <f t="shared" si="14"/>
        <v>#N/A</v>
      </c>
      <c r="AR260" t="str">
        <f>_xlfn.XLOOKUP($E260,'[1]Referensi New'!$D:$D,'[1]Referensi New'!$V:$V)</f>
        <v>CSOBUANAJKB06</v>
      </c>
    </row>
    <row r="261" spans="1:44" ht="16">
      <c r="A261" s="39" t="s">
        <v>20</v>
      </c>
      <c r="B261" s="39" t="s">
        <v>21</v>
      </c>
      <c r="C261" s="39" t="s">
        <v>58</v>
      </c>
      <c r="D261" s="39" t="s">
        <v>1097</v>
      </c>
      <c r="E261" s="39" t="s">
        <v>1098</v>
      </c>
      <c r="F261" s="39" t="s">
        <v>1099</v>
      </c>
      <c r="G261" s="39" t="s">
        <v>1100</v>
      </c>
      <c r="H261" s="39" t="s">
        <v>1101</v>
      </c>
      <c r="I261" s="39" t="b">
        <v>0</v>
      </c>
      <c r="J261" s="39" t="s">
        <v>1101</v>
      </c>
      <c r="K261" s="39" t="b">
        <v>0</v>
      </c>
      <c r="L261" s="39"/>
      <c r="M261" s="39" t="s">
        <v>1815</v>
      </c>
      <c r="N261" t="s">
        <v>1816</v>
      </c>
      <c r="O261" t="s">
        <v>1815</v>
      </c>
      <c r="P261" t="s">
        <v>1439</v>
      </c>
      <c r="Q261" s="39" t="s">
        <v>28</v>
      </c>
      <c r="R261" s="39" t="s">
        <v>45</v>
      </c>
      <c r="S261" s="39" t="s">
        <v>1817</v>
      </c>
      <c r="T261" s="39"/>
      <c r="U261" s="39"/>
      <c r="V261" s="39"/>
      <c r="W261" s="39" t="s">
        <v>1818</v>
      </c>
      <c r="X261" s="39" t="s">
        <v>1819</v>
      </c>
      <c r="Y261" s="39" t="s">
        <v>119</v>
      </c>
      <c r="Z261" s="39" t="s">
        <v>32</v>
      </c>
      <c r="AA261" s="39"/>
      <c r="AB261" s="44">
        <v>6289602778003</v>
      </c>
      <c r="AC261" s="39"/>
      <c r="AD261" s="39"/>
      <c r="AE261" s="39" t="s">
        <v>1820</v>
      </c>
      <c r="AF261" s="39"/>
      <c r="AG261" s="39" t="s">
        <v>1099</v>
      </c>
      <c r="AH261" s="39" t="s">
        <v>1910</v>
      </c>
      <c r="AI261" s="39" t="s">
        <v>1100</v>
      </c>
      <c r="AJ261" s="39" t="s">
        <v>1935</v>
      </c>
      <c r="AK261" t="b">
        <f t="shared" si="12"/>
        <v>1</v>
      </c>
      <c r="AL261" t="b">
        <f t="shared" si="13"/>
        <v>1</v>
      </c>
      <c r="AN261" t="e">
        <v>#N/A</v>
      </c>
      <c r="AP261" t="e">
        <f>_xlfn.XLOOKUP(F261,'Kolom info id dse &amp; part cd'!D:D,'Kolom info id dse &amp; part cd'!I:I)</f>
        <v>#N/A</v>
      </c>
      <c r="AQ261" t="e">
        <f t="shared" si="14"/>
        <v>#N/A</v>
      </c>
      <c r="AR261" t="str">
        <f>_xlfn.XLOOKUP($E261,'[1]Referensi New'!$D:$D,'[1]Referensi New'!$V:$V)</f>
        <v>DSEIN061</v>
      </c>
    </row>
    <row r="262" spans="1:44" ht="16">
      <c r="A262" s="39" t="s">
        <v>20</v>
      </c>
      <c r="B262" s="39" t="s">
        <v>21</v>
      </c>
      <c r="C262" s="39" t="s">
        <v>58</v>
      </c>
      <c r="D262" s="39" t="s">
        <v>1097</v>
      </c>
      <c r="E262" s="39" t="s">
        <v>1098</v>
      </c>
      <c r="F262" s="39" t="s">
        <v>1099</v>
      </c>
      <c r="G262" s="39" t="s">
        <v>1100</v>
      </c>
      <c r="H262" s="39" t="s">
        <v>1101</v>
      </c>
      <c r="I262" s="39" t="b">
        <v>0</v>
      </c>
      <c r="J262" s="39" t="s">
        <v>1101</v>
      </c>
      <c r="K262" s="39" t="b">
        <v>0</v>
      </c>
      <c r="L262" s="39"/>
      <c r="M262" s="39" t="s">
        <v>1821</v>
      </c>
      <c r="N262" t="s">
        <v>1822</v>
      </c>
      <c r="O262" t="s">
        <v>1821</v>
      </c>
      <c r="P262" t="s">
        <v>1439</v>
      </c>
      <c r="Q262" s="39" t="s">
        <v>28</v>
      </c>
      <c r="R262" s="39" t="s">
        <v>45</v>
      </c>
      <c r="S262" s="39" t="s">
        <v>1823</v>
      </c>
      <c r="T262" s="39"/>
      <c r="U262" s="39"/>
      <c r="V262" s="39"/>
      <c r="W262" s="39" t="s">
        <v>1824</v>
      </c>
      <c r="X262" s="39" t="s">
        <v>1825</v>
      </c>
      <c r="Y262" s="39" t="s">
        <v>68</v>
      </c>
      <c r="Z262" s="39" t="s">
        <v>32</v>
      </c>
      <c r="AA262" s="39"/>
      <c r="AB262" s="44">
        <v>6289602778005</v>
      </c>
      <c r="AC262" s="39"/>
      <c r="AD262" s="39"/>
      <c r="AE262" s="39" t="s">
        <v>1826</v>
      </c>
      <c r="AF262" s="39"/>
      <c r="AG262" s="39" t="s">
        <v>1099</v>
      </c>
      <c r="AH262" s="39" t="s">
        <v>1910</v>
      </c>
      <c r="AI262" s="39" t="s">
        <v>1100</v>
      </c>
      <c r="AJ262" s="39" t="s">
        <v>1935</v>
      </c>
      <c r="AK262" t="b">
        <f t="shared" si="12"/>
        <v>1</v>
      </c>
      <c r="AL262" t="b">
        <f t="shared" si="13"/>
        <v>1</v>
      </c>
      <c r="AN262" t="e">
        <v>#N/A</v>
      </c>
      <c r="AP262" t="e">
        <f>_xlfn.XLOOKUP(F262,'Kolom info id dse &amp; part cd'!D:D,'Kolom info id dse &amp; part cd'!I:I)</f>
        <v>#N/A</v>
      </c>
      <c r="AQ262" t="e">
        <f t="shared" si="14"/>
        <v>#N/A</v>
      </c>
      <c r="AR262" t="str">
        <f>_xlfn.XLOOKUP($E262,'[1]Referensi New'!$D:$D,'[1]Referensi New'!$V:$V)</f>
        <v>DSEIN061</v>
      </c>
    </row>
    <row r="263" spans="1:44" ht="16">
      <c r="A263" s="39" t="s">
        <v>20</v>
      </c>
      <c r="B263" s="39" t="s">
        <v>21</v>
      </c>
      <c r="C263" s="39" t="s">
        <v>58</v>
      </c>
      <c r="D263" s="39" t="s">
        <v>1216</v>
      </c>
      <c r="E263" s="39" t="s">
        <v>1217</v>
      </c>
      <c r="F263" s="39" t="s">
        <v>1218</v>
      </c>
      <c r="G263" s="39" t="s">
        <v>1219</v>
      </c>
      <c r="H263" s="39" t="s">
        <v>1101</v>
      </c>
      <c r="I263" s="39" t="b">
        <v>0</v>
      </c>
      <c r="J263" s="39" t="s">
        <v>1101</v>
      </c>
      <c r="K263" s="39" t="b">
        <v>0</v>
      </c>
      <c r="L263" s="39"/>
      <c r="M263" s="39" t="s">
        <v>1827</v>
      </c>
      <c r="N263" t="s">
        <v>1828</v>
      </c>
      <c r="O263" t="s">
        <v>1827</v>
      </c>
      <c r="P263" t="s">
        <v>1439</v>
      </c>
      <c r="Q263" s="39" t="s">
        <v>28</v>
      </c>
      <c r="R263" s="39" t="s">
        <v>45</v>
      </c>
      <c r="S263" s="39" t="s">
        <v>1829</v>
      </c>
      <c r="T263" s="39"/>
      <c r="U263" s="39"/>
      <c r="V263" s="39"/>
      <c r="W263" s="39" t="s">
        <v>1830</v>
      </c>
      <c r="X263" s="39" t="s">
        <v>1831</v>
      </c>
      <c r="Y263" s="39" t="s">
        <v>68</v>
      </c>
      <c r="Z263" s="39" t="s">
        <v>32</v>
      </c>
      <c r="AA263" s="39"/>
      <c r="AB263" s="44">
        <v>6289602778006</v>
      </c>
      <c r="AC263" s="39"/>
      <c r="AD263" s="39"/>
      <c r="AE263" s="39" t="s">
        <v>1832</v>
      </c>
      <c r="AF263" s="39"/>
      <c r="AG263" s="39" t="s">
        <v>1218</v>
      </c>
      <c r="AH263" s="39" t="s">
        <v>1910</v>
      </c>
      <c r="AI263" s="39" t="s">
        <v>1219</v>
      </c>
      <c r="AJ263" s="39" t="s">
        <v>1936</v>
      </c>
      <c r="AK263" t="b">
        <f t="shared" si="12"/>
        <v>1</v>
      </c>
      <c r="AL263" t="b">
        <f t="shared" si="13"/>
        <v>1</v>
      </c>
      <c r="AN263" t="e">
        <v>#N/A</v>
      </c>
      <c r="AP263" t="e">
        <f>_xlfn.XLOOKUP(F263,'Kolom info id dse &amp; part cd'!D:D,'Kolom info id dse &amp; part cd'!I:I)</f>
        <v>#N/A</v>
      </c>
      <c r="AQ263" t="e">
        <f t="shared" si="14"/>
        <v>#N/A</v>
      </c>
      <c r="AR263" t="str">
        <f>_xlfn.XLOOKUP($E263,'[1]Referensi New'!$D:$D,'[1]Referensi New'!$V:$V)</f>
        <v>DSEIN063</v>
      </c>
    </row>
    <row r="264" spans="1:44" ht="16">
      <c r="A264" s="39" t="s">
        <v>20</v>
      </c>
      <c r="B264" s="39" t="s">
        <v>21</v>
      </c>
      <c r="C264" s="39" t="s">
        <v>58</v>
      </c>
      <c r="D264" s="39" t="s">
        <v>1097</v>
      </c>
      <c r="E264" s="39" t="s">
        <v>1098</v>
      </c>
      <c r="F264" s="39" t="s">
        <v>1099</v>
      </c>
      <c r="G264" s="39" t="s">
        <v>1100</v>
      </c>
      <c r="H264" s="39" t="s">
        <v>1101</v>
      </c>
      <c r="I264" s="39" t="b">
        <v>0</v>
      </c>
      <c r="J264" s="39" t="s">
        <v>1101</v>
      </c>
      <c r="K264" s="39" t="b">
        <v>0</v>
      </c>
      <c r="L264" s="39"/>
      <c r="M264" s="39" t="s">
        <v>1833</v>
      </c>
      <c r="N264" t="s">
        <v>1834</v>
      </c>
      <c r="O264" t="s">
        <v>1833</v>
      </c>
      <c r="P264" t="s">
        <v>1439</v>
      </c>
      <c r="Q264" s="39" t="s">
        <v>28</v>
      </c>
      <c r="R264" s="39" t="s">
        <v>45</v>
      </c>
      <c r="S264" s="39" t="s">
        <v>1835</v>
      </c>
      <c r="T264" s="39"/>
      <c r="U264" s="39"/>
      <c r="V264" s="39"/>
      <c r="W264" s="39" t="s">
        <v>1836</v>
      </c>
      <c r="X264" s="39" t="s">
        <v>1837</v>
      </c>
      <c r="Y264" s="39" t="s">
        <v>68</v>
      </c>
      <c r="Z264" s="39" t="s">
        <v>32</v>
      </c>
      <c r="AA264" s="39"/>
      <c r="AB264" s="44">
        <v>6289602778007</v>
      </c>
      <c r="AC264" s="39"/>
      <c r="AD264" s="39"/>
      <c r="AE264" s="39" t="s">
        <v>1838</v>
      </c>
      <c r="AF264" s="39"/>
      <c r="AG264" s="39" t="s">
        <v>1099</v>
      </c>
      <c r="AH264" s="39" t="s">
        <v>1910</v>
      </c>
      <c r="AI264" s="39" t="s">
        <v>1100</v>
      </c>
      <c r="AJ264" s="39" t="s">
        <v>1935</v>
      </c>
      <c r="AK264" t="b">
        <f t="shared" si="12"/>
        <v>1</v>
      </c>
      <c r="AL264" t="b">
        <f t="shared" si="13"/>
        <v>1</v>
      </c>
      <c r="AN264" t="e">
        <v>#N/A</v>
      </c>
      <c r="AP264" t="e">
        <f>_xlfn.XLOOKUP(F264,'Kolom info id dse &amp; part cd'!D:D,'Kolom info id dse &amp; part cd'!I:I)</f>
        <v>#N/A</v>
      </c>
      <c r="AQ264" t="e">
        <f t="shared" si="14"/>
        <v>#N/A</v>
      </c>
      <c r="AR264" t="str">
        <f>_xlfn.XLOOKUP($E264,'[1]Referensi New'!$D:$D,'[1]Referensi New'!$V:$V)</f>
        <v>DSEIN061</v>
      </c>
    </row>
    <row r="265" spans="1:44" ht="16">
      <c r="A265" s="39" t="s">
        <v>20</v>
      </c>
      <c r="B265" s="39" t="s">
        <v>21</v>
      </c>
      <c r="C265" s="39" t="s">
        <v>58</v>
      </c>
      <c r="D265" s="39" t="s">
        <v>1216</v>
      </c>
      <c r="E265" s="39" t="s">
        <v>1217</v>
      </c>
      <c r="F265" s="39" t="s">
        <v>1218</v>
      </c>
      <c r="G265" s="39" t="s">
        <v>1219</v>
      </c>
      <c r="H265" s="39" t="s">
        <v>1101</v>
      </c>
      <c r="I265" s="39" t="b">
        <v>0</v>
      </c>
      <c r="J265" s="39" t="s">
        <v>1101</v>
      </c>
      <c r="K265" s="39" t="b">
        <v>0</v>
      </c>
      <c r="L265" s="39"/>
      <c r="M265" s="39" t="s">
        <v>1839</v>
      </c>
      <c r="N265" t="s">
        <v>1840</v>
      </c>
      <c r="O265" t="s">
        <v>1839</v>
      </c>
      <c r="P265" t="s">
        <v>1439</v>
      </c>
      <c r="Q265" s="39" t="s">
        <v>28</v>
      </c>
      <c r="R265" s="39" t="s">
        <v>45</v>
      </c>
      <c r="S265" s="39" t="s">
        <v>1841</v>
      </c>
      <c r="T265" s="39"/>
      <c r="U265" s="39"/>
      <c r="V265" s="39"/>
      <c r="W265" s="39" t="s">
        <v>1842</v>
      </c>
      <c r="X265" s="39" t="s">
        <v>1843</v>
      </c>
      <c r="Y265" s="39" t="s">
        <v>68</v>
      </c>
      <c r="Z265" s="39" t="s">
        <v>32</v>
      </c>
      <c r="AA265" s="39"/>
      <c r="AB265" s="44">
        <v>6289602778008</v>
      </c>
      <c r="AC265" s="39"/>
      <c r="AD265" s="39"/>
      <c r="AE265" s="39" t="s">
        <v>1844</v>
      </c>
      <c r="AF265" s="39"/>
      <c r="AG265" s="39" t="s">
        <v>1218</v>
      </c>
      <c r="AH265" s="39" t="s">
        <v>1910</v>
      </c>
      <c r="AI265" s="39" t="s">
        <v>1219</v>
      </c>
      <c r="AJ265" s="39" t="s">
        <v>1936</v>
      </c>
      <c r="AK265" t="b">
        <f t="shared" si="12"/>
        <v>1</v>
      </c>
      <c r="AL265" t="b">
        <f t="shared" si="13"/>
        <v>1</v>
      </c>
      <c r="AN265" t="e">
        <v>#N/A</v>
      </c>
      <c r="AP265" t="e">
        <f>_xlfn.XLOOKUP(F265,'Kolom info id dse &amp; part cd'!D:D,'Kolom info id dse &amp; part cd'!I:I)</f>
        <v>#N/A</v>
      </c>
      <c r="AQ265" t="e">
        <f t="shared" si="14"/>
        <v>#N/A</v>
      </c>
      <c r="AR265" t="str">
        <f>_xlfn.XLOOKUP($E265,'[1]Referensi New'!$D:$D,'[1]Referensi New'!$V:$V)</f>
        <v>DSEIN063</v>
      </c>
    </row>
    <row r="266" spans="1:44" ht="16">
      <c r="A266" s="39" t="s">
        <v>20</v>
      </c>
      <c r="B266" s="39" t="s">
        <v>21</v>
      </c>
      <c r="C266" s="39" t="s">
        <v>58</v>
      </c>
      <c r="D266" s="39" t="s">
        <v>1216</v>
      </c>
      <c r="E266" s="39" t="s">
        <v>1217</v>
      </c>
      <c r="F266" s="39" t="s">
        <v>1218</v>
      </c>
      <c r="G266" s="39" t="s">
        <v>1219</v>
      </c>
      <c r="H266" s="39" t="s">
        <v>1101</v>
      </c>
      <c r="I266" s="39" t="b">
        <v>0</v>
      </c>
      <c r="J266" s="39" t="s">
        <v>1101</v>
      </c>
      <c r="K266" s="39" t="b">
        <v>0</v>
      </c>
      <c r="L266" s="39"/>
      <c r="M266" s="39" t="s">
        <v>1845</v>
      </c>
      <c r="N266" t="s">
        <v>1846</v>
      </c>
      <c r="O266" t="s">
        <v>1845</v>
      </c>
      <c r="P266" t="s">
        <v>1439</v>
      </c>
      <c r="Q266" s="39" t="s">
        <v>28</v>
      </c>
      <c r="R266" s="39" t="s">
        <v>45</v>
      </c>
      <c r="S266" s="39" t="s">
        <v>1847</v>
      </c>
      <c r="T266" s="39"/>
      <c r="U266" s="39"/>
      <c r="V266" s="39"/>
      <c r="W266" s="39" t="s">
        <v>1848</v>
      </c>
      <c r="X266" s="39" t="s">
        <v>1849</v>
      </c>
      <c r="Y266" s="39" t="s">
        <v>68</v>
      </c>
      <c r="Z266" s="39" t="s">
        <v>32</v>
      </c>
      <c r="AA266" s="39"/>
      <c r="AB266" s="44">
        <v>6289602778009</v>
      </c>
      <c r="AC266" s="39"/>
      <c r="AD266" s="39"/>
      <c r="AE266" s="39" t="s">
        <v>1850</v>
      </c>
      <c r="AF266" s="39"/>
      <c r="AG266" s="39" t="s">
        <v>1218</v>
      </c>
      <c r="AH266" s="39" t="s">
        <v>1910</v>
      </c>
      <c r="AI266" s="39" t="s">
        <v>1219</v>
      </c>
      <c r="AJ266" s="39" t="s">
        <v>1936</v>
      </c>
      <c r="AK266" t="b">
        <f t="shared" si="12"/>
        <v>1</v>
      </c>
      <c r="AL266" t="b">
        <f t="shared" si="13"/>
        <v>1</v>
      </c>
      <c r="AN266" t="e">
        <v>#N/A</v>
      </c>
      <c r="AP266" t="e">
        <f>_xlfn.XLOOKUP(F266,'Kolom info id dse &amp; part cd'!D:D,'Kolom info id dse &amp; part cd'!I:I)</f>
        <v>#N/A</v>
      </c>
      <c r="AQ266" t="e">
        <f t="shared" si="14"/>
        <v>#N/A</v>
      </c>
      <c r="AR266" t="str">
        <f>_xlfn.XLOOKUP($E266,'[1]Referensi New'!$D:$D,'[1]Referensi New'!$V:$V)</f>
        <v>DSEIN063</v>
      </c>
    </row>
    <row r="267" spans="1:44" ht="16">
      <c r="A267" s="39" t="s">
        <v>20</v>
      </c>
      <c r="B267" s="39" t="s">
        <v>21</v>
      </c>
      <c r="C267" s="39" t="s">
        <v>58</v>
      </c>
      <c r="D267" s="39" t="s">
        <v>1216</v>
      </c>
      <c r="E267" s="39" t="s">
        <v>1217</v>
      </c>
      <c r="F267" s="39" t="s">
        <v>1218</v>
      </c>
      <c r="G267" s="39" t="s">
        <v>1219</v>
      </c>
      <c r="H267" s="39" t="s">
        <v>1101</v>
      </c>
      <c r="I267" s="39" t="b">
        <v>0</v>
      </c>
      <c r="J267" s="39" t="s">
        <v>1101</v>
      </c>
      <c r="K267" s="39" t="b">
        <v>0</v>
      </c>
      <c r="L267" s="39"/>
      <c r="M267" s="39" t="s">
        <v>1851</v>
      </c>
      <c r="N267" t="s">
        <v>1852</v>
      </c>
      <c r="O267" t="s">
        <v>1851</v>
      </c>
      <c r="P267" t="s">
        <v>1439</v>
      </c>
      <c r="Q267" s="39" t="s">
        <v>28</v>
      </c>
      <c r="R267" s="39" t="s">
        <v>45</v>
      </c>
      <c r="S267" s="39" t="s">
        <v>1436</v>
      </c>
      <c r="T267" s="39"/>
      <c r="U267" s="39"/>
      <c r="V267" s="39"/>
      <c r="W267" s="39" t="s">
        <v>1853</v>
      </c>
      <c r="X267" s="39" t="s">
        <v>1854</v>
      </c>
      <c r="Y267" s="39" t="s">
        <v>68</v>
      </c>
      <c r="Z267" s="39" t="s">
        <v>32</v>
      </c>
      <c r="AA267" s="39"/>
      <c r="AB267" s="44">
        <v>6289602778011</v>
      </c>
      <c r="AC267" s="39"/>
      <c r="AD267" s="39"/>
      <c r="AE267" s="39" t="s">
        <v>1855</v>
      </c>
      <c r="AF267" s="39"/>
      <c r="AG267" s="39" t="s">
        <v>1218</v>
      </c>
      <c r="AH267" s="39" t="s">
        <v>1910</v>
      </c>
      <c r="AI267" s="39" t="s">
        <v>1219</v>
      </c>
      <c r="AJ267" s="39" t="s">
        <v>1936</v>
      </c>
      <c r="AK267" t="b">
        <f t="shared" si="12"/>
        <v>1</v>
      </c>
      <c r="AL267" t="b">
        <f t="shared" si="13"/>
        <v>1</v>
      </c>
      <c r="AN267" t="e">
        <v>#N/A</v>
      </c>
      <c r="AP267" t="e">
        <f>_xlfn.XLOOKUP(F267,'Kolom info id dse &amp; part cd'!D:D,'Kolom info id dse &amp; part cd'!I:I)</f>
        <v>#N/A</v>
      </c>
      <c r="AQ267" t="e">
        <f t="shared" si="14"/>
        <v>#N/A</v>
      </c>
      <c r="AR267" t="str">
        <f>_xlfn.XLOOKUP($E267,'[1]Referensi New'!$D:$D,'[1]Referensi New'!$V:$V)</f>
        <v>DSEIN063</v>
      </c>
    </row>
    <row r="268" spans="1:44" ht="16">
      <c r="A268" s="39" t="s">
        <v>20</v>
      </c>
      <c r="B268" s="39" t="s">
        <v>21</v>
      </c>
      <c r="C268" s="39" t="s">
        <v>58</v>
      </c>
      <c r="D268" s="39" t="s">
        <v>1097</v>
      </c>
      <c r="E268" s="39" t="s">
        <v>1098</v>
      </c>
      <c r="F268" s="39" t="s">
        <v>1099</v>
      </c>
      <c r="G268" s="39" t="s">
        <v>1100</v>
      </c>
      <c r="H268" s="39" t="s">
        <v>1101</v>
      </c>
      <c r="I268" s="39" t="b">
        <v>0</v>
      </c>
      <c r="J268" s="39" t="s">
        <v>1101</v>
      </c>
      <c r="K268" s="39" t="b">
        <v>0</v>
      </c>
      <c r="L268" s="39"/>
      <c r="M268" s="39" t="s">
        <v>1856</v>
      </c>
      <c r="N268" t="s">
        <v>1857</v>
      </c>
      <c r="O268" t="s">
        <v>1856</v>
      </c>
      <c r="P268" t="s">
        <v>1439</v>
      </c>
      <c r="Q268" s="39" t="s">
        <v>28</v>
      </c>
      <c r="R268" s="39" t="s">
        <v>45</v>
      </c>
      <c r="S268" s="39" t="s">
        <v>1858</v>
      </c>
      <c r="T268" s="39"/>
      <c r="U268" s="39"/>
      <c r="V268" s="39"/>
      <c r="W268" s="39" t="s">
        <v>1859</v>
      </c>
      <c r="X268" s="39" t="s">
        <v>1860</v>
      </c>
      <c r="Y268" s="39" t="s">
        <v>68</v>
      </c>
      <c r="Z268" s="39" t="s">
        <v>32</v>
      </c>
      <c r="AA268" s="39"/>
      <c r="AB268" s="44">
        <v>6289602778015</v>
      </c>
      <c r="AC268" s="39"/>
      <c r="AD268" s="39"/>
      <c r="AE268" s="39" t="s">
        <v>1861</v>
      </c>
      <c r="AF268" s="39"/>
      <c r="AG268" s="39" t="s">
        <v>1099</v>
      </c>
      <c r="AH268" s="39" t="s">
        <v>1910</v>
      </c>
      <c r="AI268" s="39" t="s">
        <v>1100</v>
      </c>
      <c r="AJ268" s="39" t="s">
        <v>1935</v>
      </c>
      <c r="AK268" t="b">
        <f t="shared" si="12"/>
        <v>1</v>
      </c>
      <c r="AL268" t="b">
        <f t="shared" si="13"/>
        <v>1</v>
      </c>
      <c r="AN268" t="e">
        <v>#N/A</v>
      </c>
      <c r="AP268" t="e">
        <f>_xlfn.XLOOKUP(F268,'Kolom info id dse &amp; part cd'!D:D,'Kolom info id dse &amp; part cd'!I:I)</f>
        <v>#N/A</v>
      </c>
      <c r="AQ268" t="e">
        <f t="shared" si="14"/>
        <v>#N/A</v>
      </c>
      <c r="AR268" t="str">
        <f>_xlfn.XLOOKUP($E268,'[1]Referensi New'!$D:$D,'[1]Referensi New'!$V:$V)</f>
        <v>DSEIN061</v>
      </c>
    </row>
    <row r="269" spans="1:44" ht="16">
      <c r="A269" s="39" t="s">
        <v>20</v>
      </c>
      <c r="B269" s="39" t="s">
        <v>21</v>
      </c>
      <c r="C269" s="39" t="s">
        <v>58</v>
      </c>
      <c r="D269" s="39" t="s">
        <v>1097</v>
      </c>
      <c r="E269" s="39" t="s">
        <v>1098</v>
      </c>
      <c r="F269" s="39" t="s">
        <v>1099</v>
      </c>
      <c r="G269" s="39" t="s">
        <v>1100</v>
      </c>
      <c r="H269" s="39" t="s">
        <v>1101</v>
      </c>
      <c r="I269" s="39" t="b">
        <v>0</v>
      </c>
      <c r="J269" s="39" t="s">
        <v>1101</v>
      </c>
      <c r="K269" s="39" t="b">
        <v>0</v>
      </c>
      <c r="L269" s="39"/>
      <c r="M269" s="39" t="s">
        <v>1862</v>
      </c>
      <c r="N269" t="s">
        <v>1863</v>
      </c>
      <c r="O269" t="s">
        <v>1862</v>
      </c>
      <c r="P269" t="s">
        <v>1439</v>
      </c>
      <c r="Q269" s="39" t="s">
        <v>28</v>
      </c>
      <c r="R269" s="39" t="s">
        <v>45</v>
      </c>
      <c r="S269" s="39" t="s">
        <v>1864</v>
      </c>
      <c r="T269" s="39"/>
      <c r="U269" s="39"/>
      <c r="V269" s="39"/>
      <c r="W269" s="39" t="s">
        <v>1865</v>
      </c>
      <c r="X269" s="39" t="s">
        <v>1866</v>
      </c>
      <c r="Y269" s="39" t="s">
        <v>68</v>
      </c>
      <c r="Z269" s="39" t="s">
        <v>32</v>
      </c>
      <c r="AA269" s="39"/>
      <c r="AB269" s="44">
        <v>62089687777050</v>
      </c>
      <c r="AC269" s="39"/>
      <c r="AD269" s="39"/>
      <c r="AE269" s="39" t="s">
        <v>1867</v>
      </c>
      <c r="AF269" s="39"/>
      <c r="AG269" s="39" t="s">
        <v>1099</v>
      </c>
      <c r="AH269" s="39" t="s">
        <v>1910</v>
      </c>
      <c r="AI269" s="39" t="s">
        <v>1100</v>
      </c>
      <c r="AJ269" s="39" t="s">
        <v>1935</v>
      </c>
      <c r="AK269" t="b">
        <f t="shared" si="12"/>
        <v>1</v>
      </c>
      <c r="AL269" t="b">
        <f t="shared" si="13"/>
        <v>1</v>
      </c>
      <c r="AN269" t="e">
        <v>#N/A</v>
      </c>
      <c r="AP269" t="e">
        <f>_xlfn.XLOOKUP(F269,'Kolom info id dse &amp; part cd'!D:D,'Kolom info id dse &amp; part cd'!I:I)</f>
        <v>#N/A</v>
      </c>
      <c r="AQ269" t="e">
        <f t="shared" si="14"/>
        <v>#N/A</v>
      </c>
      <c r="AR269" t="str">
        <f>_xlfn.XLOOKUP($E269,'[1]Referensi New'!$D:$D,'[1]Referensi New'!$V:$V)</f>
        <v>DSEIN061</v>
      </c>
    </row>
    <row r="270" spans="1:44" ht="16">
      <c r="A270" s="39" t="s">
        <v>20</v>
      </c>
      <c r="B270" s="39" t="s">
        <v>21</v>
      </c>
      <c r="C270" s="39" t="s">
        <v>58</v>
      </c>
      <c r="D270" s="39" t="s">
        <v>93</v>
      </c>
      <c r="E270" s="39" t="s">
        <v>94</v>
      </c>
      <c r="F270" s="39" t="s">
        <v>95</v>
      </c>
      <c r="G270" s="39" t="s">
        <v>96</v>
      </c>
      <c r="H270" s="39" t="s">
        <v>63</v>
      </c>
      <c r="I270" s="39" t="b">
        <v>0</v>
      </c>
      <c r="J270" s="39" t="s">
        <v>63</v>
      </c>
      <c r="K270" s="39" t="b">
        <v>0</v>
      </c>
      <c r="L270" s="39"/>
      <c r="M270" s="39" t="s">
        <v>1868</v>
      </c>
      <c r="N270" t="s">
        <v>1869</v>
      </c>
      <c r="O270" t="s">
        <v>1868</v>
      </c>
      <c r="P270" t="s">
        <v>1439</v>
      </c>
      <c r="Q270" s="39" t="s">
        <v>28</v>
      </c>
      <c r="R270" s="39" t="s">
        <v>45</v>
      </c>
      <c r="S270" s="39" t="s">
        <v>1870</v>
      </c>
      <c r="T270" s="39"/>
      <c r="U270" s="39"/>
      <c r="V270" s="39"/>
      <c r="W270" s="39" t="s">
        <v>1871</v>
      </c>
      <c r="X270" s="39" t="s">
        <v>1872</v>
      </c>
      <c r="Y270" s="39" t="s">
        <v>68</v>
      </c>
      <c r="Z270" s="39" t="s">
        <v>32</v>
      </c>
      <c r="AA270" s="39"/>
      <c r="AB270" s="44">
        <v>6289602778024</v>
      </c>
      <c r="AC270" s="39"/>
      <c r="AD270" s="39"/>
      <c r="AE270" s="39" t="s">
        <v>1873</v>
      </c>
      <c r="AF270" s="39"/>
      <c r="AG270" s="39" t="s">
        <v>95</v>
      </c>
      <c r="AH270" s="39" t="s">
        <v>1902</v>
      </c>
      <c r="AI270" s="39" t="s">
        <v>96</v>
      </c>
      <c r="AJ270" s="39" t="s">
        <v>1911</v>
      </c>
      <c r="AK270" t="b">
        <f t="shared" si="12"/>
        <v>1</v>
      </c>
      <c r="AL270" t="b">
        <f t="shared" si="13"/>
        <v>1</v>
      </c>
      <c r="AN270" t="e">
        <v>#N/A</v>
      </c>
      <c r="AP270" t="e">
        <f>_xlfn.XLOOKUP(F270,'Kolom info id dse &amp; part cd'!D:D,'Kolom info id dse &amp; part cd'!I:I)</f>
        <v>#N/A</v>
      </c>
      <c r="AQ270" t="e">
        <f t="shared" si="14"/>
        <v>#N/A</v>
      </c>
      <c r="AR270" t="str">
        <f>_xlfn.XLOOKUP($E270,'[1]Referensi New'!$D:$D,'[1]Referensi New'!$V:$V)</f>
        <v>DSEIN047</v>
      </c>
    </row>
    <row r="271" spans="1:44" ht="16">
      <c r="A271" s="39" t="s">
        <v>20</v>
      </c>
      <c r="B271" s="39" t="s">
        <v>21</v>
      </c>
      <c r="C271" s="39" t="s">
        <v>58</v>
      </c>
      <c r="D271" s="39" t="s">
        <v>93</v>
      </c>
      <c r="E271" s="39" t="s">
        <v>94</v>
      </c>
      <c r="F271" s="39" t="s">
        <v>95</v>
      </c>
      <c r="G271" s="39" t="s">
        <v>96</v>
      </c>
      <c r="H271" s="39" t="s">
        <v>63</v>
      </c>
      <c r="I271" s="39" t="b">
        <v>0</v>
      </c>
      <c r="J271" s="39" t="s">
        <v>63</v>
      </c>
      <c r="K271" s="39" t="b">
        <v>0</v>
      </c>
      <c r="L271" s="39"/>
      <c r="M271" s="39" t="s">
        <v>1874</v>
      </c>
      <c r="N271" t="s">
        <v>1875</v>
      </c>
      <c r="O271" t="s">
        <v>1874</v>
      </c>
      <c r="P271" t="s">
        <v>1439</v>
      </c>
      <c r="Q271" s="39" t="s">
        <v>28</v>
      </c>
      <c r="R271" s="39" t="s">
        <v>45</v>
      </c>
      <c r="S271" s="39" t="s">
        <v>1876</v>
      </c>
      <c r="T271" s="39"/>
      <c r="U271" s="39"/>
      <c r="V271" s="39"/>
      <c r="W271" s="39" t="s">
        <v>1877</v>
      </c>
      <c r="X271" s="39" t="s">
        <v>1878</v>
      </c>
      <c r="Y271" s="39" t="s">
        <v>68</v>
      </c>
      <c r="Z271" s="39" t="s">
        <v>32</v>
      </c>
      <c r="AA271" s="39"/>
      <c r="AB271" s="44">
        <v>6289602778025</v>
      </c>
      <c r="AC271" s="39"/>
      <c r="AD271" s="39"/>
      <c r="AE271" s="39" t="s">
        <v>1879</v>
      </c>
      <c r="AF271" s="39"/>
      <c r="AG271" s="39" t="s">
        <v>95</v>
      </c>
      <c r="AH271" s="39" t="s">
        <v>1902</v>
      </c>
      <c r="AI271" s="39" t="s">
        <v>96</v>
      </c>
      <c r="AJ271" s="39" t="s">
        <v>1911</v>
      </c>
      <c r="AK271" t="b">
        <f t="shared" si="12"/>
        <v>1</v>
      </c>
      <c r="AL271" t="b">
        <f t="shared" si="13"/>
        <v>1</v>
      </c>
      <c r="AN271" t="e">
        <v>#N/A</v>
      </c>
      <c r="AP271" t="e">
        <f>_xlfn.XLOOKUP(F271,'Kolom info id dse &amp; part cd'!D:D,'Kolom info id dse &amp; part cd'!I:I)</f>
        <v>#N/A</v>
      </c>
      <c r="AQ271" t="e">
        <f t="shared" si="14"/>
        <v>#N/A</v>
      </c>
      <c r="AR271" t="str">
        <f>_xlfn.XLOOKUP($E271,'[1]Referensi New'!$D:$D,'[1]Referensi New'!$V:$V)</f>
        <v>DSEIN047</v>
      </c>
    </row>
    <row r="272" spans="1:44" ht="16">
      <c r="A272" s="39" t="s">
        <v>20</v>
      </c>
      <c r="B272" s="39" t="s">
        <v>21</v>
      </c>
      <c r="C272" s="39" t="s">
        <v>58</v>
      </c>
      <c r="D272" s="39" t="s">
        <v>1097</v>
      </c>
      <c r="E272" s="39" t="s">
        <v>1098</v>
      </c>
      <c r="F272" s="39" t="s">
        <v>1099</v>
      </c>
      <c r="G272" s="39" t="s">
        <v>1100</v>
      </c>
      <c r="H272" s="39" t="s">
        <v>1101</v>
      </c>
      <c r="I272" s="39" t="b">
        <v>0</v>
      </c>
      <c r="J272" s="39" t="s">
        <v>1101</v>
      </c>
      <c r="K272" s="39" t="b">
        <v>0</v>
      </c>
      <c r="L272" s="39"/>
      <c r="M272" s="39" t="s">
        <v>1880</v>
      </c>
      <c r="N272" t="s">
        <v>1881</v>
      </c>
      <c r="O272" t="s">
        <v>1880</v>
      </c>
      <c r="P272" t="s">
        <v>1439</v>
      </c>
      <c r="Q272" s="39" t="s">
        <v>28</v>
      </c>
      <c r="R272" s="39" t="s">
        <v>45</v>
      </c>
      <c r="S272" s="39" t="s">
        <v>1882</v>
      </c>
      <c r="T272" s="39"/>
      <c r="U272" s="39"/>
      <c r="V272" s="39"/>
      <c r="W272" s="39" t="s">
        <v>1883</v>
      </c>
      <c r="X272" s="39" t="s">
        <v>1884</v>
      </c>
      <c r="Y272" s="39" t="s">
        <v>68</v>
      </c>
      <c r="Z272" s="39" t="s">
        <v>32</v>
      </c>
      <c r="AA272" s="39"/>
      <c r="AB272" s="44">
        <v>6289618181881</v>
      </c>
      <c r="AC272" s="39"/>
      <c r="AD272" s="39"/>
      <c r="AE272" s="39" t="s">
        <v>1885</v>
      </c>
      <c r="AF272" s="39"/>
      <c r="AG272" s="39" t="s">
        <v>1099</v>
      </c>
      <c r="AH272" s="39" t="s">
        <v>1910</v>
      </c>
      <c r="AI272" s="39" t="s">
        <v>1100</v>
      </c>
      <c r="AJ272" s="39" t="s">
        <v>1935</v>
      </c>
      <c r="AK272" t="b">
        <f t="shared" si="12"/>
        <v>1</v>
      </c>
      <c r="AL272" t="b">
        <f t="shared" si="13"/>
        <v>1</v>
      </c>
      <c r="AN272" t="e">
        <v>#N/A</v>
      </c>
      <c r="AP272" t="e">
        <f>_xlfn.XLOOKUP(F272,'Kolom info id dse &amp; part cd'!D:D,'Kolom info id dse &amp; part cd'!I:I)</f>
        <v>#N/A</v>
      </c>
      <c r="AQ272" t="e">
        <f t="shared" si="14"/>
        <v>#N/A</v>
      </c>
      <c r="AR272" t="str">
        <f>_xlfn.XLOOKUP($E272,'[1]Referensi New'!$D:$D,'[1]Referensi New'!$V:$V)</f>
        <v>DSEIN061</v>
      </c>
    </row>
    <row r="273" spans="1:44" ht="16">
      <c r="A273" s="39" t="s">
        <v>20</v>
      </c>
      <c r="B273" s="39" t="s">
        <v>21</v>
      </c>
      <c r="C273" s="39" t="s">
        <v>281</v>
      </c>
      <c r="D273" s="39" t="s">
        <v>282</v>
      </c>
      <c r="E273" s="39" t="s">
        <v>283</v>
      </c>
      <c r="F273" s="39" t="s">
        <v>284</v>
      </c>
      <c r="G273" s="39" t="s">
        <v>285</v>
      </c>
      <c r="H273" s="39" t="s">
        <v>63</v>
      </c>
      <c r="I273" s="39" t="b">
        <v>0</v>
      </c>
      <c r="J273" s="39" t="s">
        <v>63</v>
      </c>
      <c r="K273" s="39" t="b">
        <v>0</v>
      </c>
      <c r="L273" s="39"/>
      <c r="M273" s="39" t="s">
        <v>1886</v>
      </c>
      <c r="N273" t="s">
        <v>1887</v>
      </c>
      <c r="O273" t="s">
        <v>1886</v>
      </c>
      <c r="P273" t="s">
        <v>1439</v>
      </c>
      <c r="Q273" s="39" t="s">
        <v>28</v>
      </c>
      <c r="R273" s="39" t="s">
        <v>45</v>
      </c>
      <c r="S273" s="39" t="s">
        <v>1888</v>
      </c>
      <c r="T273" s="39"/>
      <c r="U273" s="39"/>
      <c r="V273" s="39"/>
      <c r="W273" s="39" t="s">
        <v>1889</v>
      </c>
      <c r="X273" s="39" t="s">
        <v>1890</v>
      </c>
      <c r="Y273" s="39" t="s">
        <v>119</v>
      </c>
      <c r="Z273" s="39" t="s">
        <v>32</v>
      </c>
      <c r="AA273" s="39"/>
      <c r="AB273" s="44">
        <v>6289602777875</v>
      </c>
      <c r="AC273" s="39"/>
      <c r="AD273" s="39"/>
      <c r="AE273" s="39" t="s">
        <v>1891</v>
      </c>
      <c r="AF273" s="39"/>
      <c r="AG273" s="39" t="s">
        <v>284</v>
      </c>
      <c r="AH273" s="39" t="s">
        <v>1902</v>
      </c>
      <c r="AI273" s="39" t="s">
        <v>285</v>
      </c>
      <c r="AJ273" s="39" t="s">
        <v>1921</v>
      </c>
      <c r="AK273" t="b">
        <f t="shared" si="12"/>
        <v>1</v>
      </c>
      <c r="AL273" t="b">
        <f t="shared" si="13"/>
        <v>1</v>
      </c>
      <c r="AN273" t="e">
        <v>#N/A</v>
      </c>
      <c r="AP273" t="e">
        <f>_xlfn.XLOOKUP(F273,'Kolom info id dse &amp; part cd'!D:D,'Kolom info id dse &amp; part cd'!I:I)</f>
        <v>#N/A</v>
      </c>
      <c r="AQ273" t="e">
        <f t="shared" si="14"/>
        <v>#N/A</v>
      </c>
      <c r="AR273">
        <f>_xlfn.XLOOKUP($E273,'[1]Referensi New'!$D:$D,'[1]Referensi New'!$V:$V)</f>
        <v>2613052261</v>
      </c>
    </row>
    <row r="274" spans="1:44" ht="16">
      <c r="A274" s="45" t="s">
        <v>20</v>
      </c>
      <c r="B274" s="45" t="s">
        <v>21</v>
      </c>
      <c r="C274" s="45" t="s">
        <v>130</v>
      </c>
      <c r="D274" s="45" t="s">
        <v>151</v>
      </c>
      <c r="E274" s="45" t="s">
        <v>932</v>
      </c>
      <c r="F274" s="45" t="s">
        <v>25</v>
      </c>
      <c r="G274" s="45" t="s">
        <v>26</v>
      </c>
      <c r="H274" s="45" t="s">
        <v>933</v>
      </c>
      <c r="I274" s="45"/>
      <c r="J274" s="45" t="s">
        <v>1934</v>
      </c>
      <c r="K274" s="45"/>
      <c r="L274" s="45"/>
      <c r="M274" s="45"/>
      <c r="N274" s="48"/>
      <c r="O274" s="48"/>
      <c r="P274" s="48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9"/>
      <c r="AC274" s="45"/>
      <c r="AD274" s="45"/>
      <c r="AE274" s="45"/>
      <c r="AF274" s="45"/>
      <c r="AG274" s="45" t="s">
        <v>25</v>
      </c>
      <c r="AH274" s="45" t="s">
        <v>933</v>
      </c>
      <c r="AI274" s="45" t="s">
        <v>26</v>
      </c>
      <c r="AJ274" s="45" t="s">
        <v>1934</v>
      </c>
      <c r="AK274" s="45" t="s">
        <v>1940</v>
      </c>
      <c r="AL274" s="45" t="s">
        <v>1940</v>
      </c>
      <c r="AN274" t="e">
        <v>#N/A</v>
      </c>
      <c r="AP274" t="e">
        <f>_xlfn.XLOOKUP(F274,'Kolom info id dse &amp; part cd'!D:D,'Kolom info id dse &amp; part cd'!I:I)</f>
        <v>#N/A</v>
      </c>
      <c r="AQ274" t="e">
        <f t="shared" si="14"/>
        <v>#N/A</v>
      </c>
      <c r="AR274" t="str">
        <f>_xlfn.XLOOKUP($E274,'[1]Referensi New'!$D:$D,'[1]Referensi New'!$V:$V)</f>
        <v>DSE22310006</v>
      </c>
    </row>
    <row r="275" spans="1:44" ht="16">
      <c r="A275" s="45" t="s">
        <v>20</v>
      </c>
      <c r="B275" s="45" t="s">
        <v>21</v>
      </c>
      <c r="C275" s="45" t="s">
        <v>805</v>
      </c>
      <c r="D275" s="45" t="s">
        <v>866</v>
      </c>
      <c r="E275" s="45" t="s">
        <v>920</v>
      </c>
      <c r="F275" s="45" t="s">
        <v>921</v>
      </c>
      <c r="G275" s="45" t="s">
        <v>922</v>
      </c>
      <c r="H275" s="45" t="s">
        <v>923</v>
      </c>
      <c r="I275" s="45"/>
      <c r="J275" s="45" t="s">
        <v>1933</v>
      </c>
      <c r="K275" s="45"/>
      <c r="L275" s="45"/>
      <c r="M275" s="45"/>
      <c r="N275" s="48"/>
      <c r="O275" s="48"/>
      <c r="P275" s="48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9"/>
      <c r="AC275" s="45"/>
      <c r="AD275" s="45"/>
      <c r="AE275" s="45"/>
      <c r="AF275" s="45"/>
      <c r="AG275" s="45" t="s">
        <v>921</v>
      </c>
      <c r="AH275" s="45" t="s">
        <v>923</v>
      </c>
      <c r="AI275" s="45" t="s">
        <v>922</v>
      </c>
      <c r="AJ275" s="45" t="s">
        <v>1933</v>
      </c>
      <c r="AK275" s="45" t="s">
        <v>1940</v>
      </c>
      <c r="AL275" s="45" t="s">
        <v>1940</v>
      </c>
      <c r="AN275" t="e">
        <v>#N/A</v>
      </c>
      <c r="AP275" t="e">
        <f>_xlfn.XLOOKUP(F275,'Kolom info id dse &amp; part cd'!D:D,'Kolom info id dse &amp; part cd'!I:I)</f>
        <v>#N/A</v>
      </c>
      <c r="AQ275" t="e">
        <f t="shared" si="14"/>
        <v>#N/A</v>
      </c>
      <c r="AR275" t="str">
        <f>_xlfn.XLOOKUP($E275,'[1]Referensi New'!$D:$D,'[1]Referensi New'!$V:$V)</f>
        <v>DSE1807</v>
      </c>
    </row>
    <row r="276" spans="1:44" ht="16">
      <c r="A276" s="45" t="s">
        <v>20</v>
      </c>
      <c r="B276" s="45" t="s">
        <v>21</v>
      </c>
      <c r="C276" s="45" t="s">
        <v>81</v>
      </c>
      <c r="D276" s="45" t="s">
        <v>292</v>
      </c>
      <c r="E276" s="45" t="s">
        <v>789</v>
      </c>
      <c r="F276" s="45" t="s">
        <v>790</v>
      </c>
      <c r="G276" s="45" t="s">
        <v>791</v>
      </c>
      <c r="H276" s="45" t="s">
        <v>792</v>
      </c>
      <c r="I276" s="45"/>
      <c r="J276" s="45" t="s">
        <v>1930</v>
      </c>
      <c r="K276" s="45"/>
      <c r="L276" s="45"/>
      <c r="M276" s="45"/>
      <c r="N276" s="48"/>
      <c r="O276" s="48"/>
      <c r="P276" s="48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9"/>
      <c r="AC276" s="45"/>
      <c r="AD276" s="45"/>
      <c r="AE276" s="45"/>
      <c r="AF276" s="45"/>
      <c r="AG276" s="45" t="s">
        <v>790</v>
      </c>
      <c r="AH276" s="45" t="s">
        <v>792</v>
      </c>
      <c r="AI276" s="45" t="s">
        <v>791</v>
      </c>
      <c r="AJ276" s="45" t="s">
        <v>1930</v>
      </c>
      <c r="AK276" s="45" t="s">
        <v>1940</v>
      </c>
      <c r="AL276" s="45" t="s">
        <v>1940</v>
      </c>
      <c r="AN276" t="e">
        <v>#N/A</v>
      </c>
      <c r="AP276" t="e">
        <f>_xlfn.XLOOKUP(F276,'Kolom info id dse &amp; part cd'!D:D,'Kolom info id dse &amp; part cd'!I:I)</f>
        <v>#N/A</v>
      </c>
      <c r="AQ276" t="e">
        <f t="shared" si="14"/>
        <v>#N/A</v>
      </c>
      <c r="AR276" t="str">
        <f>_xlfn.XLOOKUP($E276,'[1]Referensi New'!$D:$D,'[1]Referensi New'!$V:$V)</f>
        <v>CSOSDP301712</v>
      </c>
    </row>
    <row r="279" spans="1:44">
      <c r="N279" t="s">
        <v>1955</v>
      </c>
    </row>
    <row r="280" spans="1:44">
      <c r="N280" t="s">
        <v>1536</v>
      </c>
    </row>
    <row r="281" spans="1:44">
      <c r="N281" t="s">
        <v>1586</v>
      </c>
    </row>
    <row r="283" spans="1:44">
      <c r="N283" t="s">
        <v>1605</v>
      </c>
    </row>
    <row r="284" spans="1:44">
      <c r="N284" t="s">
        <v>1340</v>
      </c>
    </row>
    <row r="285" spans="1:44">
      <c r="N285" t="s">
        <v>1348</v>
      </c>
    </row>
    <row r="286" spans="1:44">
      <c r="N286" t="s">
        <v>1332</v>
      </c>
    </row>
    <row r="287" spans="1:44">
      <c r="N287" t="s">
        <v>1354</v>
      </c>
    </row>
    <row r="288" spans="1:44">
      <c r="N288" t="s">
        <v>653</v>
      </c>
    </row>
    <row r="289" spans="14:14">
      <c r="N289" t="s">
        <v>1636</v>
      </c>
    </row>
    <row r="290" spans="14:14">
      <c r="N290" t="s">
        <v>1522</v>
      </c>
    </row>
    <row r="291" spans="14:14">
      <c r="N291" t="s">
        <v>645</v>
      </c>
    </row>
    <row r="292" spans="14:14">
      <c r="N292" t="s">
        <v>661</v>
      </c>
    </row>
    <row r="293" spans="14:14">
      <c r="N293" t="s">
        <v>636</v>
      </c>
    </row>
    <row r="294" spans="14:14">
      <c r="N294" t="s">
        <v>1324</v>
      </c>
    </row>
    <row r="295" spans="14:14">
      <c r="N295" t="s">
        <v>1316</v>
      </c>
    </row>
  </sheetData>
  <sortState xmlns:xlrd2="http://schemas.microsoft.com/office/spreadsheetml/2017/richdata2" ref="A2:AP276">
    <sortCondition ref="AP2:AP276"/>
  </sortState>
  <conditionalFormatting sqref="L1:P1">
    <cfRule type="duplicateValues" dxfId="4" priority="4"/>
  </conditionalFormatting>
  <conditionalFormatting sqref="N1:N276">
    <cfRule type="duplicateValues" dxfId="3" priority="3"/>
  </conditionalFormatting>
  <conditionalFormatting sqref="N1:N1048576">
    <cfRule type="duplicateValues" dxfId="2" priority="1"/>
  </conditionalFormatting>
  <conditionalFormatting sqref="O1:O276">
    <cfRule type="duplicateValues" dxfId="1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B208-C078-41D2-B2D8-C0A27228176D}">
  <dimension ref="A1:I21"/>
  <sheetViews>
    <sheetView workbookViewId="0">
      <selection activeCell="I7" sqref="I7:I14"/>
    </sheetView>
  </sheetViews>
  <sheetFormatPr defaultRowHeight="14"/>
  <cols>
    <col min="1" max="1" width="22.58203125" bestFit="1" customWidth="1"/>
    <col min="2" max="2" width="16.1640625" bestFit="1" customWidth="1"/>
    <col min="3" max="3" width="19.1640625" bestFit="1" customWidth="1"/>
    <col min="4" max="4" width="12.1640625" bestFit="1" customWidth="1"/>
    <col min="5" max="5" width="11.75" bestFit="1" customWidth="1"/>
    <col min="7" max="7" width="34.83203125" bestFit="1" customWidth="1"/>
    <col min="8" max="8" width="22.58203125" bestFit="1" customWidth="1"/>
  </cols>
  <sheetData>
    <row r="1" spans="1:9" ht="14.5">
      <c r="A1" s="50" t="s">
        <v>1942</v>
      </c>
      <c r="B1" s="50" t="s">
        <v>1943</v>
      </c>
      <c r="C1" s="50" t="s">
        <v>1944</v>
      </c>
      <c r="D1" s="50" t="s">
        <v>1945</v>
      </c>
      <c r="E1" s="50" t="s">
        <v>1946</v>
      </c>
      <c r="F1" s="54" t="s">
        <v>1948</v>
      </c>
      <c r="G1" s="54" t="s">
        <v>57</v>
      </c>
      <c r="H1" s="54" t="s">
        <v>1953</v>
      </c>
      <c r="I1" s="54" t="s">
        <v>1954</v>
      </c>
    </row>
    <row r="2" spans="1:9">
      <c r="A2" s="51" t="s">
        <v>675</v>
      </c>
      <c r="B2" s="51" t="s">
        <v>1768</v>
      </c>
      <c r="C2" s="51" t="s">
        <v>1767</v>
      </c>
      <c r="D2" s="51" t="s">
        <v>677</v>
      </c>
      <c r="E2" s="51" t="s">
        <v>678</v>
      </c>
      <c r="F2">
        <v>1</v>
      </c>
      <c r="G2" t="s">
        <v>1951</v>
      </c>
      <c r="I2" t="s">
        <v>675</v>
      </c>
    </row>
    <row r="3" spans="1:9">
      <c r="A3" s="51" t="s">
        <v>675</v>
      </c>
      <c r="B3" s="51" t="s">
        <v>1893</v>
      </c>
      <c r="C3" s="51" t="s">
        <v>1892</v>
      </c>
      <c r="D3" s="51" t="s">
        <v>677</v>
      </c>
      <c r="E3" s="51" t="s">
        <v>678</v>
      </c>
      <c r="F3">
        <v>1</v>
      </c>
      <c r="G3" t="s">
        <v>1951</v>
      </c>
      <c r="I3" t="s">
        <v>675</v>
      </c>
    </row>
    <row r="4" spans="1:9">
      <c r="A4" s="51" t="s">
        <v>675</v>
      </c>
      <c r="B4" s="51" t="s">
        <v>679</v>
      </c>
      <c r="C4" s="51" t="s">
        <v>680</v>
      </c>
      <c r="D4" s="51" t="s">
        <v>677</v>
      </c>
      <c r="E4" s="51" t="s">
        <v>678</v>
      </c>
      <c r="F4">
        <v>1</v>
      </c>
      <c r="G4" t="s">
        <v>1951</v>
      </c>
      <c r="I4" t="s">
        <v>675</v>
      </c>
    </row>
    <row r="5" spans="1:9">
      <c r="A5" s="51" t="s">
        <v>675</v>
      </c>
      <c r="B5" s="52" t="s">
        <v>685</v>
      </c>
      <c r="C5" s="53" t="s">
        <v>686</v>
      </c>
      <c r="D5" s="51" t="s">
        <v>677</v>
      </c>
      <c r="E5" s="51" t="s">
        <v>678</v>
      </c>
      <c r="F5">
        <v>1</v>
      </c>
      <c r="G5" t="s">
        <v>1951</v>
      </c>
      <c r="I5" t="s">
        <v>675</v>
      </c>
    </row>
    <row r="6" spans="1:9">
      <c r="A6" s="51" t="s">
        <v>675</v>
      </c>
      <c r="B6" s="51" t="s">
        <v>1756</v>
      </c>
      <c r="C6" s="51" t="s">
        <v>1755</v>
      </c>
      <c r="D6" s="51" t="s">
        <v>677</v>
      </c>
      <c r="E6" s="51" t="s">
        <v>678</v>
      </c>
      <c r="F6">
        <v>1</v>
      </c>
      <c r="G6" t="s">
        <v>1951</v>
      </c>
      <c r="I6" t="s">
        <v>675</v>
      </c>
    </row>
    <row r="7" spans="1:9">
      <c r="A7" t="s">
        <v>641</v>
      </c>
      <c r="B7" t="s">
        <v>653</v>
      </c>
      <c r="C7" t="s">
        <v>654</v>
      </c>
      <c r="D7" t="s">
        <v>643</v>
      </c>
      <c r="E7" t="s">
        <v>644</v>
      </c>
      <c r="H7" t="str">
        <f>_xlfn.XLOOKUP(B7,'MASTER DSE OCT Inner'!N:N,'MASTER DSE OCT Inner'!D:D)</f>
        <v>MC-BATUJAYA</v>
      </c>
      <c r="I7" t="s">
        <v>641</v>
      </c>
    </row>
    <row r="8" spans="1:9">
      <c r="A8" t="s">
        <v>641</v>
      </c>
      <c r="B8" t="s">
        <v>1536</v>
      </c>
      <c r="C8" t="s">
        <v>1535</v>
      </c>
      <c r="D8" t="s">
        <v>643</v>
      </c>
      <c r="E8" t="s">
        <v>644</v>
      </c>
      <c r="H8" t="str">
        <f>_xlfn.XLOOKUP(B8,'MASTER DSE OCT Inner'!N:N,'MASTER DSE OCT Inner'!D:D)</f>
        <v>MC-RENGASDENGKLOK</v>
      </c>
      <c r="I8" t="s">
        <v>641</v>
      </c>
    </row>
    <row r="9" spans="1:9">
      <c r="A9" t="s">
        <v>641</v>
      </c>
      <c r="B9" t="s">
        <v>1586</v>
      </c>
      <c r="C9" t="s">
        <v>1585</v>
      </c>
      <c r="D9" t="s">
        <v>643</v>
      </c>
      <c r="E9" t="s">
        <v>644</v>
      </c>
      <c r="H9" t="str">
        <f>_xlfn.XLOOKUP(B9,'MASTER DSE OCT Inner'!N:N,'MASTER DSE OCT Inner'!D:D)</f>
        <v>MC-RENGASDENGKLOK</v>
      </c>
      <c r="I9" t="s">
        <v>641</v>
      </c>
    </row>
    <row r="10" spans="1:9">
      <c r="A10" t="s">
        <v>641</v>
      </c>
      <c r="B10" t="s">
        <v>1605</v>
      </c>
      <c r="C10" t="s">
        <v>1604</v>
      </c>
      <c r="D10" t="s">
        <v>643</v>
      </c>
      <c r="E10" t="s">
        <v>644</v>
      </c>
      <c r="H10" t="str">
        <f>_xlfn.XLOOKUP(B10,'MASTER DSE OCT Inner'!N:N,'MASTER DSE OCT Inner'!D:D)</f>
        <v>MC-BATUJAYA</v>
      </c>
      <c r="I10" t="s">
        <v>641</v>
      </c>
    </row>
    <row r="11" spans="1:9">
      <c r="A11" t="s">
        <v>641</v>
      </c>
      <c r="B11" t="s">
        <v>1332</v>
      </c>
      <c r="C11" t="s">
        <v>1333</v>
      </c>
      <c r="D11" t="s">
        <v>643</v>
      </c>
      <c r="E11" t="s">
        <v>644</v>
      </c>
      <c r="H11" t="str">
        <f>_xlfn.XLOOKUP(B11,'MASTER DSE OCT Inner'!N:N,'MASTER DSE OCT Inner'!D:D)</f>
        <v>MC-BATUJAYA</v>
      </c>
      <c r="I11" t="s">
        <v>641</v>
      </c>
    </row>
    <row r="12" spans="1:9">
      <c r="A12" t="s">
        <v>641</v>
      </c>
      <c r="B12" t="s">
        <v>1340</v>
      </c>
      <c r="C12" t="s">
        <v>1341</v>
      </c>
      <c r="D12" t="s">
        <v>643</v>
      </c>
      <c r="E12" t="s">
        <v>644</v>
      </c>
      <c r="H12" t="str">
        <f>_xlfn.XLOOKUP(B12,'MASTER DSE OCT Inner'!N:N,'MASTER DSE OCT Inner'!D:D)</f>
        <v>MC-BATUJAYA</v>
      </c>
      <c r="I12" t="s">
        <v>641</v>
      </c>
    </row>
    <row r="13" spans="1:9">
      <c r="A13" t="s">
        <v>641</v>
      </c>
      <c r="B13" t="s">
        <v>1348</v>
      </c>
      <c r="C13" t="s">
        <v>1349</v>
      </c>
      <c r="D13" t="s">
        <v>643</v>
      </c>
      <c r="E13" t="s">
        <v>644</v>
      </c>
      <c r="H13" t="str">
        <f>_xlfn.XLOOKUP(B13,'MASTER DSE OCT Inner'!N:N,'MASTER DSE OCT Inner'!D:D)</f>
        <v>MC-BATUJAYA</v>
      </c>
      <c r="I13" t="s">
        <v>641</v>
      </c>
    </row>
    <row r="14" spans="1:9">
      <c r="A14" t="s">
        <v>641</v>
      </c>
      <c r="B14" t="s">
        <v>1354</v>
      </c>
      <c r="C14" t="s">
        <v>1355</v>
      </c>
      <c r="D14" t="s">
        <v>643</v>
      </c>
      <c r="E14" t="s">
        <v>644</v>
      </c>
      <c r="H14" t="str">
        <f>_xlfn.XLOOKUP(B14,'MASTER DSE OCT Inner'!N:N,'MASTER DSE OCT Inner'!D:D)</f>
        <v>MC-BATUJAYA</v>
      </c>
      <c r="I14" t="s">
        <v>641</v>
      </c>
    </row>
    <row r="15" spans="1:9">
      <c r="A15" t="s">
        <v>631</v>
      </c>
      <c r="B15" t="s">
        <v>636</v>
      </c>
      <c r="C15" t="s">
        <v>637</v>
      </c>
      <c r="D15" s="48" t="s">
        <v>633</v>
      </c>
      <c r="E15" s="48" t="s">
        <v>634</v>
      </c>
      <c r="H15" t="str">
        <f>_xlfn.XLOOKUP(B15,'MASTER DSE OCT Inner'!N:N,'MASTER DSE OCT Inner'!D:D)</f>
        <v>MC-RENGASDENGKLOK</v>
      </c>
      <c r="I15" t="s">
        <v>631</v>
      </c>
    </row>
    <row r="16" spans="1:9">
      <c r="A16" t="s">
        <v>631</v>
      </c>
      <c r="B16" t="s">
        <v>645</v>
      </c>
      <c r="C16" t="s">
        <v>646</v>
      </c>
      <c r="D16" s="48" t="s">
        <v>633</v>
      </c>
      <c r="E16" s="48" t="s">
        <v>634</v>
      </c>
      <c r="H16" t="str">
        <f>_xlfn.XLOOKUP(B16,'MASTER DSE OCT Inner'!N:N,'MASTER DSE OCT Inner'!D:D)</f>
        <v>MC-BATUJAYA</v>
      </c>
      <c r="I16" t="s">
        <v>631</v>
      </c>
    </row>
    <row r="17" spans="1:9">
      <c r="A17" t="s">
        <v>631</v>
      </c>
      <c r="B17" t="s">
        <v>661</v>
      </c>
      <c r="C17" t="s">
        <v>662</v>
      </c>
      <c r="D17" s="48" t="s">
        <v>633</v>
      </c>
      <c r="E17" s="48" t="s">
        <v>634</v>
      </c>
      <c r="H17" t="str">
        <f>_xlfn.XLOOKUP(B17,'MASTER DSE OCT Inner'!N:N,'MASTER DSE OCT Inner'!D:D)</f>
        <v>MC-BATUJAYA</v>
      </c>
      <c r="I17" t="s">
        <v>631</v>
      </c>
    </row>
    <row r="18" spans="1:9">
      <c r="A18" t="s">
        <v>631</v>
      </c>
      <c r="B18" t="s">
        <v>1522</v>
      </c>
      <c r="C18" t="s">
        <v>1521</v>
      </c>
      <c r="D18" s="48" t="s">
        <v>633</v>
      </c>
      <c r="E18" s="48" t="s">
        <v>634</v>
      </c>
      <c r="H18" t="str">
        <f>_xlfn.XLOOKUP(B18,'MASTER DSE OCT Inner'!N:N,'MASTER DSE OCT Inner'!D:D)</f>
        <v>MC-RENGASDENGKLOK</v>
      </c>
      <c r="I18" t="s">
        <v>631</v>
      </c>
    </row>
    <row r="19" spans="1:9">
      <c r="A19" t="s">
        <v>631</v>
      </c>
      <c r="B19" t="s">
        <v>1636</v>
      </c>
      <c r="C19" t="s">
        <v>1635</v>
      </c>
      <c r="D19" s="48" t="s">
        <v>633</v>
      </c>
      <c r="E19" s="48" t="s">
        <v>634</v>
      </c>
      <c r="H19" t="str">
        <f>_xlfn.XLOOKUP(B19,'MASTER DSE OCT Inner'!N:N,'MASTER DSE OCT Inner'!D:D)</f>
        <v>MC-RENGASDENGKLOK</v>
      </c>
      <c r="I19" t="s">
        <v>631</v>
      </c>
    </row>
    <row r="20" spans="1:9">
      <c r="A20" t="s">
        <v>631</v>
      </c>
      <c r="B20" t="s">
        <v>1316</v>
      </c>
      <c r="C20" t="s">
        <v>1317</v>
      </c>
      <c r="D20" s="48" t="s">
        <v>633</v>
      </c>
      <c r="E20" s="48" t="s">
        <v>634</v>
      </c>
      <c r="H20" t="str">
        <f>_xlfn.XLOOKUP(B20,'MASTER DSE OCT Inner'!N:N,'MASTER DSE OCT Inner'!D:D)</f>
        <v>MC-RENGASDENGKLOK</v>
      </c>
      <c r="I20" t="s">
        <v>631</v>
      </c>
    </row>
    <row r="21" spans="1:9">
      <c r="A21" t="s">
        <v>631</v>
      </c>
      <c r="B21" t="s">
        <v>1324</v>
      </c>
      <c r="C21" t="s">
        <v>1325</v>
      </c>
      <c r="D21" s="48" t="s">
        <v>633</v>
      </c>
      <c r="E21" s="48" t="s">
        <v>634</v>
      </c>
      <c r="H21" t="str">
        <f>_xlfn.XLOOKUP(B21,'MASTER DSE OCT Inner'!N:N,'MASTER DSE OCT Inner'!D:D)</f>
        <v>MC-RENGASDENGKLOK</v>
      </c>
      <c r="I21" t="s">
        <v>631</v>
      </c>
    </row>
  </sheetData>
  <phoneticPr fontId="14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New User Hybrid</vt:lpstr>
      <vt:lpstr>SUMMARY</vt:lpstr>
      <vt:lpstr>MASTER DSE BSM HOA</vt:lpstr>
      <vt:lpstr>dari web teleport</vt:lpstr>
      <vt:lpstr>Sheet4</vt:lpstr>
      <vt:lpstr>MASTER DSE OCT Inn</vt:lpstr>
      <vt:lpstr>IM3_CREATE</vt:lpstr>
      <vt:lpstr>3ID_CREATE</vt:lpstr>
      <vt:lpstr>Sheet1</vt:lpstr>
      <vt:lpstr>Sheet2</vt:lpstr>
      <vt:lpstr>MASTER DSE OCT Inner</vt:lpstr>
      <vt:lpstr>Kolom info id dse &amp; part 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Fachrul Abdi</dc:creator>
  <cp:keywords/>
  <dc:description/>
  <cp:lastModifiedBy>Rachmat Maulana</cp:lastModifiedBy>
  <cp:revision/>
  <dcterms:created xsi:type="dcterms:W3CDTF">2026-09-23T03:40:27Z</dcterms:created>
  <dcterms:modified xsi:type="dcterms:W3CDTF">2026-10-12T07:24:45Z</dcterms:modified>
  <cp:category/>
  <cp:contentStatus/>
</cp:coreProperties>
</file>